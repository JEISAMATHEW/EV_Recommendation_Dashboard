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ebb031b9311ef8/Desktop/UpGrad/DS_ML_Course/Project/EV Recommendation Dashboard/"/>
    </mc:Choice>
  </mc:AlternateContent>
  <xr:revisionPtr revIDLastSave="122" documentId="8_{FE4FAC93-3955-4535-88A8-6D4FE7406A73}" xr6:coauthVersionLast="47" xr6:coauthVersionMax="47" xr10:uidLastSave="{4DAD8ED4-66E5-4C41-BA9E-3142B4C79630}"/>
  <bookViews>
    <workbookView xWindow="-108" yWindow="-108" windowWidth="23256" windowHeight="12456" activeTab="2" xr2:uid="{EF75B7F9-EA20-4DC8-9614-B3AA50BF11D2}"/>
  </bookViews>
  <sheets>
    <sheet name="EVRawDataset" sheetId="1" r:id="rId1"/>
    <sheet name="EVCleanedDataset" sheetId="4" r:id="rId2"/>
    <sheet name="Dashboard" sheetId="3" r:id="rId3"/>
  </sheets>
  <definedNames>
    <definedName name="MyBattery">Dashboard!$G$11</definedName>
    <definedName name="MyCity">Dashboard!$G$7</definedName>
    <definedName name="MyLat">Dashboard!$G$8</definedName>
    <definedName name="MyLong">Dashboard!$G$9</definedName>
    <definedName name="MyState">Dashboard!$G$10</definedName>
    <definedName name="VehicleRangeKm">Dashboard!$G$12</definedName>
  </definedNames>
  <calcPr calcId="191029"/>
</workbook>
</file>

<file path=xl/calcChain.xml><?xml version="1.0" encoding="utf-8"?>
<calcChain xmlns="http://schemas.openxmlformats.org/spreadsheetml/2006/main">
  <c r="J12" i="4" l="1"/>
  <c r="J7" i="4"/>
  <c r="J98" i="4"/>
  <c r="J91" i="4"/>
  <c r="J9" i="4"/>
  <c r="J90" i="4"/>
  <c r="J129" i="4"/>
  <c r="J8" i="4"/>
  <c r="J5" i="4"/>
  <c r="J16" i="4"/>
  <c r="J71" i="4"/>
  <c r="J6" i="4"/>
  <c r="J537" i="4"/>
  <c r="J274" i="4"/>
  <c r="J13" i="4"/>
  <c r="J644" i="4"/>
  <c r="J369" i="4"/>
  <c r="J150" i="4"/>
  <c r="J15" i="4"/>
  <c r="J463" i="4"/>
  <c r="J226" i="4"/>
  <c r="J48" i="4"/>
  <c r="J591" i="4"/>
  <c r="J312" i="4"/>
  <c r="J106" i="4"/>
  <c r="J702" i="4"/>
  <c r="J396" i="4"/>
  <c r="J170" i="4"/>
  <c r="J28" i="4"/>
  <c r="J488" i="4"/>
  <c r="J235" i="4"/>
  <c r="J53" i="4"/>
  <c r="J604" i="4"/>
  <c r="J331" i="4"/>
  <c r="J118" i="4"/>
  <c r="J723" i="4"/>
  <c r="J14" i="4"/>
  <c r="J180" i="4"/>
  <c r="J10" i="4"/>
  <c r="J531" i="4"/>
  <c r="J182" i="4"/>
  <c r="J37" i="4"/>
  <c r="J533" i="4"/>
  <c r="J371" i="4"/>
  <c r="J148" i="4"/>
  <c r="J758" i="4"/>
  <c r="J449" i="4"/>
  <c r="J216" i="4"/>
  <c r="J45" i="4"/>
  <c r="J474" i="4"/>
  <c r="J225" i="4"/>
  <c r="J117" i="4"/>
  <c r="J593" i="4"/>
  <c r="J313" i="4"/>
  <c r="J107" i="4"/>
  <c r="J699" i="4"/>
  <c r="J400" i="4"/>
  <c r="J175" i="4"/>
  <c r="J31" i="4"/>
  <c r="J497" i="4"/>
  <c r="J338" i="4"/>
  <c r="J57" i="4"/>
  <c r="J609" i="4"/>
  <c r="J330" i="4"/>
  <c r="J116" i="4"/>
  <c r="J816" i="4"/>
  <c r="J517" i="4"/>
  <c r="J256" i="4"/>
  <c r="J69" i="4"/>
  <c r="J625" i="4"/>
  <c r="J348" i="4"/>
  <c r="J60" i="4"/>
  <c r="J733" i="4"/>
  <c r="J422" i="4"/>
  <c r="J126" i="4"/>
  <c r="J826" i="4"/>
  <c r="J415" i="4"/>
  <c r="J185" i="4"/>
  <c r="J39" i="4"/>
  <c r="J224" i="4"/>
  <c r="J358" i="4"/>
  <c r="J137" i="4"/>
  <c r="J746" i="4"/>
  <c r="J430" i="4"/>
  <c r="J201" i="4"/>
  <c r="J837" i="4"/>
  <c r="J546" i="4"/>
  <c r="J132" i="4"/>
  <c r="J83" i="4"/>
  <c r="J647" i="4"/>
  <c r="J368" i="4"/>
  <c r="J144" i="4"/>
  <c r="J754" i="4"/>
  <c r="J124" i="4"/>
  <c r="J210" i="4"/>
  <c r="J634" i="4"/>
  <c r="J361" i="4"/>
  <c r="J209" i="4"/>
  <c r="J96" i="4"/>
  <c r="J270" i="4"/>
  <c r="J386" i="4"/>
  <c r="J159" i="4"/>
  <c r="J786" i="4"/>
  <c r="J483" i="4"/>
  <c r="J230" i="4"/>
  <c r="J660" i="4"/>
  <c r="J602" i="4"/>
  <c r="J221" i="4"/>
  <c r="J114" i="4"/>
  <c r="J713" i="4"/>
  <c r="J215" i="4"/>
  <c r="J43" i="4"/>
  <c r="J802" i="4"/>
  <c r="J505" i="4"/>
  <c r="J169" i="4"/>
  <c r="J793" i="4"/>
  <c r="J383" i="4"/>
  <c r="J157" i="4"/>
  <c r="J23" i="4"/>
  <c r="J482" i="4"/>
  <c r="J229" i="4"/>
  <c r="J50" i="4"/>
  <c r="J599" i="4"/>
  <c r="J318" i="4"/>
  <c r="J110" i="4"/>
  <c r="J704" i="4"/>
  <c r="J399" i="4"/>
  <c r="J176" i="4"/>
  <c r="J33" i="4"/>
  <c r="J732" i="4"/>
  <c r="J421" i="4"/>
  <c r="J192" i="4"/>
  <c r="J611" i="4"/>
  <c r="J337" i="4"/>
  <c r="J268" i="4"/>
  <c r="J820" i="4"/>
  <c r="J525" i="4"/>
  <c r="J265" i="4"/>
  <c r="J73" i="4"/>
  <c r="J513" i="4"/>
  <c r="J248" i="4"/>
  <c r="J63" i="4"/>
  <c r="J89" i="4"/>
  <c r="J255" i="4"/>
  <c r="J196" i="4"/>
  <c r="J833" i="4"/>
  <c r="J543" i="4"/>
  <c r="J280" i="4"/>
  <c r="J80" i="4"/>
  <c r="J643" i="4"/>
  <c r="J363" i="4"/>
  <c r="J75" i="4"/>
  <c r="J753" i="4"/>
  <c r="J440" i="4"/>
  <c r="J205" i="4"/>
  <c r="J903" i="4"/>
  <c r="J554" i="4"/>
  <c r="J288" i="4"/>
  <c r="J88" i="4"/>
  <c r="J548" i="4"/>
  <c r="J285" i="4"/>
  <c r="J87" i="4"/>
  <c r="J759" i="4"/>
  <c r="J275" i="4"/>
  <c r="J212" i="4"/>
  <c r="J851" i="4"/>
  <c r="J123" i="4"/>
  <c r="J298" i="4"/>
  <c r="J17" i="4"/>
  <c r="J675" i="4"/>
  <c r="J297" i="4"/>
  <c r="J154" i="4"/>
  <c r="J777" i="4"/>
  <c r="J377" i="4"/>
  <c r="J329" i="4"/>
  <c r="J763" i="4"/>
  <c r="J450" i="4"/>
  <c r="J310" i="4"/>
  <c r="J19" i="4"/>
  <c r="J697" i="4"/>
  <c r="J393" i="4"/>
  <c r="J167" i="4"/>
  <c r="J560" i="4"/>
  <c r="J489" i="4"/>
  <c r="J153" i="4"/>
  <c r="J788" i="4"/>
  <c r="J380" i="4"/>
  <c r="J151" i="4"/>
  <c r="J21" i="4"/>
  <c r="J603" i="4"/>
  <c r="J220" i="4"/>
  <c r="J46" i="4"/>
  <c r="J811" i="4"/>
  <c r="J40" i="4"/>
  <c r="J102" i="4"/>
  <c r="J694" i="4"/>
  <c r="J389" i="4"/>
  <c r="J161" i="4"/>
  <c r="J24" i="4"/>
  <c r="J484" i="4"/>
  <c r="J410" i="4"/>
  <c r="J121" i="4"/>
  <c r="J601" i="4"/>
  <c r="J320" i="4"/>
  <c r="J251" i="4"/>
  <c r="J808" i="4"/>
  <c r="J735" i="4"/>
  <c r="J174" i="4"/>
  <c r="J30" i="4"/>
  <c r="J74" i="4"/>
  <c r="J240" i="4"/>
  <c r="J54" i="4"/>
  <c r="J607" i="4"/>
  <c r="J328" i="4"/>
  <c r="J259" i="4"/>
  <c r="J718" i="4"/>
  <c r="J149" i="4"/>
  <c r="J253" i="4"/>
  <c r="J67" i="4"/>
  <c r="J624" i="4"/>
  <c r="J346" i="4"/>
  <c r="J279" i="4"/>
  <c r="J731" i="4"/>
  <c r="J419" i="4"/>
  <c r="J189" i="4"/>
  <c r="J824" i="4"/>
  <c r="J411" i="4"/>
  <c r="J183" i="4"/>
  <c r="J38" i="4"/>
  <c r="J521" i="4"/>
  <c r="J260" i="4"/>
  <c r="J135" i="4"/>
  <c r="J904" i="4"/>
  <c r="J426" i="4"/>
  <c r="J376" i="4"/>
  <c r="J832" i="4"/>
  <c r="J541" i="4"/>
  <c r="J276" i="4"/>
  <c r="J79" i="4"/>
  <c r="J641" i="4"/>
  <c r="J365" i="4"/>
  <c r="J141" i="4"/>
  <c r="J751" i="4"/>
  <c r="J439" i="4"/>
  <c r="J204" i="4"/>
  <c r="J743" i="4"/>
  <c r="J353" i="4"/>
  <c r="J295" i="4"/>
  <c r="J234" i="4"/>
  <c r="J882" i="4"/>
  <c r="J379" i="4"/>
  <c r="J332" i="4"/>
  <c r="J549" i="4"/>
  <c r="J452" i="4"/>
  <c r="J11" i="4"/>
  <c r="J990" i="4"/>
  <c r="J805" i="4"/>
  <c r="J213" i="4"/>
  <c r="J99" i="4"/>
  <c r="J798" i="4"/>
  <c r="J299" i="4"/>
  <c r="J158" i="4"/>
  <c r="J784" i="4"/>
  <c r="J293" i="4"/>
  <c r="J228" i="4"/>
  <c r="J658" i="4"/>
  <c r="J455" i="4"/>
  <c r="J323" i="4"/>
  <c r="J20" i="4"/>
  <c r="J712" i="4"/>
  <c r="J311" i="4"/>
  <c r="J44" i="4"/>
  <c r="J568" i="4"/>
  <c r="J307" i="4"/>
  <c r="J100" i="4"/>
  <c r="J689" i="4"/>
  <c r="J388" i="4"/>
  <c r="J162" i="4"/>
  <c r="J25" i="4"/>
  <c r="J485" i="4"/>
  <c r="J334" i="4"/>
  <c r="J119" i="4"/>
  <c r="J598" i="4"/>
  <c r="J316" i="4"/>
  <c r="J109" i="4"/>
  <c r="J938" i="4"/>
  <c r="J397" i="4"/>
  <c r="J173" i="4"/>
  <c r="J32" i="4"/>
  <c r="J827" i="4"/>
  <c r="J339" i="4"/>
  <c r="J188" i="4"/>
  <c r="J822" i="4"/>
  <c r="J530" i="4"/>
  <c r="J266" i="4"/>
  <c r="J717" i="4"/>
  <c r="J629" i="4"/>
  <c r="J551" i="4"/>
  <c r="J194" i="4"/>
  <c r="J507" i="4"/>
  <c r="J343" i="4"/>
  <c r="J59" i="4"/>
  <c r="J900" i="4"/>
  <c r="J639" i="4"/>
  <c r="J360" i="4"/>
  <c r="J819" i="4"/>
  <c r="J524" i="4"/>
  <c r="J264" i="4"/>
  <c r="J72" i="4"/>
  <c r="J630" i="4"/>
  <c r="J250" i="4"/>
  <c r="J64" i="4"/>
  <c r="J631" i="4"/>
  <c r="J433" i="4"/>
  <c r="J199" i="4"/>
  <c r="J834" i="4"/>
  <c r="J545" i="4"/>
  <c r="J282" i="4"/>
  <c r="J82" i="4"/>
  <c r="J646" i="4"/>
  <c r="J700" i="4"/>
  <c r="J145" i="4"/>
  <c r="J637" i="4"/>
  <c r="J364" i="4"/>
  <c r="J142" i="4"/>
  <c r="J982" i="4"/>
  <c r="J355" i="4"/>
  <c r="J296" i="4"/>
  <c r="J237" i="4"/>
  <c r="J436" i="4"/>
  <c r="J291" i="4"/>
  <c r="J41" i="4"/>
  <c r="J764" i="4"/>
  <c r="J720" i="4"/>
  <c r="J223" i="4"/>
  <c r="J875" i="4"/>
  <c r="J592" i="4"/>
  <c r="J314" i="4"/>
  <c r="J108" i="4"/>
  <c r="J446" i="4"/>
  <c r="J737" i="4"/>
  <c r="J101" i="4"/>
  <c r="J690" i="4"/>
  <c r="J304" i="4"/>
  <c r="J97" i="4"/>
  <c r="J935" i="4"/>
  <c r="J384" i="4"/>
  <c r="J155" i="4"/>
  <c r="J22" i="4"/>
  <c r="J823" i="4"/>
  <c r="J227" i="4"/>
  <c r="J49" i="4"/>
  <c r="J595" i="4"/>
  <c r="J315" i="4"/>
  <c r="J112" i="4"/>
  <c r="J703" i="4"/>
  <c r="J398" i="4"/>
  <c r="J171" i="4"/>
  <c r="J29" i="4"/>
  <c r="J495" i="4"/>
  <c r="J239" i="4"/>
  <c r="J55" i="4"/>
  <c r="J724" i="4"/>
  <c r="J92" i="4"/>
  <c r="J120" i="4"/>
  <c r="J813" i="4"/>
  <c r="J408" i="4"/>
  <c r="J352" i="4"/>
  <c r="J68" i="4"/>
  <c r="J626" i="4"/>
  <c r="J347" i="4"/>
  <c r="J130" i="4"/>
  <c r="J615" i="4"/>
  <c r="J420" i="4"/>
  <c r="J190" i="4"/>
  <c r="J948" i="4"/>
  <c r="J847" i="4"/>
  <c r="J179" i="4"/>
  <c r="J36" i="4"/>
  <c r="J518" i="4"/>
  <c r="J779" i="4"/>
  <c r="J292" i="4"/>
  <c r="J905" i="4"/>
  <c r="J431" i="4"/>
  <c r="J197" i="4"/>
  <c r="J836" i="4"/>
  <c r="J656" i="4"/>
  <c r="J283" i="4"/>
  <c r="J81" i="4"/>
  <c r="J645" i="4"/>
  <c r="J367" i="4"/>
  <c r="J143" i="4"/>
  <c r="J752" i="4"/>
  <c r="J443" i="4"/>
  <c r="J207" i="4"/>
  <c r="J1078" i="4"/>
  <c r="J790" i="4"/>
  <c r="J481" i="4"/>
  <c r="J94" i="4"/>
  <c r="J552" i="4"/>
  <c r="J814" i="4"/>
  <c r="J322" i="4"/>
  <c r="J1035" i="4"/>
  <c r="J707" i="4"/>
  <c r="J401" i="4"/>
  <c r="J755" i="4"/>
  <c r="J799" i="4"/>
  <c r="J301" i="4"/>
  <c r="J42" i="4"/>
  <c r="J889" i="4"/>
  <c r="J294" i="4"/>
  <c r="J412" i="4"/>
  <c r="J883" i="4"/>
  <c r="J378" i="4"/>
  <c r="J222" i="4"/>
  <c r="J1036" i="4"/>
  <c r="J448" i="4"/>
  <c r="J217" i="4"/>
  <c r="J350" i="4"/>
  <c r="J937" i="4"/>
  <c r="J303" i="4"/>
  <c r="J165" i="4"/>
  <c r="J996" i="4"/>
  <c r="J382" i="4"/>
  <c r="J231" i="4"/>
  <c r="J878" i="4"/>
  <c r="J460" i="4"/>
  <c r="J407" i="4"/>
  <c r="J47" i="4"/>
  <c r="J462" i="4"/>
  <c r="J843" i="4"/>
  <c r="J178" i="4"/>
  <c r="J715" i="4"/>
  <c r="J406" i="4"/>
  <c r="J105" i="4"/>
  <c r="J695" i="4"/>
  <c r="J391" i="4"/>
  <c r="J164" i="4"/>
  <c r="J27" i="4"/>
  <c r="J950" i="4"/>
  <c r="J336" i="4"/>
  <c r="J52" i="4"/>
  <c r="J721" i="4"/>
  <c r="J906" i="4"/>
  <c r="J115" i="4"/>
  <c r="J710" i="4"/>
  <c r="J403" i="4"/>
  <c r="J760" i="4"/>
  <c r="J34" i="4"/>
  <c r="J500" i="4"/>
  <c r="J418" i="4"/>
  <c r="J564" i="4"/>
  <c r="J1048" i="4"/>
  <c r="J528" i="4"/>
  <c r="J263" i="4"/>
  <c r="J894" i="4"/>
  <c r="J957" i="4"/>
  <c r="J351" i="4"/>
  <c r="J457" i="4"/>
  <c r="J1014" i="4"/>
  <c r="J863" i="4"/>
  <c r="J570" i="4"/>
  <c r="J727" i="4"/>
  <c r="J919" i="4"/>
  <c r="J679" i="4"/>
  <c r="J1098" i="4"/>
  <c r="J972" i="4"/>
  <c r="J776" i="4"/>
  <c r="J66" i="4"/>
  <c r="J622" i="4"/>
  <c r="J872" i="4"/>
  <c r="J277" i="4"/>
  <c r="J1062" i="4"/>
  <c r="J925" i="4"/>
  <c r="J272" i="4"/>
  <c r="J1103" i="4"/>
  <c r="J526" i="4"/>
  <c r="J262" i="4"/>
  <c r="J479" i="4"/>
  <c r="J1028" i="4"/>
  <c r="J550" i="4"/>
  <c r="J133" i="4"/>
  <c r="J1071" i="4"/>
  <c r="J648" i="4"/>
  <c r="J370" i="4"/>
  <c r="J726" i="4"/>
  <c r="J414" i="4"/>
  <c r="J797" i="4"/>
  <c r="J496" i="4"/>
  <c r="J1029" i="4"/>
  <c r="J785" i="4"/>
  <c r="J610" i="4"/>
  <c r="J1027" i="4"/>
  <c r="J877" i="4"/>
  <c r="J596" i="4"/>
  <c r="J954" i="4"/>
  <c r="J650" i="4"/>
  <c r="J193" i="4"/>
  <c r="J78" i="4"/>
  <c r="J638" i="4"/>
  <c r="J359" i="4"/>
  <c r="J139" i="4"/>
  <c r="J748" i="4"/>
  <c r="J435" i="4"/>
  <c r="J202" i="4"/>
  <c r="J839" i="4"/>
  <c r="J553" i="4"/>
  <c r="J287" i="4"/>
  <c r="J86" i="4"/>
  <c r="J538" i="4"/>
  <c r="J566" i="4"/>
  <c r="J147" i="4"/>
  <c r="J1079" i="4"/>
  <c r="J366" i="4"/>
  <c r="J76" i="4"/>
  <c r="J849" i="4"/>
  <c r="J792" i="4"/>
  <c r="J490" i="4"/>
  <c r="J413" i="4"/>
  <c r="J994" i="4"/>
  <c r="J289" i="4"/>
  <c r="J326" i="4"/>
  <c r="J1083" i="4"/>
  <c r="J278" i="4"/>
  <c r="J405" i="4"/>
  <c r="J1112" i="4"/>
  <c r="J804" i="4"/>
  <c r="J506" i="4"/>
  <c r="J18" i="4"/>
  <c r="J672" i="4"/>
  <c r="J614" i="4"/>
  <c r="J152" i="4"/>
  <c r="J1085" i="4"/>
  <c r="J722" i="4"/>
  <c r="J632" i="4"/>
  <c r="J761" i="4"/>
  <c r="J586" i="4"/>
  <c r="J218" i="4"/>
  <c r="J425" i="4"/>
  <c r="J565" i="4"/>
  <c r="J211" i="4"/>
  <c r="J168" i="4"/>
  <c r="J670" i="4"/>
  <c r="J381" i="4"/>
  <c r="J233" i="4"/>
  <c r="J1039" i="4"/>
  <c r="J461" i="4"/>
  <c r="J745" i="4"/>
  <c r="J429" i="4"/>
  <c r="J584" i="4"/>
  <c r="J309" i="4"/>
  <c r="J247" i="4"/>
  <c r="J1087" i="4"/>
  <c r="J306" i="4"/>
  <c r="J103" i="4"/>
  <c r="J1115" i="4"/>
  <c r="J392" i="4"/>
  <c r="J243" i="4"/>
  <c r="J58" i="4"/>
  <c r="J825" i="4"/>
  <c r="J850" i="4"/>
  <c r="J51" i="4"/>
  <c r="J600" i="4"/>
  <c r="J319" i="4"/>
  <c r="J111" i="4"/>
  <c r="J705" i="4"/>
  <c r="J734" i="4"/>
  <c r="J172" i="4"/>
  <c r="J447" i="4"/>
  <c r="J953" i="4"/>
  <c r="J856" i="4"/>
  <c r="J696" i="4"/>
  <c r="J1050" i="4"/>
  <c r="J335" i="4"/>
  <c r="J671" i="4"/>
  <c r="J942" i="4"/>
  <c r="J963" i="4"/>
  <c r="J249" i="4"/>
  <c r="J62" i="4"/>
  <c r="J1015" i="4"/>
  <c r="J864" i="4"/>
  <c r="J574" i="4"/>
  <c r="J728" i="4"/>
  <c r="J920" i="4"/>
  <c r="J681" i="4"/>
  <c r="J1100" i="4"/>
  <c r="J974" i="4"/>
  <c r="J780" i="4"/>
  <c r="J471" i="4"/>
  <c r="J1024" i="4"/>
  <c r="J874" i="4"/>
  <c r="J128" i="4"/>
  <c r="J730" i="4"/>
  <c r="J923" i="4"/>
  <c r="J187" i="4"/>
  <c r="J818" i="4"/>
  <c r="J520" i="4"/>
  <c r="J261" i="4"/>
  <c r="J478" i="4"/>
  <c r="J628" i="4"/>
  <c r="J547" i="4"/>
  <c r="J131" i="4"/>
  <c r="J1070" i="4"/>
  <c r="J340" i="4"/>
  <c r="J567" i="4"/>
  <c r="J1052" i="4"/>
  <c r="J984" i="4"/>
  <c r="J181" i="4"/>
  <c r="J35" i="4"/>
  <c r="J516" i="4"/>
  <c r="J254" i="4"/>
  <c r="J465" i="4"/>
  <c r="J736" i="4"/>
  <c r="J345" i="4"/>
  <c r="J714" i="4"/>
  <c r="J1105" i="4"/>
  <c r="J987" i="4"/>
  <c r="J706" i="4"/>
  <c r="J77" i="4"/>
  <c r="J642" i="4"/>
  <c r="J362" i="4"/>
  <c r="J140" i="4"/>
  <c r="J749" i="4"/>
  <c r="J437" i="4"/>
  <c r="J487" i="4"/>
  <c r="J841" i="4"/>
  <c r="J555" i="4"/>
  <c r="J290" i="4"/>
  <c r="J522" i="4"/>
  <c r="J659" i="4"/>
  <c r="J454" i="4"/>
  <c r="J317" i="4"/>
  <c r="J652" i="4"/>
  <c r="J893" i="4"/>
  <c r="J619" i="4"/>
  <c r="J635" i="4"/>
  <c r="J441" i="4"/>
  <c r="J493" i="4"/>
  <c r="J238" i="4"/>
  <c r="J881" i="4"/>
  <c r="J195" i="4"/>
  <c r="J325" i="4"/>
  <c r="J655" i="4"/>
  <c r="J606" i="4"/>
  <c r="J324" i="4"/>
  <c r="J866" i="4"/>
  <c r="J576" i="4"/>
  <c r="J308" i="4"/>
  <c r="J246" i="4"/>
  <c r="J684" i="4"/>
  <c r="J300" i="4"/>
  <c r="J160" i="4"/>
  <c r="J669" i="4"/>
  <c r="J898" i="4"/>
  <c r="J232" i="4"/>
  <c r="J663" i="4"/>
  <c r="J466" i="4"/>
  <c r="J327" i="4"/>
  <c r="J556" i="4"/>
  <c r="J1007" i="4"/>
  <c r="J219" i="4"/>
  <c r="J113" i="4"/>
  <c r="J585" i="4"/>
  <c r="J512" i="4"/>
  <c r="J177" i="4"/>
  <c r="J693" i="4"/>
  <c r="J503" i="4"/>
  <c r="J163" i="4"/>
  <c r="J26" i="4"/>
  <c r="J486" i="4"/>
  <c r="J914" i="4"/>
  <c r="J56" i="4"/>
  <c r="J608" i="4"/>
  <c r="J842" i="4"/>
  <c r="J664" i="4"/>
  <c r="J711" i="4"/>
  <c r="J404" i="4"/>
  <c r="J762" i="4"/>
  <c r="J451" i="4"/>
  <c r="J616" i="4"/>
  <c r="J928" i="4"/>
  <c r="J125" i="4"/>
  <c r="J899" i="4"/>
  <c r="J409" i="4"/>
  <c r="J122" i="4"/>
  <c r="J1092" i="4"/>
  <c r="J964" i="4"/>
  <c r="J933" i="4"/>
  <c r="J459" i="4"/>
  <c r="J1017" i="4"/>
  <c r="J342" i="4"/>
  <c r="J571" i="4"/>
  <c r="J1057" i="4"/>
  <c r="J986" i="4"/>
  <c r="J357" i="4"/>
  <c r="J1097" i="4"/>
  <c r="J970" i="4"/>
  <c r="J772" i="4"/>
  <c r="J65" i="4"/>
  <c r="J1018" i="4"/>
  <c r="J867" i="4"/>
  <c r="J581" i="4"/>
  <c r="J1061" i="4"/>
  <c r="J922" i="4"/>
  <c r="J271" i="4"/>
  <c r="J944" i="4"/>
  <c r="J527" i="4"/>
  <c r="J789" i="4"/>
  <c r="J203" i="4"/>
  <c r="J902" i="4"/>
  <c r="J661" i="4"/>
  <c r="J134" i="4"/>
  <c r="J620" i="4"/>
  <c r="J653" i="4"/>
  <c r="J708" i="4"/>
  <c r="J1060" i="4"/>
  <c r="J416" i="4"/>
  <c r="J688" i="4"/>
  <c r="J302" i="4"/>
  <c r="J852" i="4"/>
  <c r="J356" i="4"/>
  <c r="J138" i="4"/>
  <c r="J747" i="4"/>
  <c r="J432" i="4"/>
  <c r="J198" i="4"/>
  <c r="J1106" i="4"/>
  <c r="J423" i="4"/>
  <c r="J281" i="4"/>
  <c r="J738" i="4"/>
  <c r="J535" i="4"/>
  <c r="J273" i="4"/>
  <c r="J208" i="4"/>
  <c r="J750" i="4"/>
  <c r="J438" i="4"/>
  <c r="J897" i="4"/>
  <c r="J840" i="4"/>
  <c r="J1038" i="4"/>
  <c r="J286" i="4"/>
  <c r="J85" i="4"/>
  <c r="J651" i="4"/>
  <c r="J372" i="4"/>
  <c r="J305" i="4"/>
  <c r="J1032" i="4"/>
  <c r="J354" i="4"/>
  <c r="J136" i="4"/>
  <c r="J965" i="4"/>
  <c r="J1040" i="4"/>
  <c r="J725" i="4"/>
  <c r="J93" i="4"/>
  <c r="J993" i="4"/>
  <c r="J812" i="4"/>
  <c r="J321" i="4"/>
  <c r="J1082" i="4"/>
  <c r="J709" i="4"/>
  <c r="J514" i="4"/>
  <c r="J861" i="4"/>
  <c r="J810" i="4"/>
  <c r="J402" i="4"/>
  <c r="J344" i="4"/>
  <c r="J562" i="4"/>
  <c r="J499" i="4"/>
  <c r="J156" i="4"/>
  <c r="J782" i="4"/>
  <c r="J475" i="4"/>
  <c r="J523" i="4"/>
  <c r="J1037" i="4"/>
  <c r="J587" i="4"/>
  <c r="J214" i="4"/>
  <c r="J424" i="4"/>
  <c r="J701" i="4"/>
  <c r="J395" i="4"/>
  <c r="J539" i="4"/>
  <c r="J1086" i="4"/>
  <c r="J498" i="4"/>
  <c r="J242" i="4"/>
  <c r="J885" i="4"/>
  <c r="J612" i="4"/>
  <c r="J241" i="4"/>
  <c r="J563" i="4"/>
  <c r="J1008" i="4"/>
  <c r="J333" i="4"/>
  <c r="J791" i="4"/>
  <c r="J719" i="4"/>
  <c r="J961" i="4"/>
  <c r="J252" i="4"/>
  <c r="J1088" i="4"/>
  <c r="J508" i="4"/>
  <c r="J245" i="4"/>
  <c r="J375" i="4"/>
  <c r="J829" i="4"/>
  <c r="J855" i="4"/>
  <c r="J691" i="4"/>
  <c r="J1049" i="4"/>
  <c r="J912" i="4"/>
  <c r="J267" i="4"/>
  <c r="J1091" i="4"/>
  <c r="J962" i="4"/>
  <c r="J768" i="4"/>
  <c r="J61" i="4"/>
  <c r="J1076" i="4"/>
  <c r="J992" i="4"/>
  <c r="J573" i="4"/>
  <c r="J1058" i="4"/>
  <c r="J918" i="4"/>
  <c r="J680" i="4"/>
  <c r="J1099" i="4"/>
  <c r="J973" i="4"/>
  <c r="J778" i="4"/>
  <c r="J470" i="4"/>
  <c r="J1023" i="4"/>
  <c r="J873" i="4"/>
  <c r="J578" i="4"/>
  <c r="J729" i="4"/>
  <c r="J417" i="4"/>
  <c r="J186" i="4"/>
  <c r="J817" i="4"/>
  <c r="J519" i="4"/>
  <c r="J258" i="4"/>
  <c r="J70" i="4"/>
  <c r="J1025" i="4"/>
  <c r="J349" i="4"/>
  <c r="J589" i="4"/>
  <c r="J1068" i="4"/>
  <c r="J536" i="4"/>
  <c r="J191" i="4"/>
  <c r="J949" i="4"/>
  <c r="J978" i="4"/>
  <c r="J800" i="4"/>
  <c r="J501" i="4"/>
  <c r="J848" i="4"/>
  <c r="J559" i="4"/>
  <c r="J206" i="4"/>
  <c r="J744" i="4"/>
  <c r="J434" i="4"/>
  <c r="J200" i="4"/>
  <c r="J835" i="4"/>
  <c r="J544" i="4"/>
  <c r="J284" i="4"/>
  <c r="J84" i="4"/>
  <c r="J649" i="4"/>
  <c r="J373" i="4"/>
  <c r="J146" i="4"/>
  <c r="J1111" i="4"/>
  <c r="J1001" i="4"/>
  <c r="J618" i="4"/>
  <c r="J985" i="4"/>
  <c r="J934" i="4"/>
  <c r="J492" i="4"/>
  <c r="J95" i="4"/>
  <c r="J880" i="4"/>
  <c r="J605" i="4"/>
  <c r="J636" i="4"/>
  <c r="J770" i="4"/>
  <c r="J472" i="4"/>
  <c r="J529" i="4"/>
  <c r="J876" i="4"/>
  <c r="J588" i="4"/>
  <c r="J740" i="4"/>
  <c r="J104" i="4"/>
  <c r="J698" i="4"/>
  <c r="J394" i="4"/>
  <c r="J166" i="4"/>
  <c r="J794" i="4"/>
  <c r="J952" i="4"/>
  <c r="J540" i="4"/>
  <c r="J936" i="4"/>
  <c r="J1010" i="4"/>
  <c r="J341" i="4"/>
  <c r="J127" i="4"/>
  <c r="J1054" i="4"/>
  <c r="J532" i="4"/>
  <c r="J269" i="4"/>
  <c r="J1045" i="4"/>
  <c r="J910" i="4"/>
  <c r="J257" i="4"/>
  <c r="J1089" i="4"/>
  <c r="J956" i="4"/>
  <c r="J657" i="4"/>
  <c r="J594" i="4"/>
  <c r="J1012" i="4"/>
  <c r="J858" i="4"/>
  <c r="J374" i="4"/>
  <c r="J1051" i="4"/>
  <c r="J913" i="4"/>
  <c r="J673" i="4"/>
  <c r="J1094" i="4"/>
  <c r="J967" i="4"/>
  <c r="J771" i="4"/>
  <c r="J469" i="4"/>
  <c r="J1022" i="4"/>
  <c r="J871" i="4"/>
  <c r="J580" i="4"/>
  <c r="J1064" i="4"/>
  <c r="J924" i="4"/>
  <c r="J683" i="4"/>
  <c r="J946" i="4"/>
  <c r="J981" i="4"/>
  <c r="J795" i="4"/>
  <c r="J385" i="4"/>
  <c r="J976" i="4"/>
  <c r="J783" i="4"/>
  <c r="J477" i="4"/>
  <c r="J838" i="4"/>
  <c r="J931" i="4"/>
  <c r="J716" i="4"/>
  <c r="J1072" i="4"/>
  <c r="J989" i="4"/>
  <c r="J445" i="4"/>
  <c r="J509" i="4"/>
  <c r="J1033" i="4"/>
  <c r="J1002" i="4"/>
  <c r="J830" i="4"/>
  <c r="J1030" i="4"/>
  <c r="J887" i="4"/>
  <c r="J828" i="4"/>
  <c r="J980" i="4"/>
  <c r="J796" i="4"/>
  <c r="J504" i="4"/>
  <c r="J244" i="4"/>
  <c r="J890" i="4"/>
  <c r="J494" i="4"/>
  <c r="J757" i="4"/>
  <c r="J886" i="4"/>
  <c r="J896" i="4"/>
  <c r="J756" i="4"/>
  <c r="J1113" i="4"/>
  <c r="J943" i="4"/>
  <c r="J846" i="4"/>
  <c r="J184" i="4"/>
  <c r="J951" i="4"/>
  <c r="J534" i="4"/>
  <c r="J442" i="4"/>
  <c r="J1047" i="4"/>
  <c r="J909" i="4"/>
  <c r="J665" i="4"/>
  <c r="J1042" i="4"/>
  <c r="J958" i="4"/>
  <c r="J766" i="4"/>
  <c r="J453" i="4"/>
  <c r="J1011" i="4"/>
  <c r="J860" i="4"/>
  <c r="J806" i="4"/>
  <c r="J1056" i="4"/>
  <c r="J917" i="4"/>
  <c r="J678" i="4"/>
  <c r="J1096" i="4"/>
  <c r="J968" i="4"/>
  <c r="J774" i="4"/>
  <c r="J468" i="4"/>
  <c r="J1019" i="4"/>
  <c r="J868" i="4"/>
  <c r="J583" i="4"/>
  <c r="J1066" i="4"/>
  <c r="J640" i="4"/>
  <c r="J687" i="4"/>
  <c r="J1117" i="4"/>
  <c r="J979" i="4"/>
  <c r="J686" i="4"/>
  <c r="J387" i="4"/>
  <c r="J1109" i="4"/>
  <c r="J575" i="4"/>
  <c r="J511" i="4"/>
  <c r="J1034" i="4"/>
  <c r="J999" i="4"/>
  <c r="J390" i="4"/>
  <c r="J1107" i="4"/>
  <c r="J891" i="4"/>
  <c r="J491" i="4"/>
  <c r="J236" i="4"/>
  <c r="J879" i="4"/>
  <c r="J815" i="4"/>
  <c r="J515" i="4"/>
  <c r="J930" i="4"/>
  <c r="J940" i="4"/>
  <c r="J741" i="4"/>
  <c r="J991" i="4"/>
  <c r="J809" i="4"/>
  <c r="J627" i="4"/>
  <c r="J427" i="4"/>
  <c r="J1004" i="4"/>
  <c r="J831" i="4"/>
  <c r="J542" i="4"/>
  <c r="J1000" i="4"/>
  <c r="J901" i="4"/>
  <c r="J654" i="4"/>
  <c r="J1114" i="4"/>
  <c r="J1074" i="4"/>
  <c r="J857" i="4"/>
  <c r="J444" i="4"/>
  <c r="J1009" i="4"/>
  <c r="J854" i="4"/>
  <c r="J561" i="4"/>
  <c r="J1046" i="4"/>
  <c r="J844" i="4"/>
  <c r="J667" i="4"/>
  <c r="J1006" i="4"/>
  <c r="J955" i="4"/>
  <c r="J769" i="4"/>
  <c r="J458" i="4"/>
  <c r="J1016" i="4"/>
  <c r="J865" i="4"/>
  <c r="J572" i="4"/>
  <c r="J1059" i="4"/>
  <c r="J921" i="4"/>
  <c r="J682" i="4"/>
  <c r="J1101" i="4"/>
  <c r="J975" i="4"/>
  <c r="J781" i="4"/>
  <c r="J473" i="4"/>
  <c r="J1077" i="4"/>
  <c r="J932" i="4"/>
  <c r="J590" i="4"/>
  <c r="J1069" i="4"/>
  <c r="J929" i="4"/>
  <c r="J582" i="4"/>
  <c r="J1067" i="4"/>
  <c r="J988" i="4"/>
  <c r="J803" i="4"/>
  <c r="J510" i="4"/>
  <c r="J1110" i="4"/>
  <c r="J892" i="4"/>
  <c r="J623" i="4"/>
  <c r="J1080" i="4"/>
  <c r="J1003" i="4"/>
  <c r="J739" i="4"/>
  <c r="J1081" i="4"/>
  <c r="J939" i="4"/>
  <c r="J621" i="4"/>
  <c r="J557" i="4"/>
  <c r="J947" i="4"/>
  <c r="J845" i="4"/>
  <c r="J558" i="4"/>
  <c r="J1044" i="4"/>
  <c r="J908" i="4"/>
  <c r="J668" i="4"/>
  <c r="J1090" i="4"/>
  <c r="J959" i="4"/>
  <c r="J765" i="4"/>
  <c r="J597" i="4"/>
  <c r="J1075" i="4"/>
  <c r="J862" i="4"/>
  <c r="J569" i="4"/>
  <c r="J1055" i="4"/>
  <c r="J916" i="4"/>
  <c r="J677" i="4"/>
  <c r="J1095" i="4"/>
  <c r="J966" i="4"/>
  <c r="J775" i="4"/>
  <c r="J467" i="4"/>
  <c r="J1021" i="4"/>
  <c r="J869" i="4"/>
  <c r="J579" i="4"/>
  <c r="J1063" i="4"/>
  <c r="J926" i="4"/>
  <c r="J685" i="4"/>
  <c r="J1102" i="4"/>
  <c r="J977" i="4"/>
  <c r="J787" i="4"/>
  <c r="J480" i="4"/>
  <c r="J971" i="4"/>
  <c r="J884" i="4"/>
  <c r="J476" i="4"/>
  <c r="J1026" i="4"/>
  <c r="J998" i="4"/>
  <c r="J617" i="4"/>
  <c r="J1108" i="4"/>
  <c r="J941" i="4"/>
  <c r="J742" i="4"/>
  <c r="J428" i="4"/>
  <c r="J1005" i="4"/>
  <c r="J853" i="4"/>
  <c r="J676" i="4"/>
  <c r="J1043" i="4"/>
  <c r="J907" i="4"/>
  <c r="J666" i="4"/>
  <c r="J1116" i="4"/>
  <c r="J960" i="4"/>
  <c r="J767" i="4"/>
  <c r="J456" i="4"/>
  <c r="J1013" i="4"/>
  <c r="J859" i="4"/>
  <c r="J807" i="4"/>
  <c r="J1053" i="4"/>
  <c r="J915" i="4"/>
  <c r="J674" i="4"/>
  <c r="J1093" i="4"/>
  <c r="J969" i="4"/>
  <c r="J773" i="4"/>
  <c r="J464" i="4"/>
  <c r="J1020" i="4"/>
  <c r="J870" i="4"/>
  <c r="J577" i="4"/>
  <c r="J1065" i="4"/>
  <c r="J927" i="4"/>
  <c r="J692" i="4"/>
  <c r="J1104" i="4"/>
  <c r="J983" i="4"/>
  <c r="J801" i="4"/>
  <c r="J502" i="4"/>
  <c r="J1031" i="4"/>
  <c r="J888" i="4"/>
  <c r="J613" i="4"/>
  <c r="J1121" i="4"/>
  <c r="J1041" i="4"/>
  <c r="J821" i="4"/>
  <c r="J1118" i="4"/>
  <c r="J995" i="4"/>
  <c r="J895" i="4"/>
  <c r="J633" i="4"/>
  <c r="J1084" i="4"/>
  <c r="J945" i="4"/>
  <c r="J662" i="4"/>
  <c r="J1119" i="4"/>
  <c r="J997" i="4"/>
  <c r="J911" i="4"/>
  <c r="J1120" i="4"/>
  <c r="J1073" i="4"/>
  <c r="F4" i="3"/>
  <c r="F90" i="4"/>
  <c r="F6" i="4"/>
  <c r="F5" i="4"/>
  <c r="F8" i="4"/>
  <c r="F14" i="4"/>
  <c r="G14" i="4" s="1"/>
  <c r="F74" i="4"/>
  <c r="F9" i="4"/>
  <c r="F16" i="4"/>
  <c r="F71" i="4"/>
  <c r="F353" i="4"/>
  <c r="G353" i="4" s="1"/>
  <c r="F275" i="4"/>
  <c r="F195" i="4"/>
  <c r="G195" i="4" s="1"/>
  <c r="F658" i="4"/>
  <c r="F560" i="4"/>
  <c r="F97" i="4"/>
  <c r="F380" i="4"/>
  <c r="F12" i="4"/>
  <c r="F151" i="4"/>
  <c r="F100" i="4"/>
  <c r="G100" i="4" s="1"/>
  <c r="F227" i="4"/>
  <c r="G227" i="4" s="1"/>
  <c r="F312" i="4"/>
  <c r="G312" i="4" s="1"/>
  <c r="F482" i="4"/>
  <c r="G482" i="4" s="1"/>
  <c r="F25" i="4"/>
  <c r="G25" i="4" s="1"/>
  <c r="F50" i="4"/>
  <c r="F316" i="4"/>
  <c r="G316" i="4" s="1"/>
  <c r="F599" i="4"/>
  <c r="G599" i="4" s="1"/>
  <c r="F702" i="4"/>
  <c r="G702" i="4" s="1"/>
  <c r="F28" i="4"/>
  <c r="G28" i="4" s="1"/>
  <c r="F705" i="4"/>
  <c r="G705" i="4" s="1"/>
  <c r="F397" i="4"/>
  <c r="G397" i="4" s="1"/>
  <c r="F240" i="4"/>
  <c r="G240" i="4" s="1"/>
  <c r="F30" i="4"/>
  <c r="G30" i="4" s="1"/>
  <c r="F403" i="4"/>
  <c r="G403" i="4" s="1"/>
  <c r="F57" i="4"/>
  <c r="G57" i="4" s="1"/>
  <c r="F710" i="4"/>
  <c r="G710" i="4" s="1"/>
  <c r="F335" i="4"/>
  <c r="F411" i="4"/>
  <c r="G411" i="4" s="1"/>
  <c r="F180" i="4"/>
  <c r="F250" i="4"/>
  <c r="F36" i="4"/>
  <c r="G36" i="4" s="1"/>
  <c r="F531" i="4"/>
  <c r="F364" i="4"/>
  <c r="F142" i="4"/>
  <c r="F255" i="4"/>
  <c r="F132" i="4"/>
  <c r="F76" i="4"/>
  <c r="F537" i="4"/>
  <c r="F41" i="4"/>
  <c r="F299" i="4"/>
  <c r="F461" i="4"/>
  <c r="F98" i="4"/>
  <c r="F584" i="4"/>
  <c r="F788" i="4"/>
  <c r="F150" i="4"/>
  <c r="F568" i="4"/>
  <c r="G568" i="4" s="1"/>
  <c r="F46" i="4"/>
  <c r="F585" i="4"/>
  <c r="G585" i="4" s="1"/>
  <c r="F124" i="4"/>
  <c r="F102" i="4"/>
  <c r="G102" i="4" s="1"/>
  <c r="F593" i="4"/>
  <c r="G593" i="4" s="1"/>
  <c r="F49" i="4"/>
  <c r="G49" i="4" s="1"/>
  <c r="F24" i="4"/>
  <c r="G24" i="4" s="1"/>
  <c r="F163" i="4"/>
  <c r="G163" i="4" s="1"/>
  <c r="F26" i="4"/>
  <c r="G26" i="4" s="1"/>
  <c r="F170" i="4"/>
  <c r="G170" i="4" s="1"/>
  <c r="F600" i="4"/>
  <c r="G600" i="4" s="1"/>
  <c r="F54" i="4"/>
  <c r="F115" i="4"/>
  <c r="G115" i="4" s="1"/>
  <c r="F500" i="4"/>
  <c r="G500" i="4" s="1"/>
  <c r="F331" i="4"/>
  <c r="F717" i="4"/>
  <c r="F61" i="4"/>
  <c r="F813" i="4"/>
  <c r="F817" i="4"/>
  <c r="G817" i="4" s="1"/>
  <c r="F526" i="4"/>
  <c r="G526" i="4" s="1"/>
  <c r="F628" i="4"/>
  <c r="G628" i="4" s="1"/>
  <c r="F516" i="4"/>
  <c r="G516" i="4" s="1"/>
  <c r="F254" i="4"/>
  <c r="G254" i="4" s="1"/>
  <c r="F137" i="4"/>
  <c r="F746" i="4"/>
  <c r="G746" i="4" s="1"/>
  <c r="F359" i="4"/>
  <c r="G359" i="4" s="1"/>
  <c r="F79" i="4"/>
  <c r="G79" i="4" s="1"/>
  <c r="F642" i="4"/>
  <c r="F282" i="4"/>
  <c r="G282" i="4" s="1"/>
  <c r="F81" i="4"/>
  <c r="G81" i="4" s="1"/>
  <c r="F645" i="4"/>
  <c r="G645" i="4" s="1"/>
  <c r="F82" i="4"/>
  <c r="G82" i="4" s="1"/>
  <c r="F646" i="4"/>
  <c r="G646" i="4" s="1"/>
  <c r="F83" i="4"/>
  <c r="G83" i="4" s="1"/>
  <c r="F649" i="4"/>
  <c r="G649" i="4" s="1"/>
  <c r="F212" i="4"/>
  <c r="F148" i="4"/>
  <c r="F758" i="4"/>
  <c r="F278" i="4"/>
  <c r="F291" i="4"/>
  <c r="F379" i="4"/>
  <c r="F123" i="4"/>
  <c r="F99" i="4"/>
  <c r="F158" i="4"/>
  <c r="F784" i="4"/>
  <c r="F159" i="4"/>
  <c r="G159" i="4" s="1"/>
  <c r="F587" i="4"/>
  <c r="G587" i="4" s="1"/>
  <c r="F763" i="4"/>
  <c r="F216" i="4"/>
  <c r="F592" i="4"/>
  <c r="G592" i="4" s="1"/>
  <c r="F565" i="4"/>
  <c r="F167" i="4"/>
  <c r="G167" i="4" s="1"/>
  <c r="F660" i="4"/>
  <c r="F382" i="4"/>
  <c r="F242" i="4"/>
  <c r="F129" i="4"/>
  <c r="F304" i="4"/>
  <c r="F21" i="4"/>
  <c r="F462" i="4"/>
  <c r="G462" i="4" s="1"/>
  <c r="F155" i="4"/>
  <c r="F384" i="4"/>
  <c r="F178" i="4"/>
  <c r="F157" i="4"/>
  <c r="G157" i="4" s="1"/>
  <c r="F48" i="4"/>
  <c r="G48" i="4" s="1"/>
  <c r="F693" i="4"/>
  <c r="G693" i="4" s="1"/>
  <c r="F391" i="4"/>
  <c r="G391" i="4" s="1"/>
  <c r="F229" i="4"/>
  <c r="G229" i="4" s="1"/>
  <c r="F699" i="4"/>
  <c r="G699" i="4" s="1"/>
  <c r="F396" i="4"/>
  <c r="G396" i="4" s="1"/>
  <c r="F171" i="4"/>
  <c r="G171" i="4" s="1"/>
  <c r="F508" i="4"/>
  <c r="G508" i="4" s="1"/>
  <c r="F55" i="4"/>
  <c r="G55" i="4" s="1"/>
  <c r="F56" i="4"/>
  <c r="G56" i="4" s="1"/>
  <c r="F328" i="4"/>
  <c r="F351" i="4"/>
  <c r="G351" i="4" s="1"/>
  <c r="F118" i="4"/>
  <c r="F343" i="4"/>
  <c r="F517" i="4"/>
  <c r="F128" i="4"/>
  <c r="F271" i="4"/>
  <c r="G271" i="4" s="1"/>
  <c r="F519" i="4"/>
  <c r="G519" i="4" s="1"/>
  <c r="F625" i="4"/>
  <c r="G625" i="4" s="1"/>
  <c r="F626" i="4"/>
  <c r="G626" i="4" s="1"/>
  <c r="F524" i="4"/>
  <c r="G524" i="4" s="1"/>
  <c r="F70" i="4"/>
  <c r="G70" i="4" s="1"/>
  <c r="F190" i="4"/>
  <c r="G190" i="4" s="1"/>
  <c r="F630" i="4"/>
  <c r="G630" i="4" s="1"/>
  <c r="F340" i="4"/>
  <c r="F248" i="4"/>
  <c r="F518" i="4"/>
  <c r="G518" i="4" s="1"/>
  <c r="F833" i="4"/>
  <c r="G833" i="4" s="1"/>
  <c r="F748" i="4"/>
  <c r="F200" i="4"/>
  <c r="G200" i="4" s="1"/>
  <c r="F834" i="4"/>
  <c r="G834" i="4" s="1"/>
  <c r="F80" i="4"/>
  <c r="G80" i="4" s="1"/>
  <c r="F92" i="4"/>
  <c r="F438" i="4"/>
  <c r="G438" i="4" s="1"/>
  <c r="F144" i="4"/>
  <c r="F840" i="4"/>
  <c r="G840" i="4" s="1"/>
  <c r="F287" i="4"/>
  <c r="G287" i="4" s="1"/>
  <c r="F651" i="4"/>
  <c r="G651" i="4" s="1"/>
  <c r="F354" i="4"/>
  <c r="F89" i="4"/>
  <c r="F637" i="4"/>
  <c r="F94" i="4"/>
  <c r="F849" i="4"/>
  <c r="F371" i="4"/>
  <c r="F295" i="4"/>
  <c r="F37" i="4"/>
  <c r="F17" i="4"/>
  <c r="F494" i="4"/>
  <c r="F777" i="4"/>
  <c r="G777" i="4" s="1"/>
  <c r="F329" i="4"/>
  <c r="F562" i="4"/>
  <c r="G562" i="4" s="1"/>
  <c r="F310" i="4"/>
  <c r="G310" i="4" s="1"/>
  <c r="F217" i="4"/>
  <c r="F40" i="4"/>
  <c r="F483" i="4"/>
  <c r="G483" i="4" s="1"/>
  <c r="F211" i="4"/>
  <c r="F394" i="4"/>
  <c r="G394" i="4" s="1"/>
  <c r="F47" i="4"/>
  <c r="F311" i="4"/>
  <c r="G311" i="4" s="1"/>
  <c r="F7" i="4"/>
  <c r="F44" i="4"/>
  <c r="F935" i="4"/>
  <c r="F512" i="4"/>
  <c r="F389" i="4"/>
  <c r="G389" i="4" s="1"/>
  <c r="F388" i="4"/>
  <c r="G388" i="4" s="1"/>
  <c r="F162" i="4"/>
  <c r="G162" i="4" s="1"/>
  <c r="F595" i="4"/>
  <c r="G595" i="4" s="1"/>
  <c r="F485" i="4"/>
  <c r="G485" i="4" s="1"/>
  <c r="F410" i="4"/>
  <c r="F719" i="4"/>
  <c r="G719" i="4" s="1"/>
  <c r="F938" i="4"/>
  <c r="F110" i="4"/>
  <c r="G110" i="4" s="1"/>
  <c r="F127" i="4"/>
  <c r="F173" i="4"/>
  <c r="G173" i="4" s="1"/>
  <c r="F29" i="4"/>
  <c r="G29" i="4" s="1"/>
  <c r="F400" i="4"/>
  <c r="F604" i="4"/>
  <c r="F607" i="4"/>
  <c r="G607" i="4" s="1"/>
  <c r="F338" i="4"/>
  <c r="F530" i="4"/>
  <c r="G530" i="4" s="1"/>
  <c r="F194" i="4"/>
  <c r="F62" i="4"/>
  <c r="F59" i="4"/>
  <c r="F408" i="4"/>
  <c r="F730" i="4"/>
  <c r="G730" i="4" s="1"/>
  <c r="F417" i="4"/>
  <c r="G417" i="4" s="1"/>
  <c r="F640" i="4"/>
  <c r="G640" i="4" s="1"/>
  <c r="F68" i="4"/>
  <c r="G68" i="4" s="1"/>
  <c r="F69" i="4"/>
  <c r="G69" i="4" s="1"/>
  <c r="F264" i="4"/>
  <c r="G264" i="4" s="1"/>
  <c r="F265" i="4"/>
  <c r="G265" i="4" s="1"/>
  <c r="F547" i="4"/>
  <c r="F134" i="4"/>
  <c r="F826" i="4"/>
  <c r="F414" i="4"/>
  <c r="F183" i="4"/>
  <c r="G183" i="4" s="1"/>
  <c r="F416" i="4"/>
  <c r="F345" i="4"/>
  <c r="F521" i="4"/>
  <c r="F838" i="4"/>
  <c r="F11" i="4"/>
  <c r="F206" i="4"/>
  <c r="F832" i="4"/>
  <c r="F358" i="4"/>
  <c r="F276" i="4"/>
  <c r="F430" i="4"/>
  <c r="F193" i="4"/>
  <c r="F91" i="4"/>
  <c r="F280" i="4"/>
  <c r="F545" i="4"/>
  <c r="G545" i="4" s="1"/>
  <c r="F202" i="4"/>
  <c r="F141" i="4"/>
  <c r="G141" i="4" s="1"/>
  <c r="F143" i="4"/>
  <c r="F86" i="4"/>
  <c r="G86" i="4" s="1"/>
  <c r="F149" i="4"/>
  <c r="F575" i="4"/>
  <c r="F443" i="4"/>
  <c r="G443" i="4" s="1"/>
  <c r="F366" i="4"/>
  <c r="G366" i="4" s="1"/>
  <c r="F652" i="4"/>
  <c r="F985" i="4"/>
  <c r="F322" i="4"/>
  <c r="G322" i="4" s="1"/>
  <c r="F796" i="4"/>
  <c r="G796" i="4" s="1"/>
  <c r="F799" i="4"/>
  <c r="G799" i="4" s="1"/>
  <c r="F533" i="4"/>
  <c r="G533" i="4" s="1"/>
  <c r="F635" i="4"/>
  <c r="F655" i="4"/>
  <c r="F355" i="4"/>
  <c r="G355" i="4" s="1"/>
  <c r="F224" i="4"/>
  <c r="F720" i="4"/>
  <c r="F213" i="4"/>
  <c r="F378" i="4"/>
  <c r="F156" i="4"/>
  <c r="G156" i="4" s="1"/>
  <c r="F472" i="4"/>
  <c r="G472" i="4" s="1"/>
  <c r="F782" i="4"/>
  <c r="G782" i="4" s="1"/>
  <c r="F684" i="4"/>
  <c r="F761" i="4"/>
  <c r="G761" i="4" s="1"/>
  <c r="F214" i="4"/>
  <c r="F314" i="4"/>
  <c r="G314" i="4" s="1"/>
  <c r="F303" i="4"/>
  <c r="F698" i="4"/>
  <c r="G698" i="4" s="1"/>
  <c r="F455" i="4"/>
  <c r="G455" i="4" s="1"/>
  <c r="F489" i="4"/>
  <c r="G489" i="4" s="1"/>
  <c r="F407" i="4"/>
  <c r="F101" i="4"/>
  <c r="F885" i="4"/>
  <c r="G885" i="4" s="1"/>
  <c r="F219" i="4"/>
  <c r="G219" i="4" s="1"/>
  <c r="F603" i="4"/>
  <c r="F306" i="4"/>
  <c r="F113" i="4"/>
  <c r="F103" i="4"/>
  <c r="G103" i="4" s="1"/>
  <c r="F823" i="4"/>
  <c r="F22" i="4"/>
  <c r="F484" i="4"/>
  <c r="F27" i="4"/>
  <c r="G27" i="4" s="1"/>
  <c r="F341" i="4"/>
  <c r="F121" i="4"/>
  <c r="G121" i="4" s="1"/>
  <c r="F703" i="4"/>
  <c r="G703" i="4" s="1"/>
  <c r="F251" i="4"/>
  <c r="F53" i="4"/>
  <c r="F33" i="4"/>
  <c r="F497" i="4"/>
  <c r="F32" i="4"/>
  <c r="G32" i="4" s="1"/>
  <c r="F608" i="4"/>
  <c r="G608" i="4" s="1"/>
  <c r="F822" i="4"/>
  <c r="G822" i="4" s="1"/>
  <c r="F551" i="4"/>
  <c r="F267" i="4"/>
  <c r="G267" i="4" s="1"/>
  <c r="F611" i="4"/>
  <c r="G611" i="4" s="1"/>
  <c r="F409" i="4"/>
  <c r="F253" i="4"/>
  <c r="G253" i="4" s="1"/>
  <c r="F65" i="4"/>
  <c r="G65" i="4" s="1"/>
  <c r="F900" i="4"/>
  <c r="F187" i="4"/>
  <c r="G187" i="4" s="1"/>
  <c r="F346" i="4"/>
  <c r="F520" i="4"/>
  <c r="G520" i="4" s="1"/>
  <c r="F731" i="4"/>
  <c r="G731" i="4" s="1"/>
  <c r="F189" i="4"/>
  <c r="G189" i="4" s="1"/>
  <c r="F949" i="4"/>
  <c r="F661" i="4"/>
  <c r="F181" i="4"/>
  <c r="G181" i="4" s="1"/>
  <c r="F35" i="4"/>
  <c r="F631" i="4"/>
  <c r="F376" i="4"/>
  <c r="G376" i="4" s="1"/>
  <c r="F747" i="4"/>
  <c r="G747" i="4" s="1"/>
  <c r="F196" i="4"/>
  <c r="F638" i="4"/>
  <c r="G638" i="4" s="1"/>
  <c r="F543" i="4"/>
  <c r="G543" i="4" s="1"/>
  <c r="F435" i="4"/>
  <c r="G435" i="4" s="1"/>
  <c r="F367" i="4"/>
  <c r="G367" i="4" s="1"/>
  <c r="F752" i="4"/>
  <c r="F204" i="4"/>
  <c r="F205" i="4"/>
  <c r="G205" i="4" s="1"/>
  <c r="F903" i="4"/>
  <c r="F553" i="4"/>
  <c r="G553" i="4" s="1"/>
  <c r="F372" i="4"/>
  <c r="G372" i="4" s="1"/>
  <c r="F538" i="4"/>
  <c r="F136" i="4"/>
  <c r="F15" i="4"/>
  <c r="F285" i="4"/>
  <c r="F659" i="4"/>
  <c r="F792" i="4"/>
  <c r="G792" i="4" s="1"/>
  <c r="F87" i="4"/>
  <c r="F491" i="4"/>
  <c r="F882" i="4"/>
  <c r="F361" i="4"/>
  <c r="F301" i="4"/>
  <c r="G301" i="4" s="1"/>
  <c r="F804" i="4"/>
  <c r="G804" i="4" s="1"/>
  <c r="F369" i="4"/>
  <c r="F506" i="4"/>
  <c r="F18" i="4"/>
  <c r="F614" i="4"/>
  <c r="G614" i="4" s="1"/>
  <c r="F13" i="4"/>
  <c r="F875" i="4"/>
  <c r="G875" i="4" s="1"/>
  <c r="F523" i="4"/>
  <c r="G523" i="4" s="1"/>
  <c r="F697" i="4"/>
  <c r="G697" i="4" s="1"/>
  <c r="F670" i="4"/>
  <c r="F602" i="4"/>
  <c r="G602" i="4" s="1"/>
  <c r="F323" i="4"/>
  <c r="G323" i="4" s="1"/>
  <c r="F247" i="4"/>
  <c r="G247" i="4" s="1"/>
  <c r="F309" i="4"/>
  <c r="G309" i="4" s="1"/>
  <c r="F690" i="4"/>
  <c r="F540" i="4"/>
  <c r="F474" i="4"/>
  <c r="F333" i="4"/>
  <c r="F105" i="4"/>
  <c r="G105" i="4" s="1"/>
  <c r="F695" i="4"/>
  <c r="G695" i="4" s="1"/>
  <c r="F243" i="4"/>
  <c r="G243" i="4" s="1"/>
  <c r="F334" i="4"/>
  <c r="G334" i="4" s="1"/>
  <c r="F825" i="4"/>
  <c r="F488" i="4"/>
  <c r="G488" i="4" s="1"/>
  <c r="F320" i="4"/>
  <c r="G320" i="4" s="1"/>
  <c r="F399" i="4"/>
  <c r="F808" i="4"/>
  <c r="F704" i="4"/>
  <c r="G704" i="4" s="1"/>
  <c r="F52" i="4"/>
  <c r="F31" i="4"/>
  <c r="F842" i="4"/>
  <c r="F116" i="4"/>
  <c r="F259" i="4"/>
  <c r="G259" i="4" s="1"/>
  <c r="F418" i="4"/>
  <c r="G418" i="4" s="1"/>
  <c r="F528" i="4"/>
  <c r="F125" i="4"/>
  <c r="F899" i="4"/>
  <c r="G899" i="4" s="1"/>
  <c r="F337" i="4"/>
  <c r="F729" i="4"/>
  <c r="F723" i="4"/>
  <c r="F624" i="4"/>
  <c r="F130" i="4"/>
  <c r="G130" i="4" s="1"/>
  <c r="F420" i="4"/>
  <c r="G420" i="4" s="1"/>
  <c r="F615" i="4"/>
  <c r="F133" i="4"/>
  <c r="G133" i="4" s="1"/>
  <c r="F824" i="4"/>
  <c r="G824" i="4" s="1"/>
  <c r="F422" i="4"/>
  <c r="F1052" i="4"/>
  <c r="G1052" i="4" s="1"/>
  <c r="F726" i="4"/>
  <c r="G726" i="4" s="1"/>
  <c r="F63" i="4"/>
  <c r="F64" i="4"/>
  <c r="F38" i="4"/>
  <c r="G38" i="4" s="1"/>
  <c r="F270" i="4"/>
  <c r="F260" i="4"/>
  <c r="F292" i="4"/>
  <c r="G292" i="4" s="1"/>
  <c r="F596" i="4"/>
  <c r="G596" i="4" s="1"/>
  <c r="F954" i="4"/>
  <c r="F356" i="4"/>
  <c r="F541" i="4"/>
  <c r="G541" i="4" s="1"/>
  <c r="F77" i="4"/>
  <c r="F434" i="4"/>
  <c r="G434" i="4" s="1"/>
  <c r="F641" i="4"/>
  <c r="G641" i="4" s="1"/>
  <c r="F365" i="4"/>
  <c r="G365" i="4" s="1"/>
  <c r="F283" i="4"/>
  <c r="G283" i="4" s="1"/>
  <c r="F750" i="4"/>
  <c r="G750" i="4" s="1"/>
  <c r="F839" i="4"/>
  <c r="G839" i="4" s="1"/>
  <c r="F273" i="4"/>
  <c r="F751" i="4"/>
  <c r="G751" i="4" s="1"/>
  <c r="F85" i="4"/>
  <c r="G85" i="4" s="1"/>
  <c r="F700" i="4"/>
  <c r="F487" i="4"/>
  <c r="F147" i="4"/>
  <c r="G147" i="4" s="1"/>
  <c r="F965" i="4"/>
  <c r="G965" i="4" s="1"/>
  <c r="F1078" i="4"/>
  <c r="F552" i="4"/>
  <c r="F982" i="4"/>
  <c r="F454" i="4"/>
  <c r="F851" i="4"/>
  <c r="F490" i="4"/>
  <c r="F321" i="4"/>
  <c r="G321" i="4" s="1"/>
  <c r="F182" i="4"/>
  <c r="F605" i="4"/>
  <c r="G605" i="4" s="1"/>
  <c r="F274" i="4"/>
  <c r="F452" i="4"/>
  <c r="F889" i="4"/>
  <c r="F514" i="4"/>
  <c r="F10" i="4"/>
  <c r="F294" i="4"/>
  <c r="F672" i="4"/>
  <c r="F809" i="4"/>
  <c r="F883" i="4"/>
  <c r="F154" i="4"/>
  <c r="F576" i="4"/>
  <c r="G576" i="4" s="1"/>
  <c r="F308" i="4"/>
  <c r="G308" i="4" s="1"/>
  <c r="F223" i="4"/>
  <c r="F786" i="4"/>
  <c r="G786" i="4" s="1"/>
  <c r="F449" i="4"/>
  <c r="F588" i="4"/>
  <c r="G588" i="4" s="1"/>
  <c r="F896" i="4"/>
  <c r="F19" i="4"/>
  <c r="F669" i="4"/>
  <c r="G669" i="4" s="1"/>
  <c r="F230" i="4"/>
  <c r="G230" i="4" s="1"/>
  <c r="F168" i="4"/>
  <c r="G168" i="4" s="1"/>
  <c r="F742" i="4"/>
  <c r="F460" i="4"/>
  <c r="F1004" i="4"/>
  <c r="F20" i="4"/>
  <c r="F153" i="4"/>
  <c r="F663" i="4"/>
  <c r="F712" i="4"/>
  <c r="F1007" i="4"/>
  <c r="F215" i="4"/>
  <c r="F184" i="4"/>
  <c r="F383" i="4"/>
  <c r="F117" i="4"/>
  <c r="G117" i="4" s="1"/>
  <c r="F406" i="4"/>
  <c r="F106" i="4"/>
  <c r="F107" i="4"/>
  <c r="F315" i="4"/>
  <c r="G315" i="4" s="1"/>
  <c r="F58" i="4"/>
  <c r="F486" i="4"/>
  <c r="G486" i="4" s="1"/>
  <c r="F111" i="4"/>
  <c r="G111" i="4" s="1"/>
  <c r="F319" i="4"/>
  <c r="G319" i="4" s="1"/>
  <c r="F398" i="4"/>
  <c r="G398" i="4" s="1"/>
  <c r="F176" i="4"/>
  <c r="G176" i="4" s="1"/>
  <c r="F239" i="4"/>
  <c r="G239" i="4" s="1"/>
  <c r="F907" i="4"/>
  <c r="G907" i="4" s="1"/>
  <c r="F1046" i="4"/>
  <c r="G1046" i="4" s="1"/>
  <c r="F375" i="4"/>
  <c r="F665" i="4"/>
  <c r="G665" i="4" s="1"/>
  <c r="F34" i="4"/>
  <c r="F894" i="4"/>
  <c r="G894" i="4" s="1"/>
  <c r="F1049" i="4"/>
  <c r="G1049" i="4" s="1"/>
  <c r="F421" i="4"/>
  <c r="G421" i="4" s="1"/>
  <c r="F1011" i="4"/>
  <c r="F860" i="4"/>
  <c r="F1015" i="4"/>
  <c r="F864" i="4"/>
  <c r="G864" i="4" s="1"/>
  <c r="F916" i="4"/>
  <c r="G916" i="4" s="1"/>
  <c r="F727" i="4"/>
  <c r="F1093" i="4"/>
  <c r="G1093" i="4" s="1"/>
  <c r="F918" i="4"/>
  <c r="G918" i="4" s="1"/>
  <c r="F679" i="4"/>
  <c r="G679" i="4" s="1"/>
  <c r="F728" i="4"/>
  <c r="F681" i="4"/>
  <c r="G681" i="4" s="1"/>
  <c r="F773" i="4"/>
  <c r="G773" i="4" s="1"/>
  <c r="F867" i="4"/>
  <c r="G867" i="4" s="1"/>
  <c r="F922" i="4"/>
  <c r="G922" i="4" s="1"/>
  <c r="F1062" i="4"/>
  <c r="G1062" i="4" s="1"/>
  <c r="F583" i="4"/>
  <c r="G583" i="4" s="1"/>
  <c r="F819" i="4"/>
  <c r="G819" i="4" s="1"/>
  <c r="F818" i="4"/>
  <c r="G818" i="4" s="1"/>
  <c r="F272" i="4"/>
  <c r="F527" i="4"/>
  <c r="G527" i="4" s="1"/>
  <c r="F191" i="4"/>
  <c r="F733" i="4"/>
  <c r="G733" i="4" s="1"/>
  <c r="F948" i="4"/>
  <c r="F513" i="4"/>
  <c r="F929" i="4"/>
  <c r="F620" i="4"/>
  <c r="G620" i="4" s="1"/>
  <c r="F971" i="4"/>
  <c r="F976" i="4"/>
  <c r="G976" i="4" s="1"/>
  <c r="F714" i="4"/>
  <c r="G714" i="4" s="1"/>
  <c r="F785" i="4"/>
  <c r="F1026" i="4"/>
  <c r="G1026" i="4" s="1"/>
  <c r="F387" i="4"/>
  <c r="G387" i="4" s="1"/>
  <c r="F888" i="4"/>
  <c r="F559" i="4"/>
  <c r="G559" i="4" s="1"/>
  <c r="F852" i="4"/>
  <c r="F78" i="4"/>
  <c r="F431" i="4"/>
  <c r="G431" i="4" s="1"/>
  <c r="F432" i="4"/>
  <c r="G432" i="4" s="1"/>
  <c r="F199" i="4"/>
  <c r="G199" i="4" s="1"/>
  <c r="F836" i="4"/>
  <c r="G836" i="4" s="1"/>
  <c r="F837" i="4"/>
  <c r="G837" i="4" s="1"/>
  <c r="F535" i="4"/>
  <c r="F284" i="4"/>
  <c r="G284" i="4" s="1"/>
  <c r="F753" i="4"/>
  <c r="G753" i="4" s="1"/>
  <c r="F440" i="4"/>
  <c r="F368" i="4"/>
  <c r="G368" i="4" s="1"/>
  <c r="F754" i="4"/>
  <c r="G754" i="4" s="1"/>
  <c r="F887" i="4"/>
  <c r="F290" i="4"/>
  <c r="F93" i="4"/>
  <c r="F980" i="4"/>
  <c r="F1107" i="4"/>
  <c r="F617" i="4"/>
  <c r="F891" i="4"/>
  <c r="F1108" i="4"/>
  <c r="F95" i="4"/>
  <c r="F237" i="4"/>
  <c r="F707" i="4"/>
  <c r="F493" i="4"/>
  <c r="F325" i="4"/>
  <c r="G325" i="4" s="1"/>
  <c r="F755" i="4"/>
  <c r="F298" i="4"/>
  <c r="G298" i="4" s="1"/>
  <c r="F644" i="4"/>
  <c r="F209" i="4"/>
  <c r="F152" i="4"/>
  <c r="G152" i="4" s="1"/>
  <c r="F344" i="4"/>
  <c r="F1036" i="4"/>
  <c r="F300" i="4"/>
  <c r="G300" i="4" s="1"/>
  <c r="F160" i="4"/>
  <c r="G160" i="4" s="1"/>
  <c r="F529" i="4"/>
  <c r="F350" i="4"/>
  <c r="G350" i="4" s="1"/>
  <c r="F886" i="4"/>
  <c r="F425" i="4"/>
  <c r="F108" i="4"/>
  <c r="G108" i="4" s="1"/>
  <c r="F165" i="4"/>
  <c r="G165" i="4" s="1"/>
  <c r="F293" i="4"/>
  <c r="F395" i="4"/>
  <c r="G395" i="4" s="1"/>
  <c r="F231" i="4"/>
  <c r="G231" i="4" s="1"/>
  <c r="F381" i="4"/>
  <c r="F1039" i="4"/>
  <c r="F427" i="4"/>
  <c r="F539" i="4"/>
  <c r="F221" i="4"/>
  <c r="F1005" i="4"/>
  <c r="F466" i="4"/>
  <c r="F612" i="4"/>
  <c r="F505" i="4"/>
  <c r="F901" i="4"/>
  <c r="G901" i="4" s="1"/>
  <c r="F307" i="4"/>
  <c r="G307" i="4" s="1"/>
  <c r="F811" i="4"/>
  <c r="F225" i="4"/>
  <c r="F226" i="4"/>
  <c r="F689" i="4"/>
  <c r="G689" i="4" s="1"/>
  <c r="F591" i="4"/>
  <c r="G591" i="4" s="1"/>
  <c r="F177" i="4"/>
  <c r="G177" i="4" s="1"/>
  <c r="F845" i="4"/>
  <c r="F694" i="4"/>
  <c r="G694" i="4" s="1"/>
  <c r="F392" i="4"/>
  <c r="G392" i="4" s="1"/>
  <c r="F598" i="4"/>
  <c r="G598" i="4" s="1"/>
  <c r="F51" i="4"/>
  <c r="G51" i="4" s="1"/>
  <c r="F318" i="4"/>
  <c r="G318" i="4" s="1"/>
  <c r="F444" i="4"/>
  <c r="F109" i="4"/>
  <c r="G109" i="4" s="1"/>
  <c r="F112" i="4"/>
  <c r="G112" i="4" s="1"/>
  <c r="F235" i="4"/>
  <c r="G235" i="4" s="1"/>
  <c r="F1054" i="4"/>
  <c r="F735" i="4"/>
  <c r="F175" i="4"/>
  <c r="G175" i="4" s="1"/>
  <c r="F534" i="4"/>
  <c r="G534" i="4" s="1"/>
  <c r="F245" i="4"/>
  <c r="F1047" i="4"/>
  <c r="G1047" i="4" s="1"/>
  <c r="F330" i="4"/>
  <c r="G330" i="4" s="1"/>
  <c r="F711" i="4"/>
  <c r="G711" i="4" s="1"/>
  <c r="F855" i="4"/>
  <c r="F404" i="4"/>
  <c r="G404" i="4" s="1"/>
  <c r="F958" i="4"/>
  <c r="G958" i="4" s="1"/>
  <c r="F657" i="4"/>
  <c r="F912" i="4"/>
  <c r="G912" i="4" s="1"/>
  <c r="F766" i="4"/>
  <c r="G766" i="4" s="1"/>
  <c r="F718" i="4"/>
  <c r="F769" i="4"/>
  <c r="G769" i="4" s="1"/>
  <c r="F1075" i="4"/>
  <c r="F120" i="4"/>
  <c r="F249" i="4"/>
  <c r="F858" i="4"/>
  <c r="G858" i="4" s="1"/>
  <c r="F122" i="4"/>
  <c r="F913" i="4"/>
  <c r="F507" i="4"/>
  <c r="F459" i="4"/>
  <c r="G459" i="4" s="1"/>
  <c r="F268" i="4"/>
  <c r="F816" i="4"/>
  <c r="F920" i="4"/>
  <c r="G920" i="4" s="1"/>
  <c r="F357" i="4"/>
  <c r="F771" i="4"/>
  <c r="G771" i="4" s="1"/>
  <c r="F682" i="4"/>
  <c r="G682" i="4" s="1"/>
  <c r="F776" i="4"/>
  <c r="G776" i="4" s="1"/>
  <c r="F470" i="4"/>
  <c r="G470" i="4" s="1"/>
  <c r="F778" i="4"/>
  <c r="G778" i="4" s="1"/>
  <c r="F1101" i="4"/>
  <c r="G1101" i="4" s="1"/>
  <c r="F277" i="4"/>
  <c r="G277" i="4" s="1"/>
  <c r="F471" i="4"/>
  <c r="G471" i="4" s="1"/>
  <c r="F256" i="4"/>
  <c r="G256" i="4" s="1"/>
  <c r="F820" i="4"/>
  <c r="F258" i="4"/>
  <c r="G258" i="4" s="1"/>
  <c r="F261" i="4"/>
  <c r="G261" i="4" s="1"/>
  <c r="F419" i="4"/>
  <c r="G419" i="4" s="1"/>
  <c r="F348" i="4"/>
  <c r="G348" i="4" s="1"/>
  <c r="F932" i="4"/>
  <c r="F927" i="4"/>
  <c r="G927" i="4" s="1"/>
  <c r="F72" i="4"/>
  <c r="G72" i="4" s="1"/>
  <c r="F590" i="4"/>
  <c r="F60" i="4"/>
  <c r="F1068" i="4"/>
  <c r="G1068" i="4" s="1"/>
  <c r="F946" i="4"/>
  <c r="G946" i="4" s="1"/>
  <c r="F648" i="4"/>
  <c r="F126" i="4"/>
  <c r="F179" i="4"/>
  <c r="F415" i="4"/>
  <c r="F1029" i="4"/>
  <c r="G1029" i="4" s="1"/>
  <c r="F1072" i="4"/>
  <c r="F135" i="4"/>
  <c r="F613" i="4"/>
  <c r="F426" i="4"/>
  <c r="F197" i="4"/>
  <c r="F835" i="4"/>
  <c r="G835" i="4" s="1"/>
  <c r="F281" i="4"/>
  <c r="G281" i="4" s="1"/>
  <c r="F363" i="4"/>
  <c r="G363" i="4" s="1"/>
  <c r="F423" i="4"/>
  <c r="F749" i="4"/>
  <c r="G749" i="4" s="1"/>
  <c r="F140" i="4"/>
  <c r="G140" i="4" s="1"/>
  <c r="F208" i="4"/>
  <c r="F1030" i="4"/>
  <c r="F75" i="4"/>
  <c r="F84" i="4"/>
  <c r="G84" i="4" s="1"/>
  <c r="F554" i="4"/>
  <c r="G554" i="4" s="1"/>
  <c r="F841" i="4"/>
  <c r="G841" i="4" s="1"/>
  <c r="F146" i="4"/>
  <c r="G146" i="4" s="1"/>
  <c r="F555" i="4"/>
  <c r="G555" i="4" s="1"/>
  <c r="F999" i="4"/>
  <c r="F995" i="4"/>
  <c r="F210" i="4"/>
  <c r="F759" i="4"/>
  <c r="G759" i="4" s="1"/>
  <c r="F893" i="4"/>
  <c r="F234" i="4"/>
  <c r="F879" i="4"/>
  <c r="G879" i="4" s="1"/>
  <c r="F401" i="4"/>
  <c r="G401" i="4" s="1"/>
  <c r="F634" i="4"/>
  <c r="F436" i="4"/>
  <c r="G436" i="4" s="1"/>
  <c r="F549" i="4"/>
  <c r="F42" i="4"/>
  <c r="F96" i="4"/>
  <c r="F990" i="4"/>
  <c r="F805" i="4"/>
  <c r="F412" i="4"/>
  <c r="F722" i="4"/>
  <c r="F297" i="4"/>
  <c r="F866" i="4"/>
  <c r="F499" i="4"/>
  <c r="F222" i="4"/>
  <c r="G222" i="4" s="1"/>
  <c r="F448" i="4"/>
  <c r="F876" i="4"/>
  <c r="G876" i="4" s="1"/>
  <c r="F218" i="4"/>
  <c r="F393" i="4"/>
  <c r="G393" i="4" s="1"/>
  <c r="F45" i="4"/>
  <c r="F996" i="4"/>
  <c r="G996" i="4" s="1"/>
  <c r="F794" i="4"/>
  <c r="G794" i="4" s="1"/>
  <c r="F429" i="4"/>
  <c r="F446" i="4"/>
  <c r="F498" i="4"/>
  <c r="G498" i="4" s="1"/>
  <c r="F713" i="4"/>
  <c r="F43" i="4"/>
  <c r="F169" i="4"/>
  <c r="F793" i="4"/>
  <c r="F220" i="4"/>
  <c r="G220" i="4" s="1"/>
  <c r="F463" i="4"/>
  <c r="F241" i="4"/>
  <c r="F563" i="4"/>
  <c r="F715" i="4"/>
  <c r="G715" i="4" s="1"/>
  <c r="F936" i="4"/>
  <c r="F23" i="4"/>
  <c r="F313" i="4"/>
  <c r="G313" i="4" s="1"/>
  <c r="F161" i="4"/>
  <c r="G161" i="4" s="1"/>
  <c r="F164" i="4"/>
  <c r="F601" i="4"/>
  <c r="G601" i="4" s="1"/>
  <c r="F734" i="4"/>
  <c r="G734" i="4" s="1"/>
  <c r="F1009" i="4"/>
  <c r="F172" i="4"/>
  <c r="G172" i="4" s="1"/>
  <c r="F676" i="4"/>
  <c r="F174" i="4"/>
  <c r="G174" i="4" s="1"/>
  <c r="F495" i="4"/>
  <c r="G495" i="4" s="1"/>
  <c r="F721" i="4"/>
  <c r="F1044" i="4"/>
  <c r="G1044" i="4" s="1"/>
  <c r="F827" i="4"/>
  <c r="F1045" i="4"/>
  <c r="F664" i="4"/>
  <c r="F609" i="4"/>
  <c r="G609" i="4" s="1"/>
  <c r="F760" i="4"/>
  <c r="G760" i="4" s="1"/>
  <c r="F263" i="4"/>
  <c r="G263" i="4" s="1"/>
  <c r="F953" i="4"/>
  <c r="G953" i="4" s="1"/>
  <c r="F668" i="4"/>
  <c r="G668" i="4" s="1"/>
  <c r="F266" i="4"/>
  <c r="F629" i="4"/>
  <c r="G629" i="4" s="1"/>
  <c r="F192" i="4"/>
  <c r="G192" i="4" s="1"/>
  <c r="F959" i="4"/>
  <c r="F458" i="4"/>
  <c r="G458" i="4" s="1"/>
  <c r="F570" i="4"/>
  <c r="F571" i="4"/>
  <c r="G571" i="4" s="1"/>
  <c r="F917" i="4"/>
  <c r="G917" i="4" s="1"/>
  <c r="F342" i="4"/>
  <c r="G342" i="4" s="1"/>
  <c r="F574" i="4"/>
  <c r="G574" i="4" s="1"/>
  <c r="F1096" i="4"/>
  <c r="G1096" i="4" s="1"/>
  <c r="F970" i="4"/>
  <c r="G970" i="4" s="1"/>
  <c r="F1021" i="4"/>
  <c r="G1021" i="4" s="1"/>
  <c r="F578" i="4"/>
  <c r="G578" i="4" s="1"/>
  <c r="F1022" i="4"/>
  <c r="G1022" i="4" s="1"/>
  <c r="F1024" i="4"/>
  <c r="G1024" i="4" s="1"/>
  <c r="F1066" i="4"/>
  <c r="G1066" i="4" s="1"/>
  <c r="F67" i="4"/>
  <c r="G67" i="4" s="1"/>
  <c r="F279" i="4"/>
  <c r="F926" i="4"/>
  <c r="F262" i="4"/>
  <c r="G262" i="4" s="1"/>
  <c r="F787" i="4"/>
  <c r="G787" i="4" s="1"/>
  <c r="F131" i="4"/>
  <c r="G131" i="4" s="1"/>
  <c r="F536" i="4"/>
  <c r="F979" i="4"/>
  <c r="G979" i="4" s="1"/>
  <c r="F1070" i="4"/>
  <c r="G1070" i="4" s="1"/>
  <c r="F981" i="4"/>
  <c r="F984" i="4"/>
  <c r="F779" i="4"/>
  <c r="F736" i="4"/>
  <c r="F185" i="4"/>
  <c r="F39" i="4"/>
  <c r="G39" i="4" s="1"/>
  <c r="F501" i="4"/>
  <c r="F502" i="4"/>
  <c r="G502" i="4" s="1"/>
  <c r="F848" i="4"/>
  <c r="G848" i="4" s="1"/>
  <c r="F905" i="4"/>
  <c r="F744" i="4"/>
  <c r="F510" i="4"/>
  <c r="F138" i="4"/>
  <c r="F139" i="4"/>
  <c r="G139" i="4" s="1"/>
  <c r="F198" i="4"/>
  <c r="G198" i="4" s="1"/>
  <c r="F1041" i="4"/>
  <c r="G1041" i="4" s="1"/>
  <c r="F1110" i="4"/>
  <c r="G1110" i="4" s="1"/>
  <c r="F546" i="4"/>
  <c r="G546" i="4" s="1"/>
  <c r="F437" i="4"/>
  <c r="G437" i="4" s="1"/>
  <c r="F830" i="4"/>
  <c r="F439" i="4"/>
  <c r="G439" i="4" s="1"/>
  <c r="F647" i="4"/>
  <c r="G647" i="4" s="1"/>
  <c r="F288" i="4"/>
  <c r="G288" i="4" s="1"/>
  <c r="F743" i="4"/>
  <c r="F1040" i="4"/>
  <c r="G1040" i="4" s="1"/>
  <c r="F1034" i="4"/>
  <c r="F207" i="4"/>
  <c r="F1001" i="4"/>
  <c r="F548" i="4"/>
  <c r="F390" i="4"/>
  <c r="G390" i="4" s="1"/>
  <c r="F296" i="4"/>
  <c r="F236" i="4"/>
  <c r="G236" i="4" s="1"/>
  <c r="F492" i="4"/>
  <c r="G492" i="4" s="1"/>
  <c r="F441" i="4"/>
  <c r="F881" i="4"/>
  <c r="F289" i="4"/>
  <c r="F709" i="4"/>
  <c r="F930" i="4"/>
  <c r="G930" i="4" s="1"/>
  <c r="F945" i="4"/>
  <c r="F861" i="4"/>
  <c r="F636" i="4"/>
  <c r="F770" i="4"/>
  <c r="F798" i="4"/>
  <c r="F402" i="4"/>
  <c r="G402" i="4" s="1"/>
  <c r="F939" i="4"/>
  <c r="F324" i="4"/>
  <c r="F377" i="4"/>
  <c r="F386" i="4"/>
  <c r="F586" i="4"/>
  <c r="G586" i="4" s="1"/>
  <c r="F450" i="4"/>
  <c r="G450" i="4" s="1"/>
  <c r="F627" i="4"/>
  <c r="G627" i="4" s="1"/>
  <c r="F424" i="4"/>
  <c r="F233" i="4"/>
  <c r="G233" i="4" s="1"/>
  <c r="F745" i="4"/>
  <c r="F428" i="4"/>
  <c r="G428" i="4" s="1"/>
  <c r="F1086" i="4"/>
  <c r="F737" i="4"/>
  <c r="F1087" i="4"/>
  <c r="F1000" i="4"/>
  <c r="F802" i="4"/>
  <c r="F1008" i="4"/>
  <c r="F503" i="4"/>
  <c r="F961" i="4"/>
  <c r="G961" i="4" s="1"/>
  <c r="F119" i="4"/>
  <c r="G119" i="4" s="1"/>
  <c r="F336" i="4"/>
  <c r="G336" i="4" s="1"/>
  <c r="F252" i="4"/>
  <c r="F853" i="4"/>
  <c r="G853" i="4" s="1"/>
  <c r="F532" i="4"/>
  <c r="F908" i="4"/>
  <c r="G908" i="4" s="1"/>
  <c r="F447" i="4"/>
  <c r="F724" i="4"/>
  <c r="G724" i="4" s="1"/>
  <c r="F339" i="4"/>
  <c r="F257" i="4"/>
  <c r="G257" i="4" s="1"/>
  <c r="F188" i="4"/>
  <c r="F451" i="4"/>
  <c r="G451" i="4" s="1"/>
  <c r="F691" i="4"/>
  <c r="F616" i="4"/>
  <c r="G616" i="4" s="1"/>
  <c r="F1050" i="4"/>
  <c r="G1050" i="4" s="1"/>
  <c r="F962" i="4"/>
  <c r="F671" i="4"/>
  <c r="F374" i="4"/>
  <c r="F457" i="4"/>
  <c r="F964" i="4"/>
  <c r="G964" i="4" s="1"/>
  <c r="F919" i="4"/>
  <c r="G919" i="4" s="1"/>
  <c r="F1058" i="4"/>
  <c r="G1058" i="4" s="1"/>
  <c r="F680" i="4"/>
  <c r="G680" i="4" s="1"/>
  <c r="F772" i="4"/>
  <c r="G772" i="4" s="1"/>
  <c r="F775" i="4"/>
  <c r="G775" i="4" s="1"/>
  <c r="F1020" i="4"/>
  <c r="G1020" i="4" s="1"/>
  <c r="F1019" i="4"/>
  <c r="G1019" i="4" s="1"/>
  <c r="F469" i="4"/>
  <c r="G469" i="4" s="1"/>
  <c r="F66" i="4"/>
  <c r="G66" i="4" s="1"/>
  <c r="F622" i="4"/>
  <c r="G622" i="4" s="1"/>
  <c r="F1023" i="4"/>
  <c r="G1023" i="4" s="1"/>
  <c r="F360" i="4"/>
  <c r="G360" i="4" s="1"/>
  <c r="F186" i="4"/>
  <c r="G186" i="4" s="1"/>
  <c r="F1102" i="4"/>
  <c r="G1102" i="4" s="1"/>
  <c r="F347" i="4"/>
  <c r="G347" i="4" s="1"/>
  <c r="F525" i="4"/>
  <c r="G525" i="4" s="1"/>
  <c r="F687" i="4"/>
  <c r="G687" i="4" s="1"/>
  <c r="F478" i="4"/>
  <c r="G478" i="4" s="1"/>
  <c r="F349" i="4"/>
  <c r="G349" i="4" s="1"/>
  <c r="F789" i="4"/>
  <c r="G789" i="4" s="1"/>
  <c r="F73" i="4"/>
  <c r="G73" i="4" s="1"/>
  <c r="F370" i="4"/>
  <c r="F983" i="4"/>
  <c r="F797" i="4"/>
  <c r="G797" i="4" s="1"/>
  <c r="F1027" i="4"/>
  <c r="G1027" i="4" s="1"/>
  <c r="F803" i="4"/>
  <c r="G803" i="4" s="1"/>
  <c r="F877" i="4"/>
  <c r="G877" i="4" s="1"/>
  <c r="F989" i="4"/>
  <c r="G989" i="4" s="1"/>
  <c r="F433" i="4"/>
  <c r="G433" i="4" s="1"/>
  <c r="F201" i="4"/>
  <c r="G201" i="4" s="1"/>
  <c r="F544" i="4"/>
  <c r="G544" i="4" s="1"/>
  <c r="F362" i="4"/>
  <c r="G362" i="4" s="1"/>
  <c r="F643" i="4"/>
  <c r="G643" i="4" s="1"/>
  <c r="F892" i="4"/>
  <c r="F286" i="4"/>
  <c r="G286" i="4" s="1"/>
  <c r="F145" i="4"/>
  <c r="F305" i="4"/>
  <c r="F373" i="4"/>
  <c r="F1032" i="4"/>
  <c r="G1032" i="4" s="1"/>
  <c r="F88" i="4"/>
  <c r="G88" i="4" s="1"/>
  <c r="F623" i="4"/>
  <c r="F880" i="4"/>
  <c r="G880" i="4" s="1"/>
  <c r="F940" i="4"/>
  <c r="F764" i="4"/>
  <c r="F244" i="4"/>
  <c r="F991" i="4"/>
  <c r="G991" i="4" s="1"/>
  <c r="F810" i="4"/>
  <c r="G810" i="4" s="1"/>
  <c r="F675" i="4"/>
  <c r="G675" i="4" s="1"/>
  <c r="F621" i="4"/>
  <c r="G621" i="4" s="1"/>
  <c r="F632" i="4"/>
  <c r="F475" i="4"/>
  <c r="G475" i="4" s="1"/>
  <c r="F104" i="4"/>
  <c r="G104" i="4" s="1"/>
  <c r="F937" i="4"/>
  <c r="F228" i="4"/>
  <c r="G228" i="4" s="1"/>
  <c r="F166" i="4"/>
  <c r="G166" i="4" s="1"/>
  <c r="F701" i="4"/>
  <c r="G701" i="4" s="1"/>
  <c r="F878" i="4"/>
  <c r="G878" i="4" s="1"/>
  <c r="F232" i="4"/>
  <c r="G232" i="4" s="1"/>
  <c r="F114" i="4"/>
  <c r="F327" i="4"/>
  <c r="F943" i="4"/>
  <c r="F558" i="4"/>
  <c r="F850" i="4"/>
  <c r="F1043" i="4"/>
  <c r="F906" i="4"/>
  <c r="F442" i="4"/>
  <c r="F844" i="4"/>
  <c r="F1006" i="4"/>
  <c r="F1089" i="4"/>
  <c r="G1089" i="4" s="1"/>
  <c r="F564" i="4"/>
  <c r="G564" i="4" s="1"/>
  <c r="F1042" i="4"/>
  <c r="F1048" i="4"/>
  <c r="G1048" i="4" s="1"/>
  <c r="F732" i="4"/>
  <c r="F928" i="4"/>
  <c r="F856" i="4"/>
  <c r="G856" i="4" s="1"/>
  <c r="F1012" i="4"/>
  <c r="G1012" i="4" s="1"/>
  <c r="F942" i="4"/>
  <c r="F1051" i="4"/>
  <c r="F1014" i="4"/>
  <c r="G1014" i="4" s="1"/>
  <c r="F807" i="4"/>
  <c r="G807" i="4" s="1"/>
  <c r="F865" i="4"/>
  <c r="G865" i="4" s="1"/>
  <c r="F1057" i="4"/>
  <c r="G1057" i="4" s="1"/>
  <c r="F1056" i="4"/>
  <c r="G1056" i="4" s="1"/>
  <c r="F1059" i="4"/>
  <c r="G1059" i="4" s="1"/>
  <c r="F972" i="4"/>
  <c r="G972" i="4" s="1"/>
  <c r="F973" i="4"/>
  <c r="G973" i="4" s="1"/>
  <c r="F352" i="4"/>
  <c r="F580" i="4"/>
  <c r="G580" i="4" s="1"/>
  <c r="F579" i="4"/>
  <c r="G579" i="4" s="1"/>
  <c r="F581" i="4"/>
  <c r="G581" i="4" s="1"/>
  <c r="F1063" i="4"/>
  <c r="G1063" i="4" s="1"/>
  <c r="F1064" i="4"/>
  <c r="G1064" i="4" s="1"/>
  <c r="F977" i="4"/>
  <c r="G977" i="4" s="1"/>
  <c r="F550" i="4"/>
  <c r="F1117" i="4"/>
  <c r="F847" i="4"/>
  <c r="F653" i="4"/>
  <c r="G653" i="4" s="1"/>
  <c r="F465" i="4"/>
  <c r="F688" i="4"/>
  <c r="G688" i="4" s="1"/>
  <c r="F988" i="4"/>
  <c r="G988" i="4" s="1"/>
  <c r="F987" i="4"/>
  <c r="G987" i="4" s="1"/>
  <c r="F931" i="4"/>
  <c r="G931" i="4" s="1"/>
  <c r="F716" i="4"/>
  <c r="G716" i="4" s="1"/>
  <c r="F650" i="4"/>
  <c r="F904" i="4"/>
  <c r="F1109" i="4"/>
  <c r="F656" i="4"/>
  <c r="F1038" i="4"/>
  <c r="F725" i="4"/>
  <c r="F1079" i="4"/>
  <c r="F790" i="4"/>
  <c r="F1003" i="4"/>
  <c r="G1003" i="4" s="1"/>
  <c r="F481" i="4"/>
  <c r="F317" i="4"/>
  <c r="F238" i="4"/>
  <c r="G238" i="4" s="1"/>
  <c r="F326" i="4"/>
  <c r="G326" i="4" s="1"/>
  <c r="F1112" i="4"/>
  <c r="F1081" i="4"/>
  <c r="F606" i="4"/>
  <c r="F246" i="4"/>
  <c r="F952" i="4"/>
  <c r="F557" i="4"/>
  <c r="F950" i="4"/>
  <c r="F1074" i="4"/>
  <c r="F951" i="4"/>
  <c r="F269" i="4"/>
  <c r="F854" i="4"/>
  <c r="F829" i="4"/>
  <c r="F955" i="4"/>
  <c r="F956" i="4"/>
  <c r="G956" i="4" s="1"/>
  <c r="F1090" i="4"/>
  <c r="G1090" i="4" s="1"/>
  <c r="F765" i="4"/>
  <c r="F768" i="4"/>
  <c r="G768" i="4" s="1"/>
  <c r="F862" i="4"/>
  <c r="G862" i="4" s="1"/>
  <c r="F673" i="4"/>
  <c r="G673" i="4" s="1"/>
  <c r="F572" i="4"/>
  <c r="G572" i="4" s="1"/>
  <c r="F677" i="4"/>
  <c r="G677" i="4" s="1"/>
  <c r="F1095" i="4"/>
  <c r="G1095" i="4" s="1"/>
  <c r="F968" i="4"/>
  <c r="G968" i="4" s="1"/>
  <c r="F969" i="4"/>
  <c r="G969" i="4" s="1"/>
  <c r="F468" i="4"/>
  <c r="F467" i="4"/>
  <c r="G467" i="4" s="1"/>
  <c r="F872" i="4"/>
  <c r="G872" i="4" s="1"/>
  <c r="F639" i="4"/>
  <c r="G639" i="4" s="1"/>
  <c r="F781" i="4"/>
  <c r="G781" i="4" s="1"/>
  <c r="F473" i="4"/>
  <c r="F1103" i="4"/>
  <c r="F944" i="4"/>
  <c r="G944" i="4" s="1"/>
  <c r="F1025" i="4"/>
  <c r="G1025" i="4" s="1"/>
  <c r="F1028" i="4"/>
  <c r="G1028" i="4" s="1"/>
  <c r="F203" i="4"/>
  <c r="F902" i="4"/>
  <c r="F496" i="4"/>
  <c r="F884" i="4"/>
  <c r="G884" i="4" s="1"/>
  <c r="F476" i="4"/>
  <c r="G476" i="4" s="1"/>
  <c r="F686" i="4"/>
  <c r="F1067" i="4"/>
  <c r="G1067" i="4" s="1"/>
  <c r="F610" i="4"/>
  <c r="G610" i="4" s="1"/>
  <c r="F445" i="4"/>
  <c r="G445" i="4" s="1"/>
  <c r="F738" i="4"/>
  <c r="F1002" i="4"/>
  <c r="G1002" i="4" s="1"/>
  <c r="F566" i="4"/>
  <c r="F511" i="4"/>
  <c r="F895" i="4"/>
  <c r="G895" i="4" s="1"/>
  <c r="F1084" i="4"/>
  <c r="F619" i="4"/>
  <c r="F994" i="4"/>
  <c r="G994" i="4" s="1"/>
  <c r="F1035" i="4"/>
  <c r="F405" i="4"/>
  <c r="G405" i="4" s="1"/>
  <c r="F332" i="4"/>
  <c r="G332" i="4" s="1"/>
  <c r="F504" i="4"/>
  <c r="G504" i="4" s="1"/>
  <c r="F890" i="4"/>
  <c r="F757" i="4"/>
  <c r="F1037" i="4"/>
  <c r="F898" i="4"/>
  <c r="F542" i="4"/>
  <c r="G542" i="4" s="1"/>
  <c r="F662" i="4"/>
  <c r="F1088" i="4"/>
  <c r="G1088" i="4" s="1"/>
  <c r="F910" i="4"/>
  <c r="G910" i="4" s="1"/>
  <c r="F762" i="4"/>
  <c r="F597" i="4"/>
  <c r="F456" i="4"/>
  <c r="F933" i="4"/>
  <c r="F1016" i="4"/>
  <c r="G1016" i="4" s="1"/>
  <c r="F915" i="4"/>
  <c r="F863" i="4"/>
  <c r="F678" i="4"/>
  <c r="F1098" i="4"/>
  <c r="G1098" i="4" s="1"/>
  <c r="F464" i="4"/>
  <c r="G464" i="4" s="1"/>
  <c r="F1100" i="4"/>
  <c r="G1100" i="4" s="1"/>
  <c r="F869" i="4"/>
  <c r="G869" i="4" s="1"/>
  <c r="F577" i="4"/>
  <c r="G577" i="4" s="1"/>
  <c r="F1061" i="4"/>
  <c r="G1061" i="4" s="1"/>
  <c r="F871" i="4"/>
  <c r="G871" i="4" s="1"/>
  <c r="F874" i="4"/>
  <c r="G874" i="4" s="1"/>
  <c r="F1077" i="4"/>
  <c r="F589" i="4"/>
  <c r="G589" i="4" s="1"/>
  <c r="F1104" i="4"/>
  <c r="F567" i="4"/>
  <c r="G567" i="4" s="1"/>
  <c r="F795" i="4"/>
  <c r="G795" i="4" s="1"/>
  <c r="F1060" i="4"/>
  <c r="G1060" i="4" s="1"/>
  <c r="F582" i="4"/>
  <c r="G582" i="4" s="1"/>
  <c r="F800" i="4"/>
  <c r="G800" i="4" s="1"/>
  <c r="F477" i="4"/>
  <c r="G477" i="4" s="1"/>
  <c r="F302" i="4"/>
  <c r="F509" i="4"/>
  <c r="F1106" i="4"/>
  <c r="F1118" i="4"/>
  <c r="F633" i="4"/>
  <c r="F814" i="4"/>
  <c r="F815" i="4"/>
  <c r="F515" i="4"/>
  <c r="F1083" i="4"/>
  <c r="G1083" i="4" s="1"/>
  <c r="F1085" i="4"/>
  <c r="F740" i="4"/>
  <c r="F941" i="4"/>
  <c r="G941" i="4" s="1"/>
  <c r="F1113" i="4"/>
  <c r="F556" i="4"/>
  <c r="F654" i="4"/>
  <c r="F1010" i="4"/>
  <c r="G1010" i="4" s="1"/>
  <c r="F947" i="4"/>
  <c r="F1073" i="4"/>
  <c r="F561" i="4"/>
  <c r="G561" i="4" s="1"/>
  <c r="F666" i="4"/>
  <c r="G666" i="4" s="1"/>
  <c r="F667" i="4"/>
  <c r="G667" i="4" s="1"/>
  <c r="F1116" i="4"/>
  <c r="F1091" i="4"/>
  <c r="G1091" i="4" s="1"/>
  <c r="F767" i="4"/>
  <c r="F1013" i="4"/>
  <c r="G1013" i="4" s="1"/>
  <c r="F1076" i="4"/>
  <c r="F992" i="4"/>
  <c r="G992" i="4" s="1"/>
  <c r="F569" i="4"/>
  <c r="F1055" i="4"/>
  <c r="G1055" i="4" s="1"/>
  <c r="F674" i="4"/>
  <c r="G674" i="4" s="1"/>
  <c r="F1094" i="4"/>
  <c r="G1094" i="4" s="1"/>
  <c r="F966" i="4"/>
  <c r="G966" i="4" s="1"/>
  <c r="F774" i="4"/>
  <c r="G774" i="4" s="1"/>
  <c r="F1018" i="4"/>
  <c r="F921" i="4"/>
  <c r="G921" i="4" s="1"/>
  <c r="F975" i="4"/>
  <c r="G975" i="4" s="1"/>
  <c r="F923" i="4"/>
  <c r="G923" i="4" s="1"/>
  <c r="F1065" i="4"/>
  <c r="G1065" i="4" s="1"/>
  <c r="F924" i="4"/>
  <c r="G924" i="4" s="1"/>
  <c r="F683" i="4"/>
  <c r="F925" i="4"/>
  <c r="G925" i="4" s="1"/>
  <c r="F479" i="4"/>
  <c r="G479" i="4" s="1"/>
  <c r="F708" i="4"/>
  <c r="G708" i="4" s="1"/>
  <c r="F385" i="4"/>
  <c r="F783" i="4"/>
  <c r="G783" i="4" s="1"/>
  <c r="F1031" i="4"/>
  <c r="F706" i="4"/>
  <c r="F1033" i="4"/>
  <c r="F1119" i="4"/>
  <c r="F1111" i="4"/>
  <c r="F522" i="4"/>
  <c r="F993" i="4"/>
  <c r="F618" i="4"/>
  <c r="F812" i="4"/>
  <c r="F413" i="4"/>
  <c r="F934" i="4"/>
  <c r="F1082" i="4"/>
  <c r="F1120" i="4"/>
  <c r="F831" i="4"/>
  <c r="G831" i="4" s="1"/>
  <c r="F846" i="4"/>
  <c r="F843" i="4"/>
  <c r="F857" i="4"/>
  <c r="F909" i="4"/>
  <c r="G909" i="4" s="1"/>
  <c r="F957" i="4"/>
  <c r="G957" i="4" s="1"/>
  <c r="F594" i="4"/>
  <c r="F960" i="4"/>
  <c r="F453" i="4"/>
  <c r="F963" i="4"/>
  <c r="F1092" i="4"/>
  <c r="G1092" i="4" s="1"/>
  <c r="F859" i="4"/>
  <c r="G859" i="4" s="1"/>
  <c r="F1053" i="4"/>
  <c r="G1053" i="4" s="1"/>
  <c r="F1017" i="4"/>
  <c r="G1017" i="4" s="1"/>
  <c r="F573" i="4"/>
  <c r="G573" i="4" s="1"/>
  <c r="F986" i="4"/>
  <c r="F967" i="4"/>
  <c r="G967" i="4" s="1"/>
  <c r="F1097" i="4"/>
  <c r="G1097" i="4" s="1"/>
  <c r="F1099" i="4"/>
  <c r="F974" i="4"/>
  <c r="G974" i="4" s="1"/>
  <c r="F868" i="4"/>
  <c r="F870" i="4"/>
  <c r="G870" i="4" s="1"/>
  <c r="F873" i="4"/>
  <c r="G873" i="4" s="1"/>
  <c r="F780" i="4"/>
  <c r="G780" i="4" s="1"/>
  <c r="F685" i="4"/>
  <c r="F692" i="4"/>
  <c r="G692" i="4" s="1"/>
  <c r="F480" i="4"/>
  <c r="G480" i="4" s="1"/>
  <c r="F978" i="4"/>
  <c r="G978" i="4" s="1"/>
  <c r="F1069" i="4"/>
  <c r="F1071" i="4"/>
  <c r="F1105" i="4"/>
  <c r="F801" i="4"/>
  <c r="F1121" i="4"/>
  <c r="F821" i="4"/>
  <c r="F997" i="4"/>
  <c r="F1080" i="4"/>
  <c r="F739" i="4"/>
  <c r="F741" i="4"/>
  <c r="F756" i="4"/>
  <c r="F1114" i="4"/>
  <c r="F1115" i="4"/>
  <c r="F914" i="4"/>
  <c r="F696" i="4"/>
  <c r="F806" i="4"/>
  <c r="G806" i="4" s="1"/>
  <c r="F897" i="4"/>
  <c r="F998" i="4"/>
  <c r="F828" i="4"/>
  <c r="F911" i="4"/>
  <c r="F791" i="4"/>
  <c r="G10" i="3" l="1"/>
  <c r="G4" i="3" s="1"/>
  <c r="G9" i="3"/>
  <c r="G8" i="3"/>
  <c r="I780" i="4" l="1"/>
  <c r="H780" i="4" s="1"/>
  <c r="I737" i="4"/>
  <c r="G737" i="4" s="1"/>
  <c r="I1114" i="4"/>
  <c r="H1114" i="4" s="1"/>
  <c r="I250" i="4"/>
  <c r="H250" i="4" s="1"/>
  <c r="I671" i="4"/>
  <c r="H671" i="4" s="1"/>
  <c r="I438" i="4"/>
  <c r="H438" i="4" s="1"/>
  <c r="I436" i="4"/>
  <c r="H436" i="4" s="1"/>
  <c r="I81" i="4"/>
  <c r="H81" i="4" s="1"/>
  <c r="I97" i="4"/>
  <c r="H97" i="4" s="1"/>
  <c r="I764" i="4"/>
  <c r="H764" i="4" s="1"/>
  <c r="I675" i="4"/>
  <c r="H675" i="4" s="1"/>
  <c r="I605" i="4"/>
  <c r="H605" i="4" s="1"/>
  <c r="I943" i="4"/>
  <c r="G943" i="4" s="1"/>
  <c r="I692" i="4"/>
  <c r="H692" i="4" s="1"/>
  <c r="I722" i="4"/>
  <c r="H722" i="4" s="1"/>
  <c r="I147" i="4"/>
  <c r="H147" i="4" s="1"/>
  <c r="I660" i="4"/>
  <c r="G660" i="4" s="1"/>
  <c r="I429" i="4"/>
  <c r="G429" i="4" s="1"/>
  <c r="I538" i="4"/>
  <c r="G538" i="4" s="1"/>
  <c r="I310" i="4"/>
  <c r="H310" i="4" s="1"/>
  <c r="I946" i="4"/>
  <c r="H946" i="4" s="1"/>
  <c r="I189" i="4"/>
  <c r="H189" i="4" s="1"/>
  <c r="I504" i="4"/>
  <c r="H504" i="4" s="1"/>
  <c r="I735" i="4"/>
  <c r="H735" i="4" s="1"/>
  <c r="I156" i="4"/>
  <c r="H156" i="4" s="1"/>
  <c r="I563" i="4"/>
  <c r="G563" i="4" s="1"/>
  <c r="I434" i="4"/>
  <c r="H434" i="4" s="1"/>
  <c r="I1040" i="4"/>
  <c r="H1040" i="4" s="1"/>
  <c r="I169" i="4"/>
  <c r="G169" i="4" s="1"/>
  <c r="I45" i="4"/>
  <c r="H45" i="4" s="1"/>
  <c r="I1054" i="4"/>
  <c r="H1054" i="4" s="1"/>
  <c r="I248" i="4"/>
  <c r="H248" i="4" s="1"/>
  <c r="I489" i="4"/>
  <c r="H489" i="4" s="1"/>
  <c r="I697" i="4"/>
  <c r="H697" i="4" s="1"/>
  <c r="I16" i="4"/>
  <c r="H16" i="4" s="1"/>
  <c r="I595" i="4"/>
  <c r="H595" i="4" s="1"/>
  <c r="I569" i="4"/>
  <c r="H569" i="4" s="1"/>
  <c r="I585" i="4"/>
  <c r="H585" i="4" s="1"/>
  <c r="I1099" i="4"/>
  <c r="H1099" i="4" s="1"/>
  <c r="I817" i="4"/>
  <c r="H817" i="4" s="1"/>
  <c r="I181" i="4"/>
  <c r="H181" i="4" s="1"/>
  <c r="I495" i="4"/>
  <c r="H495" i="4" s="1"/>
  <c r="I801" i="4"/>
  <c r="H801" i="4" s="1"/>
  <c r="I298" i="4"/>
  <c r="H298" i="4" s="1"/>
  <c r="I19" i="4"/>
  <c r="H19" i="4" s="1"/>
  <c r="I328" i="4"/>
  <c r="H328" i="4" s="1"/>
  <c r="I1079" i="4"/>
  <c r="H1079" i="4" s="1"/>
  <c r="I311" i="4"/>
  <c r="H311" i="4" s="1"/>
  <c r="I196" i="4"/>
  <c r="G196" i="4" s="1"/>
  <c r="I230" i="4"/>
  <c r="H230" i="4" s="1"/>
  <c r="I197" i="4"/>
  <c r="G197" i="4" s="1"/>
  <c r="I396" i="4"/>
  <c r="H396" i="4" s="1"/>
  <c r="I645" i="4"/>
  <c r="H645" i="4" s="1"/>
  <c r="I426" i="4"/>
  <c r="H426" i="4" s="1"/>
  <c r="I44" i="4"/>
  <c r="H44" i="4" s="1"/>
  <c r="I57" i="4"/>
  <c r="H57" i="4" s="1"/>
  <c r="I404" i="4"/>
  <c r="H404" i="4" s="1"/>
  <c r="I770" i="4"/>
  <c r="I205" i="4"/>
  <c r="H205" i="4" s="1"/>
  <c r="I505" i="4"/>
  <c r="G505" i="4" s="1"/>
  <c r="I121" i="4"/>
  <c r="H121" i="4" s="1"/>
  <c r="I65" i="4"/>
  <c r="H65" i="4" s="1"/>
  <c r="I951" i="4"/>
  <c r="G951" i="4" s="1"/>
  <c r="I636" i="4"/>
  <c r="G636" i="4" s="1"/>
  <c r="I167" i="4"/>
  <c r="H167" i="4" s="1"/>
  <c r="I862" i="4"/>
  <c r="H862" i="4" s="1"/>
  <c r="I593" i="4"/>
  <c r="H593" i="4" s="1"/>
  <c r="I173" i="4"/>
  <c r="H173" i="4" s="1"/>
  <c r="I183" i="4"/>
  <c r="H183" i="4" s="1"/>
  <c r="I395" i="4"/>
  <c r="H395" i="4" s="1"/>
  <c r="I237" i="4"/>
  <c r="G237" i="4" s="1"/>
  <c r="I1081" i="4"/>
  <c r="G1081" i="4" s="1"/>
  <c r="I159" i="4"/>
  <c r="H159" i="4" s="1"/>
  <c r="I303" i="4"/>
  <c r="H303" i="4" s="1"/>
  <c r="I91" i="4"/>
  <c r="H91" i="4" s="1"/>
  <c r="I198" i="4"/>
  <c r="H198" i="4" s="1"/>
  <c r="I1071" i="4"/>
  <c r="H1071" i="4" s="1"/>
  <c r="I419" i="4"/>
  <c r="H419" i="4" s="1"/>
  <c r="I506" i="4"/>
  <c r="H506" i="4" s="1"/>
  <c r="I217" i="4"/>
  <c r="H217" i="4" s="1"/>
  <c r="I760" i="4"/>
  <c r="H760" i="4" s="1"/>
  <c r="I680" i="4"/>
  <c r="H680" i="4" s="1"/>
  <c r="I380" i="4"/>
  <c r="H380" i="4" s="1"/>
  <c r="I221" i="4"/>
  <c r="H221" i="4" s="1"/>
  <c r="I472" i="4"/>
  <c r="H472" i="4" s="1"/>
  <c r="I932" i="4"/>
  <c r="G932" i="4" s="1"/>
  <c r="I798" i="4"/>
  <c r="I357" i="4"/>
  <c r="H357" i="4" s="1"/>
  <c r="I151" i="4"/>
  <c r="H151" i="4" s="1"/>
  <c r="I204" i="4"/>
  <c r="G204" i="4" s="1"/>
  <c r="I514" i="4"/>
  <c r="G514" i="4" s="1"/>
  <c r="I596" i="4"/>
  <c r="H596" i="4" s="1"/>
  <c r="I1032" i="4"/>
  <c r="H1032" i="4" s="1"/>
  <c r="I900" i="4"/>
  <c r="H900" i="4" s="1"/>
  <c r="I35" i="4"/>
  <c r="H35" i="4" s="1"/>
  <c r="I676" i="4"/>
  <c r="H676" i="4" s="1"/>
  <c r="I953" i="4"/>
  <c r="H953" i="4" s="1"/>
  <c r="I617" i="4"/>
  <c r="H617" i="4" s="1"/>
  <c r="I1015" i="4"/>
  <c r="H1015" i="4" s="1"/>
  <c r="I918" i="4"/>
  <c r="H918" i="4" s="1"/>
  <c r="I767" i="4"/>
  <c r="H767" i="4" s="1"/>
  <c r="I590" i="4"/>
  <c r="H590" i="4" s="1"/>
  <c r="I155" i="4"/>
  <c r="I723" i="4"/>
  <c r="I124" i="4"/>
  <c r="I313" i="4"/>
  <c r="H313" i="4" s="1"/>
  <c r="I261" i="4"/>
  <c r="H261" i="4" s="1"/>
  <c r="I667" i="4"/>
  <c r="H667" i="4" s="1"/>
  <c r="I899" i="4"/>
  <c r="H899" i="4" s="1"/>
  <c r="I229" i="4"/>
  <c r="H229" i="4" s="1"/>
  <c r="I86" i="4"/>
  <c r="H86" i="4" s="1"/>
  <c r="I149" i="4"/>
  <c r="H149" i="4" s="1"/>
  <c r="I726" i="4"/>
  <c r="H726" i="4" s="1"/>
  <c r="I6" i="4"/>
  <c r="H6" i="4" s="1"/>
  <c r="I216" i="4"/>
  <c r="H216" i="4" s="1"/>
  <c r="I803" i="4"/>
  <c r="H803" i="4" s="1"/>
  <c r="I54" i="4"/>
  <c r="H54" i="4" s="1"/>
  <c r="I742" i="4"/>
  <c r="H742" i="4" s="1"/>
  <c r="I819" i="4"/>
  <c r="H819" i="4" s="1"/>
  <c r="I743" i="4"/>
  <c r="G743" i="4" s="1"/>
  <c r="I23" i="4"/>
  <c r="H23" i="4" s="1"/>
  <c r="I77" i="4"/>
  <c r="H77" i="4" s="1"/>
  <c r="I558" i="4"/>
  <c r="G558" i="4" s="1"/>
  <c r="I15" i="4"/>
  <c r="G15" i="4" s="1"/>
  <c r="I1107" i="4"/>
  <c r="G1107" i="4" s="1"/>
  <c r="I34" i="4"/>
  <c r="H34" i="4" s="1"/>
  <c r="I559" i="4"/>
  <c r="H559" i="4" s="1"/>
  <c r="I718" i="4"/>
  <c r="H718" i="4" s="1"/>
  <c r="I613" i="4"/>
  <c r="H613" i="4" s="1"/>
  <c r="I754" i="4"/>
  <c r="H754" i="4" s="1"/>
  <c r="I72" i="4"/>
  <c r="H72" i="4" s="1"/>
  <c r="I400" i="4"/>
  <c r="H400" i="4" s="1"/>
  <c r="I1026" i="4"/>
  <c r="H1026" i="4" s="1"/>
  <c r="I761" i="4"/>
  <c r="H761" i="4" s="1"/>
  <c r="I129" i="4"/>
  <c r="H129" i="4" s="1"/>
  <c r="I572" i="4"/>
  <c r="H572" i="4" s="1"/>
  <c r="I940" i="4"/>
  <c r="I470" i="4"/>
  <c r="H470" i="4" s="1"/>
  <c r="I1061" i="4"/>
  <c r="H1061" i="4" s="1"/>
  <c r="I629" i="4"/>
  <c r="H629" i="4" s="1"/>
  <c r="I343" i="4"/>
  <c r="I826" i="4"/>
  <c r="I573" i="4"/>
  <c r="H573" i="4" s="1"/>
  <c r="I580" i="4"/>
  <c r="H580" i="4" s="1"/>
  <c r="I316" i="4"/>
  <c r="H316" i="4" s="1"/>
  <c r="I193" i="4"/>
  <c r="G193" i="4" s="1"/>
  <c r="I552" i="4"/>
  <c r="H552" i="4" s="1"/>
  <c r="I1084" i="4"/>
  <c r="H1084" i="4" s="1"/>
  <c r="I490" i="4"/>
  <c r="H490" i="4" s="1"/>
  <c r="I651" i="4"/>
  <c r="H651" i="4" s="1"/>
  <c r="I60" i="4"/>
  <c r="I453" i="4"/>
  <c r="H453" i="4" s="1"/>
  <c r="I816" i="4"/>
  <c r="H816" i="4" s="1"/>
  <c r="I389" i="4"/>
  <c r="H389" i="4" s="1"/>
  <c r="I630" i="4"/>
  <c r="H630" i="4" s="1"/>
  <c r="I603" i="4"/>
  <c r="H603" i="4" s="1"/>
  <c r="I461" i="4"/>
  <c r="H461" i="4" s="1"/>
  <c r="I1027" i="4"/>
  <c r="H1027" i="4" s="1"/>
  <c r="I231" i="4"/>
  <c r="H231" i="4" s="1"/>
  <c r="I1039" i="4"/>
  <c r="H1039" i="4" s="1"/>
  <c r="I297" i="4"/>
  <c r="H297" i="4" s="1"/>
  <c r="I1120" i="4"/>
  <c r="G1120" i="4" s="1"/>
  <c r="I763" i="4"/>
  <c r="H763" i="4" s="1"/>
  <c r="I209" i="4"/>
  <c r="G209" i="4" s="1"/>
  <c r="I941" i="4"/>
  <c r="H941" i="4" s="1"/>
  <c r="I571" i="4"/>
  <c r="H571" i="4" s="1"/>
  <c r="I107" i="4"/>
  <c r="H107" i="4" s="1"/>
  <c r="I335" i="4"/>
  <c r="H335" i="4" s="1"/>
  <c r="I213" i="4"/>
  <c r="I11" i="4"/>
  <c r="G11" i="4" s="1"/>
  <c r="I1052" i="4"/>
  <c r="H1052" i="4" s="1"/>
  <c r="I602" i="4"/>
  <c r="H602" i="4" s="1"/>
  <c r="I620" i="4"/>
  <c r="H620" i="4" s="1"/>
  <c r="I969" i="4"/>
  <c r="H969" i="4" s="1"/>
  <c r="I833" i="4"/>
  <c r="H833" i="4" s="1"/>
  <c r="I109" i="4"/>
  <c r="H109" i="4" s="1"/>
  <c r="I473" i="4"/>
  <c r="H473" i="4" s="1"/>
  <c r="I845" i="4"/>
  <c r="G845" i="4" s="1"/>
  <c r="I827" i="4"/>
  <c r="G827" i="4" s="1"/>
  <c r="I824" i="4"/>
  <c r="H824" i="4" s="1"/>
  <c r="I1115" i="4"/>
  <c r="H1115" i="4" s="1"/>
  <c r="I771" i="4"/>
  <c r="H771" i="4" s="1"/>
  <c r="I1100" i="4"/>
  <c r="H1100" i="4" s="1"/>
  <c r="I442" i="4"/>
  <c r="H442" i="4" s="1"/>
  <c r="I725" i="4"/>
  <c r="G725" i="4" s="1"/>
  <c r="I59" i="4"/>
  <c r="G59" i="4" s="1"/>
  <c r="I99" i="4"/>
  <c r="H99" i="4" s="1"/>
  <c r="I1086" i="4"/>
  <c r="H1086" i="4" s="1"/>
  <c r="I698" i="4"/>
  <c r="H698" i="4" s="1"/>
  <c r="I371" i="4"/>
  <c r="I215" i="4"/>
  <c r="H215" i="4" s="1"/>
  <c r="I55" i="4"/>
  <c r="H55" i="4" s="1"/>
  <c r="I526" i="4"/>
  <c r="H526" i="4" s="1"/>
  <c r="I332" i="4"/>
  <c r="H332" i="4" s="1"/>
  <c r="I484" i="4"/>
  <c r="H484" i="4" s="1"/>
  <c r="I627" i="4"/>
  <c r="H627" i="4" s="1"/>
  <c r="I62" i="4"/>
  <c r="H62" i="4" s="1"/>
  <c r="I105" i="4"/>
  <c r="H105" i="4" s="1"/>
  <c r="I397" i="4"/>
  <c r="H397" i="4" s="1"/>
  <c r="I598" i="4"/>
  <c r="H598" i="4" s="1"/>
  <c r="I312" i="4"/>
  <c r="H312" i="4" s="1"/>
  <c r="I719" i="4"/>
  <c r="H719" i="4" s="1"/>
  <c r="I809" i="4"/>
  <c r="G809" i="4" s="1"/>
  <c r="I278" i="4"/>
  <c r="G278" i="4" s="1"/>
  <c r="I241" i="4"/>
  <c r="H241" i="4" s="1"/>
  <c r="I901" i="4"/>
  <c r="H901" i="4" s="1"/>
  <c r="I330" i="4"/>
  <c r="H330" i="4" s="1"/>
  <c r="I528" i="4"/>
  <c r="I304" i="4"/>
  <c r="H304" i="4" s="1"/>
  <c r="I148" i="4"/>
  <c r="G148" i="4" s="1"/>
  <c r="I96" i="4"/>
  <c r="H96" i="4" s="1"/>
  <c r="I1083" i="4"/>
  <c r="H1083" i="4" s="1"/>
  <c r="I318" i="4"/>
  <c r="H318" i="4" s="1"/>
  <c r="I545" i="4"/>
  <c r="H545" i="4" s="1"/>
  <c r="I673" i="4"/>
  <c r="H673" i="4" s="1"/>
  <c r="I52" i="4"/>
  <c r="I861" i="4"/>
  <c r="G861" i="4" s="1"/>
  <c r="I977" i="4"/>
  <c r="H977" i="4" s="1"/>
  <c r="I386" i="4"/>
  <c r="H386" i="4" s="1"/>
  <c r="I1055" i="4"/>
  <c r="H1055" i="4" s="1"/>
  <c r="I628" i="4"/>
  <c r="H628" i="4" s="1"/>
  <c r="I390" i="4"/>
  <c r="H390" i="4" s="1"/>
  <c r="I983" i="4"/>
  <c r="G983" i="4" s="1"/>
  <c r="I138" i="4"/>
  <c r="H138" i="4" s="1"/>
  <c r="I810" i="4"/>
  <c r="H810" i="4" s="1"/>
  <c r="I999" i="4"/>
  <c r="H999" i="4" s="1"/>
  <c r="I920" i="4"/>
  <c r="H920" i="4" s="1"/>
  <c r="I271" i="4"/>
  <c r="H271" i="4" s="1"/>
  <c r="I774" i="4"/>
  <c r="H774" i="4" s="1"/>
  <c r="I477" i="4"/>
  <c r="H477" i="4" s="1"/>
  <c r="I811" i="4"/>
  <c r="I398" i="4"/>
  <c r="H398" i="4" s="1"/>
  <c r="I485" i="4"/>
  <c r="H485" i="4" s="1"/>
  <c r="I1017" i="4"/>
  <c r="H1017" i="4" s="1"/>
  <c r="I1057" i="4"/>
  <c r="H1057" i="4" s="1"/>
  <c r="I1074" i="4"/>
  <c r="H1074" i="4" s="1"/>
  <c r="I540" i="4"/>
  <c r="I194" i="4"/>
  <c r="H194" i="4" s="1"/>
  <c r="I226" i="4"/>
  <c r="H226" i="4" s="1"/>
  <c r="I146" i="4"/>
  <c r="H146" i="4" s="1"/>
  <c r="I30" i="4"/>
  <c r="H30" i="4" s="1"/>
  <c r="I527" i="4"/>
  <c r="H527" i="4" s="1"/>
  <c r="I283" i="4"/>
  <c r="H283" i="4" s="1"/>
  <c r="I22" i="4"/>
  <c r="H22" i="4" s="1"/>
  <c r="I321" i="4"/>
  <c r="H321" i="4" s="1"/>
  <c r="I180" i="4"/>
  <c r="H180" i="4" s="1"/>
  <c r="I31" i="4"/>
  <c r="H31" i="4" s="1"/>
  <c r="I560" i="4"/>
  <c r="I210" i="4"/>
  <c r="H210" i="4" s="1"/>
  <c r="I51" i="4"/>
  <c r="H51" i="4" s="1"/>
  <c r="I976" i="4"/>
  <c r="H976" i="4" s="1"/>
  <c r="I643" i="4"/>
  <c r="H643" i="4" s="1"/>
  <c r="I452" i="4"/>
  <c r="I729" i="4"/>
  <c r="H729" i="4" s="1"/>
  <c r="I874" i="4"/>
  <c r="H874" i="4" s="1"/>
  <c r="I547" i="4"/>
  <c r="I188" i="4"/>
  <c r="H188" i="4" s="1"/>
  <c r="I873" i="4"/>
  <c r="H873" i="4" s="1"/>
  <c r="I379" i="4"/>
  <c r="G379" i="4" s="1"/>
  <c r="I185" i="4"/>
  <c r="I195" i="4"/>
  <c r="H195" i="4" s="1"/>
  <c r="I694" i="4"/>
  <c r="H694" i="4" s="1"/>
  <c r="I466" i="4"/>
  <c r="I192" i="4"/>
  <c r="H192" i="4" s="1"/>
  <c r="I41" i="4"/>
  <c r="I492" i="4"/>
  <c r="H492" i="4" s="1"/>
  <c r="I793" i="4"/>
  <c r="H793" i="4" s="1"/>
  <c r="I307" i="4"/>
  <c r="H307" i="4" s="1"/>
  <c r="I369" i="4"/>
  <c r="H369" i="4" s="1"/>
  <c r="I220" i="4"/>
  <c r="H220" i="4" s="1"/>
  <c r="I28" i="4"/>
  <c r="H28" i="4" s="1"/>
  <c r="I130" i="4"/>
  <c r="H130" i="4" s="1"/>
  <c r="I887" i="4"/>
  <c r="I21" i="4"/>
  <c r="H21" i="4" s="1"/>
  <c r="I730" i="4"/>
  <c r="H730" i="4" s="1"/>
  <c r="I1056" i="4"/>
  <c r="H1056" i="4" s="1"/>
  <c r="I38" i="4"/>
  <c r="H38" i="4" s="1"/>
  <c r="I879" i="4"/>
  <c r="H879" i="4" s="1"/>
  <c r="I306" i="4"/>
  <c r="H306" i="4" s="1"/>
  <c r="I788" i="4"/>
  <c r="H788" i="4" s="1"/>
  <c r="I713" i="4"/>
  <c r="H713" i="4" s="1"/>
  <c r="I961" i="4"/>
  <c r="H961" i="4" s="1"/>
  <c r="I337" i="4"/>
  <c r="I749" i="4"/>
  <c r="H749" i="4" s="1"/>
  <c r="I871" i="4"/>
  <c r="H871" i="4" s="1"/>
  <c r="I607" i="4"/>
  <c r="H607" i="4" s="1"/>
  <c r="I588" i="4"/>
  <c r="H588" i="4" s="1"/>
  <c r="I339" i="4"/>
  <c r="H339" i="4" s="1"/>
  <c r="I251" i="4"/>
  <c r="H251" i="4" s="1"/>
  <c r="I926" i="4"/>
  <c r="G926" i="4" s="1"/>
  <c r="I70" i="4"/>
  <c r="H70" i="4" s="1"/>
  <c r="I796" i="4"/>
  <c r="H796" i="4" s="1"/>
  <c r="I594" i="4"/>
  <c r="I200" i="4"/>
  <c r="H200" i="4" s="1"/>
  <c r="I542" i="4"/>
  <c r="H542" i="4" s="1"/>
  <c r="I236" i="4"/>
  <c r="H236" i="4" s="1"/>
  <c r="I1080" i="4"/>
  <c r="I982" i="4"/>
  <c r="H982" i="4" s="1"/>
  <c r="I1106" i="4"/>
  <c r="G1106" i="4" s="1"/>
  <c r="I1014" i="4"/>
  <c r="H1014" i="4" s="1"/>
  <c r="I615" i="4"/>
  <c r="I291" i="4"/>
  <c r="I256" i="4"/>
  <c r="H256" i="4" s="1"/>
  <c r="I822" i="4"/>
  <c r="H822" i="4" s="1"/>
  <c r="I519" i="4"/>
  <c r="H519" i="4" s="1"/>
  <c r="I530" i="4"/>
  <c r="H530" i="4" s="1"/>
  <c r="I789" i="4"/>
  <c r="H789" i="4" s="1"/>
  <c r="I280" i="4"/>
  <c r="G280" i="4" s="1"/>
  <c r="I799" i="4"/>
  <c r="H799" i="4" s="1"/>
  <c r="I294" i="4"/>
  <c r="I752" i="4"/>
  <c r="I854" i="4"/>
  <c r="H854" i="4" s="1"/>
  <c r="I325" i="4"/>
  <c r="H325" i="4" s="1"/>
  <c r="I557" i="4"/>
  <c r="G557" i="4" s="1"/>
  <c r="I567" i="4"/>
  <c r="H567" i="4" s="1"/>
  <c r="I914" i="4"/>
  <c r="I966" i="4"/>
  <c r="H966" i="4" s="1"/>
  <c r="I355" i="4"/>
  <c r="H355" i="4" s="1"/>
  <c r="I756" i="4"/>
  <c r="H756" i="4" s="1"/>
  <c r="I521" i="4"/>
  <c r="H521" i="4" s="1"/>
  <c r="I949" i="4"/>
  <c r="H949" i="4" s="1"/>
  <c r="I409" i="4"/>
  <c r="H409" i="4" s="1"/>
  <c r="I591" i="4"/>
  <c r="H591" i="4" s="1"/>
  <c r="I1076" i="4"/>
  <c r="G1076" i="4" s="1"/>
  <c r="I919" i="4"/>
  <c r="H919" i="4" s="1"/>
  <c r="I246" i="4"/>
  <c r="I1108" i="4"/>
  <c r="H1108" i="4" s="1"/>
  <c r="I964" i="4"/>
  <c r="H964" i="4" s="1"/>
  <c r="I890" i="4"/>
  <c r="H890" i="4" s="1"/>
  <c r="I586" i="4"/>
  <c r="H586" i="4" s="1"/>
  <c r="I741" i="4"/>
  <c r="H741" i="4" s="1"/>
  <c r="I1013" i="4"/>
  <c r="H1013" i="4" s="1"/>
  <c r="I401" i="4"/>
  <c r="H401" i="4" s="1"/>
  <c r="I623" i="4"/>
  <c r="I706" i="4"/>
  <c r="G706" i="4" s="1"/>
  <c r="I160" i="4"/>
  <c r="H160" i="4" s="1"/>
  <c r="I73" i="4"/>
  <c r="H73" i="4" s="1"/>
  <c r="I1073" i="4"/>
  <c r="H1073" i="4" s="1"/>
  <c r="I674" i="4"/>
  <c r="H674" i="4" s="1"/>
  <c r="I445" i="4"/>
  <c r="H445" i="4" s="1"/>
  <c r="I834" i="4"/>
  <c r="H834" i="4" s="1"/>
  <c r="I690" i="4"/>
  <c r="G690" i="4" s="1"/>
  <c r="I578" i="4"/>
  <c r="H578" i="4" s="1"/>
  <c r="I720" i="4"/>
  <c r="H720" i="4" s="1"/>
  <c r="I295" i="4"/>
  <c r="G295" i="4" s="1"/>
  <c r="I813" i="4"/>
  <c r="G813" i="4" s="1"/>
  <c r="I539" i="4"/>
  <c r="H539" i="4" s="1"/>
  <c r="I93" i="4"/>
  <c r="H93" i="4" s="1"/>
  <c r="I285" i="4"/>
  <c r="H285" i="4" s="1"/>
  <c r="I225" i="4"/>
  <c r="G225" i="4" s="1"/>
  <c r="I1097" i="4"/>
  <c r="H1097" i="4" s="1"/>
  <c r="I566" i="4"/>
  <c r="H566" i="4" s="1"/>
  <c r="I356" i="4"/>
  <c r="G356" i="4" s="1"/>
  <c r="I340" i="4"/>
  <c r="G340" i="4" s="1"/>
  <c r="I463" i="4"/>
  <c r="I975" i="4"/>
  <c r="H975" i="4" s="1"/>
  <c r="I804" i="4"/>
  <c r="H804" i="4" s="1"/>
  <c r="I753" i="4"/>
  <c r="H753" i="4" s="1"/>
  <c r="I450" i="4"/>
  <c r="H450" i="4" s="1"/>
  <c r="I53" i="4"/>
  <c r="H53" i="4" s="1"/>
  <c r="I17" i="4"/>
  <c r="H17" i="4" s="1"/>
  <c r="I1008" i="4"/>
  <c r="G1008" i="4" s="1"/>
  <c r="I78" i="4"/>
  <c r="H78" i="4" s="1"/>
  <c r="I604" i="4"/>
  <c r="H604" i="4" s="1"/>
  <c r="I696" i="4"/>
  <c r="H696" i="4" s="1"/>
  <c r="I370" i="4"/>
  <c r="I245" i="4"/>
  <c r="H245" i="4" s="1"/>
  <c r="I1024" i="4"/>
  <c r="H1024" i="4" s="1"/>
  <c r="I267" i="4"/>
  <c r="H267" i="4" s="1"/>
  <c r="I850" i="4"/>
  <c r="G850" i="4" s="1"/>
  <c r="I300" i="4"/>
  <c r="H300" i="4" s="1"/>
  <c r="I662" i="4"/>
  <c r="G662" i="4" s="1"/>
  <c r="I956" i="4"/>
  <c r="H956" i="4" s="1"/>
  <c r="I829" i="4"/>
  <c r="I716" i="4"/>
  <c r="H716" i="4" s="1"/>
  <c r="I957" i="4"/>
  <c r="H957" i="4" s="1"/>
  <c r="I305" i="4"/>
  <c r="H305" i="4" s="1"/>
  <c r="I301" i="4"/>
  <c r="H301" i="4" s="1"/>
  <c r="I589" i="4"/>
  <c r="H589" i="4" s="1"/>
  <c r="I907" i="4"/>
  <c r="H907" i="4" s="1"/>
  <c r="I980" i="4"/>
  <c r="I1023" i="4"/>
  <c r="H1023" i="4" s="1"/>
  <c r="I405" i="4"/>
  <c r="H405" i="4" s="1"/>
  <c r="I154" i="4"/>
  <c r="H154" i="4" s="1"/>
  <c r="I622" i="4"/>
  <c r="H622" i="4" s="1"/>
  <c r="I1010" i="4"/>
  <c r="H1010" i="4" s="1"/>
  <c r="I831" i="4"/>
  <c r="H831" i="4" s="1"/>
  <c r="I612" i="4"/>
  <c r="G612" i="4" s="1"/>
  <c r="I544" i="4"/>
  <c r="H544" i="4" s="1"/>
  <c r="I42" i="4"/>
  <c r="G42" i="4" s="1"/>
  <c r="I458" i="4"/>
  <c r="H458" i="4" s="1"/>
  <c r="I324" i="4"/>
  <c r="H324" i="4" s="1"/>
  <c r="I647" i="4"/>
  <c r="H647" i="4" s="1"/>
  <c r="I406" i="4"/>
  <c r="G406" i="4" s="1"/>
  <c r="I805" i="4"/>
  <c r="G805" i="4" s="1"/>
  <c r="I543" i="4"/>
  <c r="H543" i="4" s="1"/>
  <c r="I507" i="4"/>
  <c r="H507" i="4" s="1"/>
  <c r="I361" i="4"/>
  <c r="H361" i="4" s="1"/>
  <c r="I1092" i="4"/>
  <c r="H1092" i="4" s="1"/>
  <c r="I165" i="4"/>
  <c r="H165" i="4" s="1"/>
  <c r="I724" i="4"/>
  <c r="H724" i="4" s="1"/>
  <c r="I331" i="4"/>
  <c r="G331" i="4" s="1"/>
  <c r="I18" i="4"/>
  <c r="G18" i="4" s="1"/>
  <c r="I917" i="4"/>
  <c r="H917" i="4" s="1"/>
  <c r="I935" i="4"/>
  <c r="H935" i="4" s="1"/>
  <c r="I430" i="4"/>
  <c r="H430" i="4" s="1"/>
  <c r="I548" i="4"/>
  <c r="H548" i="4" s="1"/>
  <c r="I319" i="4"/>
  <c r="H319" i="4" s="1"/>
  <c r="I12" i="4"/>
  <c r="I648" i="4"/>
  <c r="H648" i="4" s="1"/>
  <c r="I624" i="4"/>
  <c r="H624" i="4" s="1"/>
  <c r="I110" i="4"/>
  <c r="H110" i="4" s="1"/>
  <c r="I923" i="4"/>
  <c r="H923" i="4" s="1"/>
  <c r="I475" i="4"/>
  <c r="H475" i="4" s="1"/>
  <c r="I87" i="4"/>
  <c r="G87" i="4" s="1"/>
  <c r="I693" i="4"/>
  <c r="H693" i="4" s="1"/>
  <c r="I868" i="4"/>
  <c r="G868" i="4" s="1"/>
  <c r="I341" i="4"/>
  <c r="G341" i="4" s="1"/>
  <c r="I47" i="4"/>
  <c r="G47" i="4" s="1"/>
  <c r="I112" i="4"/>
  <c r="H112" i="4" s="1"/>
  <c r="I533" i="4"/>
  <c r="H533" i="4" s="1"/>
  <c r="I58" i="4"/>
  <c r="H58" i="4" s="1"/>
  <c r="I136" i="4"/>
  <c r="G136" i="4" s="1"/>
  <c r="I76" i="4"/>
  <c r="H76" i="4" s="1"/>
  <c r="I120" i="4"/>
  <c r="I433" i="4"/>
  <c r="H433" i="4" s="1"/>
  <c r="I934" i="4"/>
  <c r="G934" i="4" s="1"/>
  <c r="I36" i="4"/>
  <c r="H36" i="4" s="1"/>
  <c r="I315" i="4"/>
  <c r="H315" i="4" s="1"/>
  <c r="I986" i="4"/>
  <c r="I886" i="4"/>
  <c r="G886" i="4" s="1"/>
  <c r="I715" i="4"/>
  <c r="H715" i="4" s="1"/>
  <c r="I100" i="4"/>
  <c r="H100" i="4" s="1"/>
  <c r="I1019" i="4"/>
  <c r="H1019" i="4" s="1"/>
  <c r="I866" i="4"/>
  <c r="I254" i="4"/>
  <c r="H254" i="4" s="1"/>
  <c r="I384" i="4"/>
  <c r="G384" i="4" s="1"/>
  <c r="I1018" i="4"/>
  <c r="H1018" i="4" s="1"/>
  <c r="I875" i="4"/>
  <c r="H875" i="4" s="1"/>
  <c r="I218" i="4"/>
  <c r="G218" i="4" s="1"/>
  <c r="I702" i="4"/>
  <c r="H702" i="4" s="1"/>
  <c r="I10" i="4"/>
  <c r="H10" i="4" s="1"/>
  <c r="I80" i="4"/>
  <c r="H80" i="4" s="1"/>
  <c r="I625" i="4"/>
  <c r="H625" i="4" s="1"/>
  <c r="I446" i="4"/>
  <c r="H446" i="4" s="1"/>
  <c r="I516" i="4"/>
  <c r="H516" i="4" s="1"/>
  <c r="I83" i="4"/>
  <c r="H83" i="4" s="1"/>
  <c r="I908" i="4"/>
  <c r="H908" i="4" s="1"/>
  <c r="I103" i="4"/>
  <c r="H103" i="4" s="1"/>
  <c r="I777" i="4"/>
  <c r="H777" i="4" s="1"/>
  <c r="I172" i="4"/>
  <c r="H172" i="4" s="1"/>
  <c r="I765" i="4"/>
  <c r="H765" i="4" s="1"/>
  <c r="I852" i="4"/>
  <c r="H852" i="4" s="1"/>
  <c r="I163" i="4"/>
  <c r="H163" i="4" s="1"/>
  <c r="I117" i="4"/>
  <c r="H117" i="4" s="1"/>
  <c r="I127" i="4"/>
  <c r="H127" i="4" s="1"/>
  <c r="I479" i="4"/>
  <c r="H479" i="4" s="1"/>
  <c r="I43" i="4"/>
  <c r="H43" i="4" s="1"/>
  <c r="I320" i="4"/>
  <c r="H320" i="4" s="1"/>
  <c r="I153" i="4"/>
  <c r="I1117" i="4"/>
  <c r="I95" i="4"/>
  <c r="H95" i="4" s="1"/>
  <c r="I685" i="4"/>
  <c r="H685" i="4" s="1"/>
  <c r="I745" i="4"/>
  <c r="H745" i="4" s="1"/>
  <c r="I499" i="4"/>
  <c r="H499" i="4" s="1"/>
  <c r="I1020" i="4"/>
  <c r="H1020" i="4" s="1"/>
  <c r="I515" i="4"/>
  <c r="H515" i="4" s="1"/>
  <c r="I948" i="4"/>
  <c r="I751" i="4"/>
  <c r="H751" i="4" s="1"/>
  <c r="I682" i="4"/>
  <c r="H682" i="4" s="1"/>
  <c r="I1030" i="4"/>
  <c r="I656" i="4"/>
  <c r="H656" i="4" s="1"/>
  <c r="I762" i="4"/>
  <c r="H762" i="4" s="1"/>
  <c r="I546" i="4"/>
  <c r="H546" i="4" s="1"/>
  <c r="I116" i="4"/>
  <c r="G116" i="4" s="1"/>
  <c r="I1064" i="4"/>
  <c r="H1064" i="4" s="1"/>
  <c r="I865" i="4"/>
  <c r="H865" i="4" s="1"/>
  <c r="I102" i="4"/>
  <c r="H102" i="4" s="1"/>
  <c r="I349" i="4"/>
  <c r="H349" i="4" s="1"/>
  <c r="I1003" i="4"/>
  <c r="H1003" i="4" s="1"/>
  <c r="I512" i="4"/>
  <c r="I366" i="4"/>
  <c r="H366" i="4" s="1"/>
  <c r="I967" i="4"/>
  <c r="H967" i="4" s="1"/>
  <c r="I385" i="4"/>
  <c r="H385" i="4" s="1"/>
  <c r="I98" i="4"/>
  <c r="I609" i="4"/>
  <c r="H609" i="4" s="1"/>
  <c r="I363" i="4"/>
  <c r="H363" i="4" s="1"/>
  <c r="I859" i="4"/>
  <c r="H859" i="4" s="1"/>
  <c r="I486" i="4"/>
  <c r="H486" i="4" s="1"/>
  <c r="I262" i="4"/>
  <c r="H262" i="4" s="1"/>
  <c r="I132" i="4"/>
  <c r="H132" i="4" s="1"/>
  <c r="I214" i="4"/>
  <c r="G214" i="4" s="1"/>
  <c r="I970" i="4"/>
  <c r="H970" i="4" s="1"/>
  <c r="I111" i="4"/>
  <c r="H111" i="4" s="1"/>
  <c r="I417" i="4"/>
  <c r="H417" i="4" s="1"/>
  <c r="I891" i="4"/>
  <c r="I1119" i="4"/>
  <c r="H1119" i="4" s="1"/>
  <c r="I75" i="4"/>
  <c r="G75" i="4" s="1"/>
  <c r="I894" i="4"/>
  <c r="H894" i="4" s="1"/>
  <c r="I5" i="4"/>
  <c r="I378" i="4"/>
  <c r="I965" i="4"/>
  <c r="I264" i="4"/>
  <c r="H264" i="4" s="1"/>
  <c r="I279" i="4"/>
  <c r="H279" i="4" s="1"/>
  <c r="I795" i="4"/>
  <c r="H795" i="4" s="1"/>
  <c r="I287" i="4"/>
  <c r="H287" i="4" s="1"/>
  <c r="I877" i="4"/>
  <c r="H877" i="4" s="1"/>
  <c r="I448" i="4"/>
  <c r="G448" i="4" s="1"/>
  <c r="I684" i="4"/>
  <c r="H684" i="4" s="1"/>
  <c r="I665" i="4"/>
  <c r="H665" i="4" s="1"/>
  <c r="I657" i="4"/>
  <c r="H657" i="4" s="1"/>
  <c r="I857" i="4"/>
  <c r="H857" i="4" s="1"/>
  <c r="I785" i="4"/>
  <c r="H785" i="4" s="1"/>
  <c r="I895" i="4"/>
  <c r="H895" i="4" s="1"/>
  <c r="I468" i="4"/>
  <c r="H468" i="4" s="1"/>
  <c r="I721" i="4"/>
  <c r="G721" i="4" s="1"/>
  <c r="I346" i="4"/>
  <c r="H346" i="4" s="1"/>
  <c r="I191" i="4"/>
  <c r="I352" i="4"/>
  <c r="G352" i="4" s="1"/>
  <c r="I915" i="4"/>
  <c r="G915" i="4" s="1"/>
  <c r="I9" i="4"/>
  <c r="G9" i="4" s="1"/>
  <c r="I176" i="4"/>
  <c r="H176" i="4" s="1"/>
  <c r="I503" i="4"/>
  <c r="H503" i="4" s="1"/>
  <c r="I782" i="4"/>
  <c r="H782" i="4" s="1"/>
  <c r="I456" i="4"/>
  <c r="H456" i="4" s="1"/>
  <c r="I270" i="4"/>
  <c r="H270" i="4" s="1"/>
  <c r="I710" i="4"/>
  <c r="H710" i="4" s="1"/>
  <c r="I276" i="4"/>
  <c r="H276" i="4" s="1"/>
  <c r="I882" i="4"/>
  <c r="I797" i="4"/>
  <c r="H797" i="4" s="1"/>
  <c r="I750" i="4"/>
  <c r="H750" i="4" s="1"/>
  <c r="I838" i="4"/>
  <c r="I855" i="4"/>
  <c r="H855" i="4" s="1"/>
  <c r="I738" i="4"/>
  <c r="H738" i="4" s="1"/>
  <c r="I420" i="4"/>
  <c r="H420" i="4" s="1"/>
  <c r="I393" i="4"/>
  <c r="H393" i="4" s="1"/>
  <c r="I424" i="4"/>
  <c r="H424" i="4" s="1"/>
  <c r="I995" i="4"/>
  <c r="G995" i="4" s="1"/>
  <c r="I113" i="4"/>
  <c r="I84" i="4"/>
  <c r="H84" i="4" s="1"/>
  <c r="I317" i="4"/>
  <c r="H317" i="4" s="1"/>
  <c r="I678" i="4"/>
  <c r="H678" i="4" s="1"/>
  <c r="I550" i="4"/>
  <c r="H550" i="4" s="1"/>
  <c r="I425" i="4"/>
  <c r="G425" i="4" s="1"/>
  <c r="I1065" i="4"/>
  <c r="H1065" i="4" s="1"/>
  <c r="I553" i="4"/>
  <c r="H553" i="4" s="1"/>
  <c r="I954" i="4"/>
  <c r="H954" i="4" s="1"/>
  <c r="I740" i="4"/>
  <c r="H740" i="4" s="1"/>
  <c r="I1102" i="4"/>
  <c r="H1102" i="4" s="1"/>
  <c r="I825" i="4"/>
  <c r="H825" i="4" s="1"/>
  <c r="I843" i="4"/>
  <c r="I952" i="4"/>
  <c r="G952" i="4" s="1"/>
  <c r="I362" i="4"/>
  <c r="H362" i="4" s="1"/>
  <c r="I714" i="4"/>
  <c r="H714" i="4" s="1"/>
  <c r="I1063" i="4"/>
  <c r="H1063" i="4" s="1"/>
  <c r="I365" i="4"/>
  <c r="H365" i="4" s="1"/>
  <c r="I347" i="4"/>
  <c r="H347" i="4" s="1"/>
  <c r="I232" i="4"/>
  <c r="H232" i="4" s="1"/>
  <c r="I664" i="4"/>
  <c r="H664" i="4" s="1"/>
  <c r="I14" i="4"/>
  <c r="H14" i="4" s="1"/>
  <c r="I699" i="4"/>
  <c r="H699" i="4" s="1"/>
  <c r="I423" i="4"/>
  <c r="G423" i="4" s="1"/>
  <c r="I141" i="4"/>
  <c r="H141" i="4" s="1"/>
  <c r="I1006" i="4"/>
  <c r="G1006" i="4" s="1"/>
  <c r="I522" i="4"/>
  <c r="I391" i="4"/>
  <c r="H391" i="4" s="1"/>
  <c r="I652" i="4"/>
  <c r="G652" i="4" s="1"/>
  <c r="I437" i="4"/>
  <c r="H437" i="4" s="1"/>
  <c r="I1078" i="4"/>
  <c r="I933" i="4"/>
  <c r="G933" i="4" s="1"/>
  <c r="I474" i="4"/>
  <c r="G474" i="4" s="1"/>
  <c r="I115" i="4"/>
  <c r="H115" i="4" s="1"/>
  <c r="I562" i="4"/>
  <c r="H562" i="4" s="1"/>
  <c r="I190" i="4"/>
  <c r="H190" i="4" s="1"/>
  <c r="I394" i="4"/>
  <c r="H394" i="4" s="1"/>
  <c r="I947" i="4"/>
  <c r="H947" i="4" s="1"/>
  <c r="I471" i="4"/>
  <c r="H471" i="4" s="1"/>
  <c r="I274" i="4"/>
  <c r="H274" i="4" s="1"/>
  <c r="I599" i="4"/>
  <c r="H599" i="4" s="1"/>
  <c r="I345" i="4"/>
  <c r="I733" i="4"/>
  <c r="H733" i="4" s="1"/>
  <c r="I104" i="4"/>
  <c r="H104" i="4" s="1"/>
  <c r="I375" i="4"/>
  <c r="H375" i="4" s="1"/>
  <c r="I739" i="4"/>
  <c r="G739" i="4" s="1"/>
  <c r="I46" i="4"/>
  <c r="H46" i="4" s="1"/>
  <c r="I711" i="4"/>
  <c r="H711" i="4" s="1"/>
  <c r="I728" i="4"/>
  <c r="H728" i="4" s="1"/>
  <c r="I222" i="4"/>
  <c r="H222" i="4" s="1"/>
  <c r="I1035" i="4"/>
  <c r="H1035" i="4" s="1"/>
  <c r="I1109" i="4"/>
  <c r="H1109" i="4" s="1"/>
  <c r="I744" i="4"/>
  <c r="I308" i="4"/>
  <c r="H308" i="4" s="1"/>
  <c r="I881" i="4"/>
  <c r="I959" i="4"/>
  <c r="H959" i="4" s="1"/>
  <c r="I1105" i="4"/>
  <c r="H1105" i="4" s="1"/>
  <c r="I125" i="4"/>
  <c r="H125" i="4" s="1"/>
  <c r="I641" i="4"/>
  <c r="H641" i="4" s="1"/>
  <c r="I794" i="4"/>
  <c r="H794" i="4" s="1"/>
  <c r="I783" i="4"/>
  <c r="H783" i="4" s="1"/>
  <c r="I1096" i="4"/>
  <c r="H1096" i="4" s="1"/>
  <c r="I998" i="4"/>
  <c r="G998" i="4" s="1"/>
  <c r="I342" i="4"/>
  <c r="H342" i="4" s="1"/>
  <c r="I642" i="4"/>
  <c r="H642" i="4" s="1"/>
  <c r="I168" i="4"/>
  <c r="I1042" i="4"/>
  <c r="I1059" i="4"/>
  <c r="H1059" i="4" s="1"/>
  <c r="I268" i="4"/>
  <c r="G268" i="4" s="1"/>
  <c r="I950" i="4"/>
  <c r="H950" i="4" s="1"/>
  <c r="I1048" i="4"/>
  <c r="H1048" i="4" s="1"/>
  <c r="I683" i="4"/>
  <c r="H683" i="4" s="1"/>
  <c r="I282" i="4"/>
  <c r="H282" i="4" s="1"/>
  <c r="I178" i="4"/>
  <c r="G178" i="4" s="1"/>
  <c r="I493" i="4"/>
  <c r="H493" i="4" s="1"/>
  <c r="I561" i="4"/>
  <c r="H561" i="4" s="1"/>
  <c r="I775" i="4"/>
  <c r="H775" i="4" s="1"/>
  <c r="I1038" i="4"/>
  <c r="G1038" i="4" s="1"/>
  <c r="I930" i="4"/>
  <c r="H930" i="4" s="1"/>
  <c r="I906" i="4"/>
  <c r="H906" i="4" s="1"/>
  <c r="I579" i="4"/>
  <c r="H579" i="4" s="1"/>
  <c r="I860" i="4"/>
  <c r="H860" i="4" s="1"/>
  <c r="I27" i="4"/>
  <c r="H27" i="4" s="1"/>
  <c r="I781" i="4"/>
  <c r="H781" i="4" s="1"/>
  <c r="I658" i="4"/>
  <c r="H658" i="4" s="1"/>
  <c r="I286" i="4"/>
  <c r="H286" i="4" s="1"/>
  <c r="I778" i="4"/>
  <c r="H778" i="4" s="1"/>
  <c r="I122" i="4"/>
  <c r="G122" i="4" s="1"/>
  <c r="I414" i="4"/>
  <c r="G414" i="4" s="1"/>
  <c r="I481" i="4"/>
  <c r="I498" i="4"/>
  <c r="H498" i="4" s="1"/>
  <c r="I608" i="4"/>
  <c r="H608" i="4" s="1"/>
  <c r="I786" i="4"/>
  <c r="H786" i="4" s="1"/>
  <c r="I1033" i="4"/>
  <c r="G1033" i="4" s="1"/>
  <c r="I1031" i="4"/>
  <c r="G1031" i="4" s="1"/>
  <c r="I577" i="4"/>
  <c r="H577" i="4" s="1"/>
  <c r="I1011" i="4"/>
  <c r="H1011" i="4" s="1"/>
  <c r="I511" i="4"/>
  <c r="I238" i="4"/>
  <c r="H238" i="4" s="1"/>
  <c r="I454" i="4"/>
  <c r="G454" i="4" s="1"/>
  <c r="I597" i="4"/>
  <c r="H597" i="4" s="1"/>
  <c r="I979" i="4"/>
  <c r="H979" i="4" s="1"/>
  <c r="I973" i="4"/>
  <c r="H973" i="4" s="1"/>
  <c r="I958" i="4"/>
  <c r="H958" i="4" s="1"/>
  <c r="I413" i="4"/>
  <c r="I614" i="4"/>
  <c r="H614" i="4" s="1"/>
  <c r="I639" i="4"/>
  <c r="H639" i="4" s="1"/>
  <c r="I712" i="4"/>
  <c r="I849" i="4"/>
  <c r="I828" i="4"/>
  <c r="H828" i="4" s="1"/>
  <c r="I987" i="4"/>
  <c r="H987" i="4" s="1"/>
  <c r="I1022" i="4"/>
  <c r="H1022" i="4" s="1"/>
  <c r="I858" i="4"/>
  <c r="H858" i="4" s="1"/>
  <c r="I1005" i="4"/>
  <c r="G1005" i="4" s="1"/>
  <c r="I350" i="4"/>
  <c r="H350" i="4" s="1"/>
  <c r="I376" i="4"/>
  <c r="H376" i="4" s="1"/>
  <c r="I807" i="4"/>
  <c r="H807" i="4" s="1"/>
  <c r="I687" i="4"/>
  <c r="H687" i="4" s="1"/>
  <c r="I1053" i="4"/>
  <c r="H1053" i="4" s="1"/>
  <c r="I619" i="4"/>
  <c r="H619" i="4" s="1"/>
  <c r="I707" i="4"/>
  <c r="I257" i="4"/>
  <c r="H257" i="4" s="1"/>
  <c r="I672" i="4"/>
  <c r="H672" i="4" s="1"/>
  <c r="I839" i="4"/>
  <c r="H839" i="4" s="1"/>
  <c r="I131" i="4"/>
  <c r="H131" i="4" s="1"/>
  <c r="I334" i="4"/>
  <c r="H334" i="4" s="1"/>
  <c r="I364" i="4"/>
  <c r="I1112" i="4"/>
  <c r="H1112" i="4" s="1"/>
  <c r="I469" i="4"/>
  <c r="H469" i="4" s="1"/>
  <c r="I668" i="4"/>
  <c r="H668" i="4" s="1"/>
  <c r="I844" i="4"/>
  <c r="H844" i="4" s="1"/>
  <c r="I640" i="4"/>
  <c r="H640" i="4" s="1"/>
  <c r="I166" i="4"/>
  <c r="H166" i="4" s="1"/>
  <c r="I841" i="4"/>
  <c r="H841" i="4" s="1"/>
  <c r="I139" i="4"/>
  <c r="H139" i="4" s="1"/>
  <c r="I820" i="4"/>
  <c r="H820" i="4" s="1"/>
  <c r="I381" i="4"/>
  <c r="H381" i="4" s="1"/>
  <c r="I1087" i="4"/>
  <c r="I922" i="4"/>
  <c r="H922" i="4" s="1"/>
  <c r="I766" i="4"/>
  <c r="H766" i="4" s="1"/>
  <c r="I779" i="4"/>
  <c r="H779" i="4" s="1"/>
  <c r="I653" i="4"/>
  <c r="H653" i="4" s="1"/>
  <c r="I323" i="4"/>
  <c r="H323" i="4" s="1"/>
  <c r="I555" i="4"/>
  <c r="H555" i="4" s="1"/>
  <c r="I836" i="4"/>
  <c r="H836" i="4" s="1"/>
  <c r="I626" i="4"/>
  <c r="H626" i="4" s="1"/>
  <c r="I633" i="4"/>
  <c r="I772" i="4"/>
  <c r="H772" i="4" s="1"/>
  <c r="I686" i="4"/>
  <c r="H686" i="4" s="1"/>
  <c r="I650" i="4"/>
  <c r="H650" i="4" s="1"/>
  <c r="I288" i="4"/>
  <c r="H288" i="4" s="1"/>
  <c r="I524" i="4"/>
  <c r="H524" i="4" s="1"/>
  <c r="I565" i="4"/>
  <c r="H565" i="4" s="1"/>
  <c r="I513" i="4"/>
  <c r="G513" i="4" s="1"/>
  <c r="I705" i="4"/>
  <c r="H705" i="4" s="1"/>
  <c r="I462" i="4"/>
  <c r="H462" i="4" s="1"/>
  <c r="I89" i="4"/>
  <c r="G89" i="4" s="1"/>
  <c r="I1025" i="4"/>
  <c r="H1025" i="4" s="1"/>
  <c r="I638" i="4"/>
  <c r="H638" i="4" s="1"/>
  <c r="I554" i="4"/>
  <c r="H554" i="4" s="1"/>
  <c r="I399" i="4"/>
  <c r="H399" i="4" s="1"/>
  <c r="I25" i="4"/>
  <c r="H25" i="4" s="1"/>
  <c r="I255" i="4"/>
  <c r="H255" i="4" s="1"/>
  <c r="I309" i="4"/>
  <c r="H309" i="4" s="1"/>
  <c r="I1051" i="4"/>
  <c r="H1051" i="4" s="1"/>
  <c r="I1077" i="4"/>
  <c r="H1077" i="4" s="1"/>
  <c r="I637" i="4"/>
  <c r="G637" i="4" s="1"/>
  <c r="I938" i="4"/>
  <c r="H938" i="4" s="1"/>
  <c r="I1001" i="4"/>
  <c r="H1001" i="4" s="1"/>
  <c r="I981" i="4"/>
  <c r="H981" i="4" s="1"/>
  <c r="I776" i="4"/>
  <c r="H776" i="4" s="1"/>
  <c r="I910" i="4"/>
  <c r="H910" i="4" s="1"/>
  <c r="I1060" i="4"/>
  <c r="H1060" i="4" s="1"/>
  <c r="I792" i="4"/>
  <c r="H792" i="4" s="1"/>
  <c r="I418" i="4"/>
  <c r="H418" i="4" s="1"/>
  <c r="I1085" i="4"/>
  <c r="G1085" i="4" s="1"/>
  <c r="I925" i="4"/>
  <c r="H925" i="4" s="1"/>
  <c r="I1098" i="4"/>
  <c r="H1098" i="4" s="1"/>
  <c r="I666" i="4"/>
  <c r="H666" i="4" s="1"/>
  <c r="I688" i="4"/>
  <c r="H688" i="4" s="1"/>
  <c r="I326" i="4"/>
  <c r="H326" i="4" s="1"/>
  <c r="I823" i="4"/>
  <c r="G823" i="4" s="1"/>
  <c r="I108" i="4"/>
  <c r="H108" i="4" s="1"/>
  <c r="I372" i="4"/>
  <c r="H372" i="4" s="1"/>
  <c r="I1116" i="4"/>
  <c r="H1116" i="4" s="1"/>
  <c r="I1070" i="4"/>
  <c r="H1070" i="4" s="1"/>
  <c r="I870" i="4"/>
  <c r="H870" i="4" s="1"/>
  <c r="I960" i="4"/>
  <c r="I814" i="4"/>
  <c r="H814" i="4" s="1"/>
  <c r="I991" i="4"/>
  <c r="H991" i="4" s="1"/>
  <c r="I277" i="4"/>
  <c r="H277" i="4" s="1"/>
  <c r="I1075" i="4"/>
  <c r="H1075" i="4" s="1"/>
  <c r="I1062" i="4"/>
  <c r="H1062" i="4" s="1"/>
  <c r="I1091" i="4"/>
  <c r="H1091" i="4" s="1"/>
  <c r="I476" i="4"/>
  <c r="H476" i="4" s="1"/>
  <c r="I904" i="4"/>
  <c r="H904" i="4" s="1"/>
  <c r="I114" i="4"/>
  <c r="H114" i="4" s="1"/>
  <c r="I207" i="4"/>
  <c r="G207" i="4" s="1"/>
  <c r="I835" i="4"/>
  <c r="H835" i="4" s="1"/>
  <c r="I68" i="4"/>
  <c r="I101" i="4"/>
  <c r="H101" i="4" s="1"/>
  <c r="I260" i="4"/>
  <c r="H260" i="4" s="1"/>
  <c r="I800" i="4"/>
  <c r="H800" i="4" s="1"/>
  <c r="I464" i="4"/>
  <c r="H464" i="4" s="1"/>
  <c r="I853" i="4"/>
  <c r="H853" i="4" s="1"/>
  <c r="I700" i="4"/>
  <c r="G700" i="4" s="1"/>
  <c r="I407" i="4"/>
  <c r="G407" i="4" s="1"/>
  <c r="I158" i="4"/>
  <c r="G158" i="4" s="1"/>
  <c r="I646" i="4"/>
  <c r="H646" i="4" s="1"/>
  <c r="I358" i="4"/>
  <c r="H358" i="4" s="1"/>
  <c r="I727" i="4"/>
  <c r="I449" i="4"/>
  <c r="H449" i="4" s="1"/>
  <c r="I509" i="4"/>
  <c r="I1021" i="4"/>
  <c r="H1021" i="4" s="1"/>
  <c r="I447" i="4"/>
  <c r="H447" i="4" s="1"/>
  <c r="I1037" i="4"/>
  <c r="H1037" i="4" s="1"/>
  <c r="I269" i="4"/>
  <c r="H269" i="4" s="1"/>
  <c r="I228" i="4"/>
  <c r="H228" i="4" s="1"/>
  <c r="I649" i="4"/>
  <c r="H649" i="4" s="1"/>
  <c r="I746" i="4"/>
  <c r="H746" i="4" s="1"/>
  <c r="I66" i="4"/>
  <c r="H66" i="4" s="1"/>
  <c r="I1113" i="4"/>
  <c r="H1113" i="4" s="1"/>
  <c r="I913" i="4"/>
  <c r="I344" i="4"/>
  <c r="I802" i="4"/>
  <c r="H802" i="4" s="1"/>
  <c r="I143" i="4"/>
  <c r="H143" i="4" s="1"/>
  <c r="I69" i="4"/>
  <c r="H69" i="4" s="1"/>
  <c r="I758" i="4"/>
  <c r="I500" i="4"/>
  <c r="H500" i="4" s="1"/>
  <c r="I50" i="4"/>
  <c r="H50" i="4" s="1"/>
  <c r="I663" i="4"/>
  <c r="H663" i="4" s="1"/>
  <c r="I1002" i="4"/>
  <c r="H1002" i="4" s="1"/>
  <c r="I1101" i="4"/>
  <c r="H1101" i="4" s="1"/>
  <c r="I994" i="4"/>
  <c r="H994" i="4" s="1"/>
  <c r="I936" i="4"/>
  <c r="I94" i="4"/>
  <c r="I134" i="4"/>
  <c r="I460" i="4"/>
  <c r="H460" i="4" s="1"/>
  <c r="I64" i="4"/>
  <c r="H64" i="4" s="1"/>
  <c r="I235" i="4"/>
  <c r="H235" i="4" s="1"/>
  <c r="I157" i="4"/>
  <c r="H157" i="4" s="1"/>
  <c r="I13" i="4"/>
  <c r="I669" i="4"/>
  <c r="H669" i="4" s="1"/>
  <c r="I709" i="4"/>
  <c r="I556" i="4"/>
  <c r="H556" i="4" s="1"/>
  <c r="I49" i="4"/>
  <c r="H49" i="4" s="1"/>
  <c r="I876" i="4"/>
  <c r="H876" i="4" s="1"/>
  <c r="I1067" i="4"/>
  <c r="H1067" i="4" s="1"/>
  <c r="I584" i="4"/>
  <c r="H584" i="4" s="1"/>
  <c r="I677" i="4"/>
  <c r="H677" i="4" s="1"/>
  <c r="I1029" i="4"/>
  <c r="H1029" i="4" s="1"/>
  <c r="I968" i="4"/>
  <c r="H968" i="4" s="1"/>
  <c r="I898" i="4"/>
  <c r="H898" i="4" s="1"/>
  <c r="I234" i="4"/>
  <c r="H234" i="4" s="1"/>
  <c r="I1110" i="4"/>
  <c r="H1110" i="4" s="1"/>
  <c r="I931" i="4"/>
  <c r="H931" i="4" s="1"/>
  <c r="I916" i="4"/>
  <c r="H916" i="4" s="1"/>
  <c r="I1088" i="4"/>
  <c r="H1088" i="4" s="1"/>
  <c r="I621" i="4"/>
  <c r="H621" i="4" s="1"/>
  <c r="I534" i="4"/>
  <c r="H534" i="4" s="1"/>
  <c r="I784" i="4"/>
  <c r="H784" i="4" s="1"/>
  <c r="I897" i="4"/>
  <c r="H897" i="4" s="1"/>
  <c r="I929" i="4"/>
  <c r="I773" i="4"/>
  <c r="H773" i="4" s="1"/>
  <c r="I444" i="4"/>
  <c r="H444" i="4" s="1"/>
  <c r="I412" i="4"/>
  <c r="H412" i="4" s="1"/>
  <c r="I184" i="4"/>
  <c r="G184" i="4" s="1"/>
  <c r="I610" i="4"/>
  <c r="H610" i="4" s="1"/>
  <c r="I457" i="4"/>
  <c r="H457" i="4" s="1"/>
  <c r="I937" i="4"/>
  <c r="I208" i="4"/>
  <c r="H208" i="4" s="1"/>
  <c r="I759" i="4"/>
  <c r="H759" i="4" s="1"/>
  <c r="I432" i="4"/>
  <c r="H432" i="4" s="1"/>
  <c r="I61" i="4"/>
  <c r="G61" i="4" s="1"/>
  <c r="I273" i="4"/>
  <c r="I1069" i="4"/>
  <c r="G1069" i="4" s="1"/>
  <c r="I459" i="4"/>
  <c r="H459" i="4" s="1"/>
  <c r="I529" i="4"/>
  <c r="H529" i="4" s="1"/>
  <c r="I732" i="4"/>
  <c r="H732" i="4" s="1"/>
  <c r="I851" i="4"/>
  <c r="H851" i="4" s="1"/>
  <c r="I359" i="4"/>
  <c r="H359" i="4" s="1"/>
  <c r="I808" i="4"/>
  <c r="H808" i="4" s="1"/>
  <c r="I1118" i="4"/>
  <c r="I872" i="4"/>
  <c r="H872" i="4" s="1"/>
  <c r="I428" i="4"/>
  <c r="H428" i="4" s="1"/>
  <c r="I322" i="4"/>
  <c r="H322" i="4" s="1"/>
  <c r="I483" i="4"/>
  <c r="H483" i="4" s="1"/>
  <c r="I202" i="4"/>
  <c r="G202" i="4" s="1"/>
  <c r="I348" i="4"/>
  <c r="H348" i="4" s="1"/>
  <c r="I928" i="4"/>
  <c r="H928" i="4" s="1"/>
  <c r="I564" i="4"/>
  <c r="H564" i="4" s="1"/>
  <c r="I203" i="4"/>
  <c r="H203" i="4" s="1"/>
  <c r="I85" i="4"/>
  <c r="H85" i="4" s="1"/>
  <c r="I616" i="4"/>
  <c r="H616" i="4" s="1"/>
  <c r="I415" i="4"/>
  <c r="H415" i="4" s="1"/>
  <c r="I488" i="4"/>
  <c r="H488" i="4" s="1"/>
  <c r="I635" i="4"/>
  <c r="G635" i="4" s="1"/>
  <c r="I989" i="4"/>
  <c r="I1009" i="4"/>
  <c r="I944" i="4"/>
  <c r="H944" i="4" s="1"/>
  <c r="I373" i="4"/>
  <c r="H373" i="4" s="1"/>
  <c r="I265" i="4"/>
  <c r="H265" i="4" s="1"/>
  <c r="I755" i="4"/>
  <c r="H755" i="4" s="1"/>
  <c r="I56" i="4"/>
  <c r="H56" i="4" s="1"/>
  <c r="I164" i="4"/>
  <c r="H164" i="4" s="1"/>
  <c r="I537" i="4"/>
  <c r="H537" i="4" s="1"/>
  <c r="I1104" i="4"/>
  <c r="I1089" i="4"/>
  <c r="H1089" i="4" s="1"/>
  <c r="I880" i="4"/>
  <c r="H880" i="4" s="1"/>
  <c r="I592" i="4"/>
  <c r="H592" i="4" s="1"/>
  <c r="I79" i="4"/>
  <c r="H79" i="4" s="1"/>
  <c r="I338" i="4"/>
  <c r="G338" i="4" s="1"/>
  <c r="I535" i="4"/>
  <c r="G535" i="4" s="1"/>
  <c r="I240" i="4"/>
  <c r="H240" i="4" s="1"/>
  <c r="I161" i="4"/>
  <c r="H161" i="4" s="1"/>
  <c r="I275" i="4"/>
  <c r="H275" i="4" s="1"/>
  <c r="I884" i="4"/>
  <c r="H884" i="4" s="1"/>
  <c r="I465" i="4"/>
  <c r="H465" i="4" s="1"/>
  <c r="I152" i="4"/>
  <c r="H152" i="4" s="1"/>
  <c r="I186" i="4"/>
  <c r="H186" i="4" s="1"/>
  <c r="I179" i="4"/>
  <c r="H179" i="4" s="1"/>
  <c r="I24" i="4"/>
  <c r="H24" i="4" s="1"/>
  <c r="I8" i="4"/>
  <c r="H8" i="4" s="1"/>
  <c r="I769" i="4"/>
  <c r="H769" i="4" s="1"/>
  <c r="I883" i="4"/>
  <c r="H883" i="4" s="1"/>
  <c r="I201" i="4"/>
  <c r="H201" i="4" s="1"/>
  <c r="I299" i="4"/>
  <c r="G299" i="4" s="1"/>
  <c r="I33" i="4"/>
  <c r="I211" i="4"/>
  <c r="I478" i="4"/>
  <c r="I1000" i="4"/>
  <c r="H1000" i="4" s="1"/>
  <c r="I212" i="4"/>
  <c r="I517" i="4"/>
  <c r="H517" i="4" s="1"/>
  <c r="I411" i="4"/>
  <c r="H411" i="4" s="1"/>
  <c r="I90" i="4"/>
  <c r="H90" i="4" s="1"/>
  <c r="I644" i="4"/>
  <c r="H644" i="4" s="1"/>
  <c r="I632" i="4"/>
  <c r="H632" i="4" s="1"/>
  <c r="I497" i="4"/>
  <c r="G497" i="4" s="1"/>
  <c r="I162" i="4"/>
  <c r="H162" i="4" s="1"/>
  <c r="I494" i="4"/>
  <c r="I74" i="4"/>
  <c r="G74" i="4" s="1"/>
  <c r="I135" i="4"/>
  <c r="H135" i="4" s="1"/>
  <c r="I1066" i="4"/>
  <c r="H1066" i="4" s="1"/>
  <c r="I1068" i="4"/>
  <c r="H1068" i="4" s="1"/>
  <c r="I1016" i="4"/>
  <c r="H1016" i="4" s="1"/>
  <c r="I812" i="4"/>
  <c r="H812" i="4" s="1"/>
  <c r="I848" i="4"/>
  <c r="H848" i="4" s="1"/>
  <c r="I791" i="4"/>
  <c r="I708" i="4"/>
  <c r="H708" i="4" s="1"/>
  <c r="I1093" i="4"/>
  <c r="H1093" i="4" s="1"/>
  <c r="I654" i="4"/>
  <c r="G654" i="4" s="1"/>
  <c r="I661" i="4"/>
  <c r="H661" i="4" s="1"/>
  <c r="I903" i="4"/>
  <c r="G903" i="4" s="1"/>
  <c r="I576" i="4"/>
  <c r="H576" i="4" s="1"/>
  <c r="I992" i="4"/>
  <c r="H992" i="4" s="1"/>
  <c r="I927" i="4"/>
  <c r="H927" i="4" s="1"/>
  <c r="I679" i="4"/>
  <c r="H679" i="4" s="1"/>
  <c r="I1007" i="4"/>
  <c r="G1007" i="4" s="1"/>
  <c r="I244" i="4"/>
  <c r="H244" i="4" s="1"/>
  <c r="I606" i="4"/>
  <c r="H606" i="4" s="1"/>
  <c r="I480" i="4"/>
  <c r="H480" i="4" s="1"/>
  <c r="I955" i="4"/>
  <c r="H955" i="4" s="1"/>
  <c r="I487" i="4"/>
  <c r="I421" i="4"/>
  <c r="H421" i="4" s="1"/>
  <c r="I145" i="4"/>
  <c r="H145" i="4" s="1"/>
  <c r="I541" i="4"/>
  <c r="H541" i="4" s="1"/>
  <c r="I508" i="4"/>
  <c r="H508" i="4" s="1"/>
  <c r="I830" i="4"/>
  <c r="H830" i="4" s="1"/>
  <c r="I787" i="4"/>
  <c r="H787" i="4" s="1"/>
  <c r="I912" i="4"/>
  <c r="H912" i="4" s="1"/>
  <c r="I889" i="4"/>
  <c r="H889" i="4" s="1"/>
  <c r="I259" i="4"/>
  <c r="H259" i="4" s="1"/>
  <c r="I443" i="4"/>
  <c r="H443" i="4" s="1"/>
  <c r="I422" i="4"/>
  <c r="G422" i="4" s="1"/>
  <c r="I243" i="4"/>
  <c r="H243" i="4" s="1"/>
  <c r="I691" i="4"/>
  <c r="H691" i="4" s="1"/>
  <c r="I921" i="4"/>
  <c r="H921" i="4" s="1"/>
  <c r="I939" i="4"/>
  <c r="G939" i="4" s="1"/>
  <c r="I790" i="4"/>
  <c r="I587" i="4"/>
  <c r="H587" i="4" s="1"/>
  <c r="I837" i="4"/>
  <c r="H837" i="4" s="1"/>
  <c r="I258" i="4"/>
  <c r="H258" i="4" s="1"/>
  <c r="I888" i="4"/>
  <c r="H888" i="4" s="1"/>
  <c r="I1045" i="4"/>
  <c r="H1045" i="4" s="1"/>
  <c r="I734" i="4"/>
  <c r="H734" i="4" s="1"/>
  <c r="I367" i="4"/>
  <c r="H367" i="4" s="1"/>
  <c r="I119" i="4"/>
  <c r="H119" i="4" s="1"/>
  <c r="I63" i="4"/>
  <c r="H63" i="4" s="1"/>
  <c r="I26" i="4"/>
  <c r="H26" i="4" s="1"/>
  <c r="I634" i="4"/>
  <c r="G634" i="4" s="1"/>
  <c r="I984" i="4"/>
  <c r="H984" i="4" s="1"/>
  <c r="I427" i="4"/>
  <c r="H427" i="4" s="1"/>
  <c r="I536" i="4"/>
  <c r="G536" i="4" s="1"/>
  <c r="I144" i="4"/>
  <c r="G144" i="4" s="1"/>
  <c r="I187" i="4"/>
  <c r="H187" i="4" s="1"/>
  <c r="I142" i="4"/>
  <c r="I403" i="4"/>
  <c r="H403" i="4" s="1"/>
  <c r="I482" i="4"/>
  <c r="H482" i="4" s="1"/>
  <c r="I71" i="4"/>
  <c r="H71" i="4" s="1"/>
  <c r="I924" i="4"/>
  <c r="H924" i="4" s="1"/>
  <c r="I1043" i="4"/>
  <c r="G1043" i="4" s="1"/>
  <c r="I905" i="4"/>
  <c r="H905" i="4" s="1"/>
  <c r="I223" i="4"/>
  <c r="H223" i="4" s="1"/>
  <c r="I137" i="4"/>
  <c r="H137" i="4" s="1"/>
  <c r="I333" i="4"/>
  <c r="H333" i="4" s="1"/>
  <c r="I518" i="4"/>
  <c r="H518" i="4" s="1"/>
  <c r="I175" i="4"/>
  <c r="H175" i="4" s="1"/>
  <c r="I695" i="4"/>
  <c r="H695" i="4" s="1"/>
  <c r="I353" i="4"/>
  <c r="H353" i="4" s="1"/>
  <c r="I1103" i="4"/>
  <c r="I551" i="4"/>
  <c r="G551" i="4" s="1"/>
  <c r="I659" i="4"/>
  <c r="G659" i="4" s="1"/>
  <c r="I249" i="4"/>
  <c r="G249" i="4" s="1"/>
  <c r="I408" i="4"/>
  <c r="G408" i="4" s="1"/>
  <c r="I227" i="4"/>
  <c r="H227" i="4" s="1"/>
  <c r="I806" i="4"/>
  <c r="H806" i="4" s="1"/>
  <c r="I1047" i="4"/>
  <c r="H1047" i="4" s="1"/>
  <c r="I266" i="4"/>
  <c r="H266" i="4" s="1"/>
  <c r="I431" i="4"/>
  <c r="H431" i="4" s="1"/>
  <c r="I388" i="4"/>
  <c r="H388" i="4" s="1"/>
  <c r="I631" i="4"/>
  <c r="H631" i="4" s="1"/>
  <c r="I832" i="4"/>
  <c r="H832" i="4" s="1"/>
  <c r="I402" i="4"/>
  <c r="H402" i="4" s="1"/>
  <c r="I574" i="4"/>
  <c r="H574" i="4" s="1"/>
  <c r="I37" i="4"/>
  <c r="H37" i="4" s="1"/>
  <c r="I601" i="4"/>
  <c r="H601" i="4" s="1"/>
  <c r="I382" i="4"/>
  <c r="I284" i="4"/>
  <c r="H284" i="4" s="1"/>
  <c r="I1034" i="4"/>
  <c r="G1034" i="4" s="1"/>
  <c r="I40" i="4"/>
  <c r="G40" i="4" s="1"/>
  <c r="I703" i="4"/>
  <c r="H703" i="4" s="1"/>
  <c r="I455" i="4"/>
  <c r="H455" i="4" s="1"/>
  <c r="I314" i="4"/>
  <c r="H314" i="4" s="1"/>
  <c r="I1049" i="4"/>
  <c r="H1049" i="4" s="1"/>
  <c r="I123" i="4"/>
  <c r="I392" i="4"/>
  <c r="H392" i="4" s="1"/>
  <c r="I118" i="4"/>
  <c r="I670" i="4"/>
  <c r="H670" i="4" s="1"/>
  <c r="I281" i="4"/>
  <c r="H281" i="4" s="1"/>
  <c r="I252" i="4"/>
  <c r="H252" i="4" s="1"/>
  <c r="I618" i="4"/>
  <c r="H618" i="4" s="1"/>
  <c r="I501" i="4"/>
  <c r="H501" i="4" s="1"/>
  <c r="I20" i="4"/>
  <c r="H20" i="4" s="1"/>
  <c r="I29" i="4"/>
  <c r="H29" i="4" s="1"/>
  <c r="I377" i="4"/>
  <c r="H377" i="4" s="1"/>
  <c r="I748" i="4"/>
  <c r="H748" i="4" s="1"/>
  <c r="I327" i="4"/>
  <c r="H327" i="4" s="1"/>
  <c r="I451" i="4"/>
  <c r="H451" i="4" s="1"/>
  <c r="I1111" i="4"/>
  <c r="H1111" i="4" s="1"/>
  <c r="I48" i="4"/>
  <c r="H48" i="4" s="1"/>
  <c r="I39" i="4"/>
  <c r="H39" i="4" s="1"/>
  <c r="I133" i="4"/>
  <c r="H133" i="4" s="1"/>
  <c r="I233" i="4"/>
  <c r="H233" i="4" s="1"/>
  <c r="I1012" i="4"/>
  <c r="H1012" i="4" s="1"/>
  <c r="I336" i="4"/>
  <c r="H336" i="4" s="1"/>
  <c r="I435" i="4"/>
  <c r="H435" i="4" s="1"/>
  <c r="I242" i="4"/>
  <c r="H242" i="4" s="1"/>
  <c r="I374" i="4"/>
  <c r="G374" i="4" s="1"/>
  <c r="I864" i="4"/>
  <c r="H864" i="4" s="1"/>
  <c r="I945" i="4"/>
  <c r="G945" i="4" s="1"/>
  <c r="I67" i="4"/>
  <c r="H67" i="4" s="1"/>
  <c r="I82" i="4"/>
  <c r="H82" i="4" s="1"/>
  <c r="I206" i="4"/>
  <c r="I893" i="4"/>
  <c r="H893" i="4" s="1"/>
  <c r="I867" i="4"/>
  <c r="H867" i="4" s="1"/>
  <c r="I289" i="4"/>
  <c r="G289" i="4" s="1"/>
  <c r="I128" i="4"/>
  <c r="H128" i="4" s="1"/>
  <c r="I368" i="4"/>
  <c r="H368" i="4" s="1"/>
  <c r="I247" i="4"/>
  <c r="H247" i="4" s="1"/>
  <c r="I896" i="4"/>
  <c r="I869" i="4"/>
  <c r="H869" i="4" s="1"/>
  <c r="I532" i="4"/>
  <c r="G532" i="4" s="1"/>
  <c r="I582" i="4"/>
  <c r="H582" i="4" s="1"/>
  <c r="I570" i="4"/>
  <c r="H570" i="4" s="1"/>
  <c r="I502" i="4"/>
  <c r="H502" i="4" s="1"/>
  <c r="I840" i="4"/>
  <c r="H840" i="4" s="1"/>
  <c r="I263" i="4"/>
  <c r="H263" i="4" s="1"/>
  <c r="I996" i="4"/>
  <c r="H996" i="4" s="1"/>
  <c r="I768" i="4"/>
  <c r="H768" i="4" s="1"/>
  <c r="I581" i="4"/>
  <c r="H581" i="4" s="1"/>
  <c r="I1121" i="4"/>
  <c r="G1121" i="4" s="1"/>
  <c r="I302" i="4"/>
  <c r="G302" i="4" s="1"/>
  <c r="I962" i="4"/>
  <c r="H962" i="4" s="1"/>
  <c r="I892" i="4"/>
  <c r="G892" i="4" s="1"/>
  <c r="I523" i="4"/>
  <c r="H523" i="4" s="1"/>
  <c r="I383" i="4"/>
  <c r="H383" i="4" s="1"/>
  <c r="I440" i="4"/>
  <c r="H440" i="4" s="1"/>
  <c r="I106" i="4"/>
  <c r="H106" i="4" s="1"/>
  <c r="I655" i="4"/>
  <c r="H655" i="4" s="1"/>
  <c r="I717" i="4"/>
  <c r="G717" i="4" s="1"/>
  <c r="I821" i="4"/>
  <c r="G821" i="4" s="1"/>
  <c r="I150" i="4"/>
  <c r="I878" i="4"/>
  <c r="H878" i="4" s="1"/>
  <c r="I441" i="4"/>
  <c r="H441" i="4" s="1"/>
  <c r="I496" i="4"/>
  <c r="H496" i="4" s="1"/>
  <c r="I911" i="4"/>
  <c r="H911" i="4" s="1"/>
  <c r="I292" i="4"/>
  <c r="H292" i="4" s="1"/>
  <c r="I847" i="4"/>
  <c r="H847" i="4" s="1"/>
  <c r="I993" i="4"/>
  <c r="G993" i="4" s="1"/>
  <c r="I909" i="4"/>
  <c r="I681" i="4"/>
  <c r="H681" i="4" s="1"/>
  <c r="I974" i="4"/>
  <c r="H974" i="4" s="1"/>
  <c r="I510" i="4"/>
  <c r="G510" i="4" s="1"/>
  <c r="I757" i="4"/>
  <c r="G757" i="4" s="1"/>
  <c r="I290" i="4"/>
  <c r="G290" i="4" s="1"/>
  <c r="I701" i="4"/>
  <c r="H701" i="4" s="1"/>
  <c r="I329" i="4"/>
  <c r="H329" i="4" s="1"/>
  <c r="I491" i="4"/>
  <c r="H491" i="4" s="1"/>
  <c r="I842" i="4"/>
  <c r="G842" i="4" s="1"/>
  <c r="I1004" i="4"/>
  <c r="H1004" i="4" s="1"/>
  <c r="I963" i="4"/>
  <c r="H963" i="4" s="1"/>
  <c r="I1095" i="4"/>
  <c r="H1095" i="4" s="1"/>
  <c r="I1028" i="4"/>
  <c r="H1028" i="4" s="1"/>
  <c r="I846" i="4"/>
  <c r="G846" i="4" s="1"/>
  <c r="I410" i="4"/>
  <c r="H410" i="4" s="1"/>
  <c r="I360" i="4"/>
  <c r="I990" i="4"/>
  <c r="H990" i="4" s="1"/>
  <c r="I387" i="4"/>
  <c r="H387" i="4" s="1"/>
  <c r="I1046" i="4"/>
  <c r="H1046" i="4" s="1"/>
  <c r="I863" i="4"/>
  <c r="H863" i="4" s="1"/>
  <c r="I467" i="4"/>
  <c r="H467" i="4" s="1"/>
  <c r="I988" i="4"/>
  <c r="H988" i="4" s="1"/>
  <c r="I997" i="4"/>
  <c r="H997" i="4" s="1"/>
  <c r="I1044" i="4"/>
  <c r="H1044" i="4" s="1"/>
  <c r="I439" i="4"/>
  <c r="H439" i="4" s="1"/>
  <c r="I416" i="4"/>
  <c r="G416" i="4" s="1"/>
  <c r="I293" i="4"/>
  <c r="H293" i="4" s="1"/>
  <c r="I747" i="4"/>
  <c r="H747" i="4" s="1"/>
  <c r="I972" i="4"/>
  <c r="H972" i="4" s="1"/>
  <c r="I296" i="4"/>
  <c r="G296" i="4" s="1"/>
  <c r="I354" i="4"/>
  <c r="G354" i="4" s="1"/>
  <c r="I219" i="4"/>
  <c r="I182" i="4"/>
  <c r="I549" i="4"/>
  <c r="H549" i="4" s="1"/>
  <c r="I199" i="4"/>
  <c r="H199" i="4" s="1"/>
  <c r="I224" i="4"/>
  <c r="H224" i="4" s="1"/>
  <c r="I239" i="4"/>
  <c r="H239" i="4" s="1"/>
  <c r="I351" i="4"/>
  <c r="H351" i="4" s="1"/>
  <c r="I689" i="4"/>
  <c r="H689" i="4" s="1"/>
  <c r="I177" i="4"/>
  <c r="H177" i="4" s="1"/>
  <c r="I272" i="4"/>
  <c r="G272" i="4" s="1"/>
  <c r="I575" i="4"/>
  <c r="H575" i="4" s="1"/>
  <c r="I1036" i="4"/>
  <c r="H1036" i="4" s="1"/>
  <c r="I815" i="4"/>
  <c r="H815" i="4" s="1"/>
  <c r="I856" i="4"/>
  <c r="H856" i="4" s="1"/>
  <c r="I1058" i="4"/>
  <c r="H1058" i="4" s="1"/>
  <c r="I583" i="4"/>
  <c r="H583" i="4" s="1"/>
  <c r="I1082" i="4"/>
  <c r="H1082" i="4" s="1"/>
  <c r="I1041" i="4"/>
  <c r="H1041" i="4" s="1"/>
  <c r="I985" i="4"/>
  <c r="G985" i="4" s="1"/>
  <c r="I525" i="4"/>
  <c r="H525" i="4" s="1"/>
  <c r="I171" i="4"/>
  <c r="H171" i="4" s="1"/>
  <c r="I885" i="4"/>
  <c r="H885" i="4" s="1"/>
  <c r="I600" i="4"/>
  <c r="H600" i="4" s="1"/>
  <c r="I1072" i="4"/>
  <c r="G1072" i="4" s="1"/>
  <c r="I736" i="4"/>
  <c r="G736" i="4" s="1"/>
  <c r="I32" i="4"/>
  <c r="I978" i="4"/>
  <c r="H978" i="4" s="1"/>
  <c r="I140" i="4"/>
  <c r="H140" i="4" s="1"/>
  <c r="I1050" i="4"/>
  <c r="H1050" i="4" s="1"/>
  <c r="I531" i="4"/>
  <c r="G531" i="4" s="1"/>
  <c r="I170" i="4"/>
  <c r="H170" i="4" s="1"/>
  <c r="I731" i="4"/>
  <c r="H731" i="4" s="1"/>
  <c r="I942" i="4"/>
  <c r="H942" i="4" s="1"/>
  <c r="I1094" i="4"/>
  <c r="H1094" i="4" s="1"/>
  <c r="I253" i="4"/>
  <c r="H253" i="4" s="1"/>
  <c r="I704" i="4"/>
  <c r="H704" i="4" s="1"/>
  <c r="I7" i="4"/>
  <c r="G7" i="4" s="1"/>
  <c r="I568" i="4"/>
  <c r="H568" i="4" s="1"/>
  <c r="I902" i="4"/>
  <c r="H902" i="4" s="1"/>
  <c r="I520" i="4"/>
  <c r="H520" i="4" s="1"/>
  <c r="I174" i="4"/>
  <c r="H174" i="4" s="1"/>
  <c r="I88" i="4"/>
  <c r="I818" i="4"/>
  <c r="H818" i="4" s="1"/>
  <c r="I971" i="4"/>
  <c r="H971" i="4" s="1"/>
  <c r="I611" i="4"/>
  <c r="H611" i="4" s="1"/>
  <c r="I1090" i="4"/>
  <c r="H1090" i="4" s="1"/>
  <c r="I126" i="4"/>
  <c r="H126" i="4" s="1"/>
  <c r="I92" i="4"/>
  <c r="H92" i="4" s="1"/>
  <c r="G91" i="4"/>
  <c r="G386" i="4"/>
  <c r="G1103" i="4"/>
  <c r="G137" i="4"/>
  <c r="G358" i="4"/>
  <c r="G904" i="4"/>
  <c r="G604" i="4"/>
  <c r="G380" i="4"/>
  <c r="G735" i="4"/>
  <c r="G457" i="4"/>
  <c r="G570" i="4"/>
  <c r="G517" i="4"/>
  <c r="G537" i="4"/>
  <c r="G779" i="4"/>
  <c r="G226" i="4"/>
  <c r="G1035" i="4"/>
  <c r="G906" i="4"/>
  <c r="G603" i="4"/>
  <c r="G329" i="4"/>
  <c r="G990" i="4"/>
  <c r="G180" i="4"/>
  <c r="G1071" i="4"/>
  <c r="G863" i="4"/>
  <c r="G182" i="4"/>
  <c r="G893" i="4"/>
  <c r="G1036" i="4"/>
  <c r="G399" i="4"/>
  <c r="G1087" i="4"/>
  <c r="G914" i="4"/>
  <c r="G844" i="4"/>
  <c r="G50" i="4"/>
  <c r="G369" i="4"/>
  <c r="G866" i="4"/>
  <c r="G6" i="4"/>
  <c r="G241" i="4"/>
  <c r="G911" i="4"/>
  <c r="G847" i="4"/>
  <c r="G327" i="4"/>
  <c r="G785" i="4"/>
  <c r="G1074" i="4"/>
  <c r="G1111" i="4"/>
  <c r="G138" i="4"/>
  <c r="G815" i="4"/>
  <c r="G1082" i="4"/>
  <c r="G718" i="4"/>
  <c r="G460" i="4"/>
  <c r="G143" i="4"/>
  <c r="G1113" i="4"/>
  <c r="G188" i="4"/>
  <c r="G179" i="4"/>
  <c r="G928" i="4"/>
  <c r="G1075" i="4"/>
  <c r="G328" i="4"/>
  <c r="G959" i="4"/>
  <c r="G468" i="4"/>
  <c r="G106" i="4"/>
  <c r="G763" i="4"/>
  <c r="G664" i="4"/>
  <c r="G506" i="4"/>
  <c r="G963" i="4"/>
  <c r="G854" i="4"/>
  <c r="G493" i="4"/>
  <c r="G426" i="4"/>
  <c r="G764" i="4"/>
  <c r="G357" i="4"/>
  <c r="G1119" i="4"/>
  <c r="G255" i="4"/>
  <c r="G683" i="4"/>
  <c r="G361" i="4"/>
  <c r="G285" i="4"/>
  <c r="G461" i="4"/>
  <c r="G955" i="4"/>
  <c r="G266" i="4"/>
  <c r="G223" i="4"/>
  <c r="G260" i="4"/>
  <c r="G938" i="4"/>
  <c r="G427" i="4"/>
  <c r="G729" i="4"/>
  <c r="G1116" i="4"/>
  <c r="G481" i="4"/>
  <c r="G566" i="4"/>
  <c r="G672" i="4"/>
  <c r="G852" i="4"/>
  <c r="G304" i="4"/>
  <c r="G252" i="4"/>
  <c r="G857" i="4"/>
  <c r="G415" i="4"/>
  <c r="G767" i="4"/>
  <c r="G658" i="4"/>
  <c r="G644" i="4"/>
  <c r="G801" i="4"/>
  <c r="G762" i="4"/>
  <c r="G215" i="4"/>
  <c r="G935" i="4"/>
  <c r="G400" i="4"/>
  <c r="G503" i="4"/>
  <c r="G670" i="4"/>
  <c r="G53" i="4"/>
  <c r="G788" i="4"/>
  <c r="G900" i="4"/>
  <c r="G889" i="4"/>
  <c r="G128" i="4"/>
  <c r="G575" i="4"/>
  <c r="G905" i="4"/>
  <c r="G1011" i="4"/>
  <c r="G92" i="4"/>
  <c r="G1018" i="4"/>
  <c r="G465" i="4"/>
  <c r="G507" i="4"/>
  <c r="G529" i="4"/>
  <c r="G499" i="4"/>
  <c r="G565" i="4"/>
  <c r="G820" i="4"/>
  <c r="G515" i="4"/>
  <c r="G1108" i="4"/>
  <c r="G1054" i="4"/>
  <c r="G63" i="4"/>
  <c r="G1099" i="4"/>
  <c r="G1109" i="4"/>
  <c r="G691" i="4"/>
  <c r="G642" i="4"/>
  <c r="G550" i="4"/>
  <c r="G982" i="4"/>
  <c r="G832" i="4"/>
  <c r="G539" i="4"/>
  <c r="G410" i="4"/>
  <c r="G549" i="4"/>
  <c r="G34" i="4"/>
  <c r="G1001" i="4"/>
  <c r="G440" i="4"/>
  <c r="G656" i="4"/>
  <c r="G339" i="4"/>
  <c r="G812" i="4"/>
  <c r="G107" i="4"/>
  <c r="G830" i="4"/>
  <c r="G606" i="4"/>
  <c r="G942" i="4"/>
  <c r="G1015" i="4"/>
  <c r="G722" i="4"/>
  <c r="G333" i="4"/>
  <c r="G13" i="4"/>
  <c r="G802" i="4"/>
  <c r="G449" i="4"/>
  <c r="G657" i="4"/>
  <c r="G685" i="4"/>
  <c r="G971" i="4"/>
  <c r="G1114" i="4"/>
  <c r="G275" i="4"/>
  <c r="G784" i="4"/>
  <c r="G962" i="4"/>
  <c r="G409" i="4"/>
  <c r="G949" i="4"/>
  <c r="G250" i="4"/>
  <c r="G793" i="4"/>
  <c r="G484" i="4"/>
  <c r="G548" i="4"/>
  <c r="G619" i="4"/>
  <c r="G981" i="4"/>
  <c r="G756" i="4"/>
  <c r="G671" i="4"/>
  <c r="G490" i="4"/>
  <c r="G129" i="4"/>
  <c r="G860" i="4"/>
  <c r="G297" i="4"/>
  <c r="G150" i="4"/>
  <c r="G521" i="4"/>
  <c r="G1084" i="4"/>
  <c r="G276" i="4"/>
  <c r="G997" i="4"/>
  <c r="G293" i="4"/>
  <c r="G306" i="4"/>
  <c r="G1045" i="4"/>
  <c r="G270" i="4"/>
  <c r="G713" i="4"/>
  <c r="G8" i="4"/>
  <c r="G624" i="4"/>
  <c r="G1039" i="4"/>
  <c r="G446" i="4"/>
  <c r="G631" i="4"/>
  <c r="G132" i="4"/>
  <c r="G613" i="4"/>
  <c r="G755" i="4"/>
  <c r="G808" i="4"/>
  <c r="G216" i="4"/>
  <c r="G211" i="4"/>
  <c r="G650" i="4"/>
  <c r="G381" i="4"/>
  <c r="G154" i="4"/>
  <c r="G890" i="4"/>
  <c r="G663" i="4"/>
  <c r="G883" i="4"/>
  <c r="G217" i="4"/>
  <c r="G707" i="4"/>
  <c r="G1077" i="4"/>
  <c r="G1079" i="4"/>
  <c r="G274" i="4"/>
  <c r="G984" i="4"/>
  <c r="G740" i="4"/>
  <c r="G686" i="4"/>
  <c r="G728" i="4"/>
  <c r="G552" i="4"/>
  <c r="G816" i="4"/>
  <c r="G52" i="4"/>
  <c r="G452" i="4"/>
  <c r="G617" i="4"/>
  <c r="G851" i="4"/>
  <c r="G684" i="4"/>
  <c r="G1004" i="4"/>
  <c r="G888" i="4"/>
  <c r="G954" i="4"/>
  <c r="G16" i="4"/>
  <c r="G164" i="4"/>
  <c r="G748" i="4"/>
  <c r="G1115" i="4"/>
  <c r="G97" i="4"/>
  <c r="G54" i="4"/>
  <c r="G151" i="4"/>
  <c r="G337" i="4"/>
  <c r="G732" i="4"/>
  <c r="G1073" i="4"/>
  <c r="G1112" i="4"/>
  <c r="G897" i="4"/>
  <c r="G590" i="4"/>
  <c r="G584" i="4"/>
  <c r="G828" i="4"/>
  <c r="G569" i="4"/>
  <c r="G648" i="4"/>
  <c r="G1086" i="4"/>
  <c r="G430" i="4"/>
  <c r="G463" i="4"/>
  <c r="G373" i="4"/>
  <c r="G1105" i="4"/>
  <c r="G950" i="4"/>
  <c r="G765" i="4"/>
  <c r="G825" i="4"/>
  <c r="G720" i="4"/>
  <c r="G770" i="4"/>
  <c r="G855" i="4"/>
  <c r="G1051" i="4"/>
  <c r="G149" i="4"/>
  <c r="G126" i="4"/>
  <c r="G251" i="4"/>
  <c r="G491" i="4"/>
  <c r="G23" i="4"/>
  <c r="G1037" i="4"/>
  <c r="G898" i="4"/>
  <c r="G902" i="4"/>
  <c r="G655" i="4"/>
  <c r="G71" i="4"/>
  <c r="G442" i="4"/>
  <c r="H1081" i="4"/>
  <c r="H429" i="4"/>
  <c r="H1120" i="4"/>
  <c r="H770" i="4"/>
  <c r="H737" i="4" l="1"/>
  <c r="H193" i="4"/>
  <c r="H59" i="4"/>
  <c r="K59" i="4" s="1"/>
  <c r="L59" i="4" s="1"/>
  <c r="H11" i="4"/>
  <c r="K11" i="4" s="1"/>
  <c r="L11" i="4" s="1"/>
  <c r="H204" i="4"/>
  <c r="K204" i="4" s="1"/>
  <c r="L204" i="4" s="1"/>
  <c r="H148" i="4"/>
  <c r="K148" i="4" s="1"/>
  <c r="L148" i="4" s="1"/>
  <c r="H563" i="4"/>
  <c r="K563" i="4" s="1"/>
  <c r="L563" i="4" s="1"/>
  <c r="H612" i="4"/>
  <c r="K612" i="4" s="1"/>
  <c r="L612" i="4" s="1"/>
  <c r="H514" i="4"/>
  <c r="K514" i="4" s="1"/>
  <c r="L514" i="4" s="1"/>
  <c r="H280" i="4"/>
  <c r="K280" i="4" s="1"/>
  <c r="L280" i="4" s="1"/>
  <c r="H538" i="4"/>
  <c r="K538" i="4" s="1"/>
  <c r="L538" i="4" s="1"/>
  <c r="H505" i="4"/>
  <c r="K505" i="4" s="1"/>
  <c r="L505" i="4" s="1"/>
  <c r="H406" i="4"/>
  <c r="K406" i="4" s="1"/>
  <c r="L406" i="4" s="1"/>
  <c r="H209" i="4"/>
  <c r="K209" i="4" s="1"/>
  <c r="L209" i="4" s="1"/>
  <c r="H536" i="4"/>
  <c r="K536" i="4" s="1"/>
  <c r="L536" i="4" s="1"/>
  <c r="H903" i="4"/>
  <c r="K903" i="4" s="1"/>
  <c r="L903" i="4" s="1"/>
  <c r="H943" i="4"/>
  <c r="K943" i="4" s="1"/>
  <c r="L943" i="4" s="1"/>
  <c r="G5" i="4"/>
  <c r="H1008" i="4"/>
  <c r="K1008" i="4" s="1"/>
  <c r="L1008" i="4" s="1"/>
  <c r="H995" i="4"/>
  <c r="K995" i="4" s="1"/>
  <c r="L995" i="4" s="1"/>
  <c r="H845" i="4"/>
  <c r="K845" i="4" s="1"/>
  <c r="L845" i="4" s="1"/>
  <c r="G896" i="4"/>
  <c r="H331" i="4"/>
  <c r="K331" i="4" s="1"/>
  <c r="L331" i="4" s="1"/>
  <c r="H850" i="4"/>
  <c r="K850" i="4" s="1"/>
  <c r="L850" i="4" s="1"/>
  <c r="H340" i="4"/>
  <c r="K340" i="4" s="1"/>
  <c r="L340" i="4" s="1"/>
  <c r="H341" i="4"/>
  <c r="K341" i="4" s="1"/>
  <c r="L341" i="4" s="1"/>
  <c r="H926" i="4"/>
  <c r="K926" i="4" s="1"/>
  <c r="L926" i="4" s="1"/>
  <c r="H557" i="4"/>
  <c r="K557" i="4" s="1"/>
  <c r="L557" i="4" s="1"/>
  <c r="H122" i="4"/>
  <c r="K122" i="4" s="1"/>
  <c r="L122" i="4" s="1"/>
  <c r="H158" i="4"/>
  <c r="K158" i="4" s="1"/>
  <c r="L158" i="4" s="1"/>
  <c r="H1085" i="4"/>
  <c r="K1085" i="4" s="1"/>
  <c r="L1085" i="4" s="1"/>
  <c r="H75" i="4"/>
  <c r="K75" i="4" s="1"/>
  <c r="L75" i="4" s="1"/>
  <c r="H813" i="4"/>
  <c r="K813" i="4" s="1"/>
  <c r="L813" i="4" s="1"/>
  <c r="H169" i="4"/>
  <c r="K169" i="4" s="1"/>
  <c r="L169" i="4" s="1"/>
  <c r="H558" i="4"/>
  <c r="K558" i="4" s="1"/>
  <c r="L558" i="4" s="1"/>
  <c r="H197" i="4"/>
  <c r="K197" i="4" s="1"/>
  <c r="L197" i="4" s="1"/>
  <c r="H532" i="4"/>
  <c r="K532" i="4" s="1"/>
  <c r="L532" i="4" s="1"/>
  <c r="H951" i="4"/>
  <c r="K951" i="4" s="1"/>
  <c r="L951" i="4" s="1"/>
  <c r="H268" i="4"/>
  <c r="K268" i="4" s="1"/>
  <c r="L268" i="4" s="1"/>
  <c r="H660" i="4"/>
  <c r="K660" i="4" s="1"/>
  <c r="L660" i="4" s="1"/>
  <c r="H89" i="4"/>
  <c r="K89" i="4" s="1"/>
  <c r="L89" i="4" s="1"/>
  <c r="H356" i="4"/>
  <c r="K356" i="4" s="1"/>
  <c r="L356" i="4" s="1"/>
  <c r="H196" i="4"/>
  <c r="K196" i="4" s="1"/>
  <c r="L196" i="4" s="1"/>
  <c r="H136" i="4"/>
  <c r="K136" i="4" s="1"/>
  <c r="L136" i="4" s="1"/>
  <c r="H636" i="4"/>
  <c r="K636" i="4" s="1"/>
  <c r="L636" i="4" s="1"/>
  <c r="H952" i="4"/>
  <c r="K952" i="4" s="1"/>
  <c r="L952" i="4" s="1"/>
  <c r="H354" i="4"/>
  <c r="K354" i="4" s="1"/>
  <c r="L354" i="4" s="1"/>
  <c r="H743" i="4"/>
  <c r="K743" i="4" s="1"/>
  <c r="L743" i="4" s="1"/>
  <c r="H237" i="4"/>
  <c r="K237" i="4" s="1"/>
  <c r="L237" i="4" s="1"/>
  <c r="G913" i="4"/>
  <c r="H913" i="4"/>
  <c r="K913" i="4" s="1"/>
  <c r="L913" i="4" s="1"/>
  <c r="G12" i="4"/>
  <c r="H12" i="4"/>
  <c r="K12" i="4" s="1"/>
  <c r="L12" i="4" s="1"/>
  <c r="G940" i="4"/>
  <c r="H940" i="4"/>
  <c r="K940" i="4" s="1"/>
  <c r="L940" i="4" s="1"/>
  <c r="H868" i="4"/>
  <c r="K868" i="4" s="1"/>
  <c r="L868" i="4" s="1"/>
  <c r="G849" i="4"/>
  <c r="H849" i="4"/>
  <c r="K849" i="4" s="1"/>
  <c r="L849" i="4" s="1"/>
  <c r="G843" i="4"/>
  <c r="H843" i="4"/>
  <c r="K843" i="4" s="1"/>
  <c r="L843" i="4" s="1"/>
  <c r="G1030" i="4"/>
  <c r="H1030" i="4"/>
  <c r="K1030" i="4" s="1"/>
  <c r="L1030" i="4" s="1"/>
  <c r="G466" i="4"/>
  <c r="H466" i="4"/>
  <c r="K466" i="4" s="1"/>
  <c r="L466" i="4" s="1"/>
  <c r="G811" i="4"/>
  <c r="H811" i="4"/>
  <c r="K811" i="4" s="1"/>
  <c r="L811" i="4" s="1"/>
  <c r="G60" i="4"/>
  <c r="H60" i="4"/>
  <c r="K60" i="4" s="1"/>
  <c r="L60" i="4" s="1"/>
  <c r="G155" i="4"/>
  <c r="H155" i="4"/>
  <c r="K155" i="4" s="1"/>
  <c r="L155" i="4" s="1"/>
  <c r="H861" i="4"/>
  <c r="K861" i="4" s="1"/>
  <c r="L861" i="4" s="1"/>
  <c r="H652" i="4"/>
  <c r="K652" i="4" s="1"/>
  <c r="L652" i="4" s="1"/>
  <c r="H896" i="4"/>
  <c r="K896" i="4" s="1"/>
  <c r="L896" i="4" s="1"/>
  <c r="H823" i="4"/>
  <c r="K823" i="4" s="1"/>
  <c r="L823" i="4" s="1"/>
  <c r="H207" i="4"/>
  <c r="K207" i="4" s="1"/>
  <c r="L207" i="4" s="1"/>
  <c r="G375" i="4"/>
  <c r="H998" i="4"/>
  <c r="K998" i="4" s="1"/>
  <c r="L998" i="4" s="1"/>
  <c r="H706" i="4"/>
  <c r="K706" i="4" s="1"/>
  <c r="L706" i="4" s="1"/>
  <c r="H422" i="4"/>
  <c r="K422" i="4" s="1"/>
  <c r="L422" i="4" s="1"/>
  <c r="G881" i="4"/>
  <c r="H881" i="4"/>
  <c r="K881" i="4" s="1"/>
  <c r="L881" i="4" s="1"/>
  <c r="G1078" i="4"/>
  <c r="H1078" i="4"/>
  <c r="K1078" i="4" s="1"/>
  <c r="L1078" i="4" s="1"/>
  <c r="G882" i="4"/>
  <c r="H882" i="4"/>
  <c r="K882" i="4" s="1"/>
  <c r="L882" i="4" s="1"/>
  <c r="G512" i="4"/>
  <c r="H512" i="4"/>
  <c r="K512" i="4" s="1"/>
  <c r="L512" i="4" s="1"/>
  <c r="G1080" i="4"/>
  <c r="H1080" i="4"/>
  <c r="K1080" i="4" s="1"/>
  <c r="L1080" i="4" s="1"/>
  <c r="G887" i="4"/>
  <c r="H887" i="4"/>
  <c r="K887" i="4" s="1"/>
  <c r="L887" i="4" s="1"/>
  <c r="G41" i="4"/>
  <c r="H41" i="4"/>
  <c r="K41" i="4" s="1"/>
  <c r="L41" i="4" s="1"/>
  <c r="G124" i="4"/>
  <c r="H124" i="4"/>
  <c r="K124" i="4" s="1"/>
  <c r="L124" i="4" s="1"/>
  <c r="G947" i="4"/>
  <c r="G547" i="4"/>
  <c r="H547" i="4"/>
  <c r="K547" i="4" s="1"/>
  <c r="L547" i="4" s="1"/>
  <c r="G723" i="4"/>
  <c r="H723" i="4"/>
  <c r="K723" i="4" s="1"/>
  <c r="L723" i="4" s="1"/>
  <c r="G745" i="4"/>
  <c r="G364" i="4"/>
  <c r="H364" i="4"/>
  <c r="K364" i="4" s="1"/>
  <c r="L364" i="4" s="1"/>
  <c r="G120" i="4"/>
  <c r="H120" i="4"/>
  <c r="K120" i="4" s="1"/>
  <c r="L120" i="4" s="1"/>
  <c r="G213" i="4"/>
  <c r="H213" i="4"/>
  <c r="K213" i="4" s="1"/>
  <c r="L213" i="4" s="1"/>
  <c r="G937" i="4"/>
  <c r="H937" i="4"/>
  <c r="K937" i="4" s="1"/>
  <c r="L937" i="4" s="1"/>
  <c r="G891" i="4"/>
  <c r="H891" i="4"/>
  <c r="K891" i="4" s="1"/>
  <c r="L891" i="4" s="1"/>
  <c r="G560" i="4"/>
  <c r="H560" i="4"/>
  <c r="K560" i="4" s="1"/>
  <c r="L560" i="4" s="1"/>
  <c r="G43" i="4"/>
  <c r="H52" i="4"/>
  <c r="K52" i="4" s="1"/>
  <c r="L52" i="4" s="1"/>
  <c r="G528" i="4"/>
  <c r="H528" i="4"/>
  <c r="K528" i="4" s="1"/>
  <c r="L528" i="4" s="1"/>
  <c r="H654" i="4"/>
  <c r="K654" i="4" s="1"/>
  <c r="L654" i="4" s="1"/>
  <c r="H295" i="4"/>
  <c r="K295" i="4" s="1"/>
  <c r="L295" i="4" s="1"/>
  <c r="H299" i="4"/>
  <c r="K299" i="4" s="1"/>
  <c r="L299" i="4" s="1"/>
  <c r="H408" i="4"/>
  <c r="K408" i="4" s="1"/>
  <c r="L408" i="4" s="1"/>
  <c r="G118" i="4"/>
  <c r="H118" i="4"/>
  <c r="K118" i="4" s="1"/>
  <c r="L118" i="4" s="1"/>
  <c r="G134" i="4"/>
  <c r="H134" i="4"/>
  <c r="K134" i="4" s="1"/>
  <c r="L134" i="4" s="1"/>
  <c r="G509" i="4"/>
  <c r="H509" i="4"/>
  <c r="K509" i="4" s="1"/>
  <c r="L509" i="4" s="1"/>
  <c r="G114" i="4"/>
  <c r="G744" i="4"/>
  <c r="H744" i="4"/>
  <c r="K744" i="4" s="1"/>
  <c r="L744" i="4" s="1"/>
  <c r="G752" i="4"/>
  <c r="H752" i="4"/>
  <c r="K752" i="4" s="1"/>
  <c r="L752" i="4" s="1"/>
  <c r="G798" i="4"/>
  <c r="H798" i="4"/>
  <c r="K798" i="4" s="1"/>
  <c r="L798" i="4" s="1"/>
  <c r="H352" i="4"/>
  <c r="K352" i="4" s="1"/>
  <c r="L352" i="4" s="1"/>
  <c r="H1007" i="4"/>
  <c r="K1007" i="4" s="1"/>
  <c r="L1007" i="4" s="1"/>
  <c r="H87" i="4"/>
  <c r="K87" i="4" s="1"/>
  <c r="L87" i="4" s="1"/>
  <c r="H1034" i="4"/>
  <c r="K1034" i="4" s="1"/>
  <c r="L1034" i="4" s="1"/>
  <c r="H9" i="4"/>
  <c r="K9" i="4" s="1"/>
  <c r="L9" i="4" s="1"/>
  <c r="G245" i="4"/>
  <c r="H634" i="4"/>
  <c r="K634" i="4" s="1"/>
  <c r="L634" i="4" s="1"/>
  <c r="H886" i="4"/>
  <c r="K886" i="4" s="1"/>
  <c r="L886" i="4" s="1"/>
  <c r="H983" i="4"/>
  <c r="K983" i="4" s="1"/>
  <c r="L983" i="4" s="1"/>
  <c r="H218" i="4"/>
  <c r="K218" i="4" s="1"/>
  <c r="L218" i="4" s="1"/>
  <c r="H74" i="4"/>
  <c r="K74" i="4" s="1"/>
  <c r="L74" i="4" s="1"/>
  <c r="H725" i="4"/>
  <c r="K725" i="4" s="1"/>
  <c r="L725" i="4" s="1"/>
  <c r="H40" i="4"/>
  <c r="K40" i="4" s="1"/>
  <c r="L40" i="4" s="1"/>
  <c r="H249" i="4"/>
  <c r="K249" i="4" s="1"/>
  <c r="L249" i="4" s="1"/>
  <c r="H407" i="4"/>
  <c r="K407" i="4" s="1"/>
  <c r="L407" i="4" s="1"/>
  <c r="G21" i="4"/>
  <c r="G19" i="4"/>
  <c r="G191" i="4"/>
  <c r="G623" i="4"/>
  <c r="H932" i="4"/>
  <c r="G441" i="4"/>
  <c r="G556" i="4"/>
  <c r="G511" i="4"/>
  <c r="G123" i="4"/>
  <c r="G210" i="4"/>
  <c r="G618" i="4"/>
  <c r="G305" i="4"/>
  <c r="G246" i="4"/>
  <c r="H384" i="4"/>
  <c r="K384" i="4" s="1"/>
  <c r="L384" i="4" s="1"/>
  <c r="H452" i="4"/>
  <c r="K452" i="4" s="1"/>
  <c r="L452" i="4" s="1"/>
  <c r="G986" i="4"/>
  <c r="H986" i="4"/>
  <c r="K986" i="4" s="1"/>
  <c r="L986" i="4" s="1"/>
  <c r="G291" i="4"/>
  <c r="H291" i="4"/>
  <c r="K291" i="4" s="1"/>
  <c r="L291" i="4" s="1"/>
  <c r="G826" i="4"/>
  <c r="H826" i="4"/>
  <c r="K826" i="4" s="1"/>
  <c r="L826" i="4" s="1"/>
  <c r="G382" i="4"/>
  <c r="H382" i="4"/>
  <c r="K382" i="4" s="1"/>
  <c r="L382" i="4" s="1"/>
  <c r="G790" i="4"/>
  <c r="H790" i="4"/>
  <c r="K790" i="4" s="1"/>
  <c r="L790" i="4" s="1"/>
  <c r="G1104" i="4"/>
  <c r="H1104" i="4"/>
  <c r="K1104" i="4" s="1"/>
  <c r="L1104" i="4" s="1"/>
  <c r="G1118" i="4"/>
  <c r="G999" i="4"/>
  <c r="H690" i="4"/>
  <c r="K690" i="4" s="1"/>
  <c r="L690" i="4" s="1"/>
  <c r="H42" i="4"/>
  <c r="K42" i="4" s="1"/>
  <c r="L42" i="4" s="1"/>
  <c r="G10" i="4"/>
  <c r="G234" i="4"/>
  <c r="H481" i="4"/>
  <c r="K481" i="4" s="1"/>
  <c r="L481" i="4" s="1"/>
  <c r="H153" i="4"/>
  <c r="K153" i="4" s="1"/>
  <c r="L153" i="4" s="1"/>
  <c r="G153" i="4"/>
  <c r="G676" i="4"/>
  <c r="G185" i="4"/>
  <c r="H185" i="4"/>
  <c r="K185" i="4" s="1"/>
  <c r="L185" i="4" s="1"/>
  <c r="H142" i="4"/>
  <c r="K142" i="4" s="1"/>
  <c r="L142" i="4" s="1"/>
  <c r="G142" i="4"/>
  <c r="G791" i="4"/>
  <c r="H791" i="4"/>
  <c r="K791" i="4" s="1"/>
  <c r="L791" i="4" s="1"/>
  <c r="G212" i="4"/>
  <c r="H212" i="4"/>
  <c r="K212" i="4" s="1"/>
  <c r="L212" i="4" s="1"/>
  <c r="G709" i="4"/>
  <c r="H709" i="4"/>
  <c r="K709" i="4" s="1"/>
  <c r="L709" i="4" s="1"/>
  <c r="G1042" i="4"/>
  <c r="H1042" i="4"/>
  <c r="K1042" i="4" s="1"/>
  <c r="L1042" i="4" s="1"/>
  <c r="G378" i="4"/>
  <c r="H378" i="4"/>
  <c r="K378" i="4" s="1"/>
  <c r="L378" i="4" s="1"/>
  <c r="G980" i="4"/>
  <c r="H980" i="4"/>
  <c r="K980" i="4" s="1"/>
  <c r="L980" i="4" s="1"/>
  <c r="G473" i="4"/>
  <c r="G838" i="4"/>
  <c r="H838" i="4"/>
  <c r="K838" i="4" s="1"/>
  <c r="L838" i="4" s="1"/>
  <c r="H623" i="4"/>
  <c r="K623" i="4" s="1"/>
  <c r="L623" i="4" s="1"/>
  <c r="H246" i="4"/>
  <c r="K246" i="4" s="1"/>
  <c r="L246" i="4" s="1"/>
  <c r="H5" i="4"/>
  <c r="K5" i="4" s="1"/>
  <c r="L5" i="4" s="1"/>
  <c r="H454" i="4"/>
  <c r="K454" i="4" s="1"/>
  <c r="L454" i="4" s="1"/>
  <c r="H945" i="4"/>
  <c r="K945" i="4" s="1"/>
  <c r="L945" i="4" s="1"/>
  <c r="H965" i="4"/>
  <c r="K965" i="4" s="1"/>
  <c r="L965" i="4" s="1"/>
  <c r="H551" i="4"/>
  <c r="K551" i="4" s="1"/>
  <c r="L551" i="4" s="1"/>
  <c r="H1107" i="4"/>
  <c r="K1107" i="4" s="1"/>
  <c r="L1107" i="4" s="1"/>
  <c r="G221" i="4"/>
  <c r="G494" i="4"/>
  <c r="H494" i="4"/>
  <c r="K494" i="4" s="1"/>
  <c r="L494" i="4" s="1"/>
  <c r="G94" i="4"/>
  <c r="H94" i="4"/>
  <c r="K94" i="4" s="1"/>
  <c r="L94" i="4" s="1"/>
  <c r="H960" i="4"/>
  <c r="K960" i="4" s="1"/>
  <c r="L960" i="4" s="1"/>
  <c r="G960" i="4"/>
  <c r="G712" i="4"/>
  <c r="H712" i="4"/>
  <c r="K712" i="4" s="1"/>
  <c r="L712" i="4" s="1"/>
  <c r="G829" i="4"/>
  <c r="H829" i="4"/>
  <c r="K829" i="4" s="1"/>
  <c r="L829" i="4" s="1"/>
  <c r="G370" i="4"/>
  <c r="H370" i="4"/>
  <c r="K370" i="4" s="1"/>
  <c r="L370" i="4" s="1"/>
  <c r="G487" i="4"/>
  <c r="H487" i="4"/>
  <c r="K487" i="4" s="1"/>
  <c r="L487" i="4" s="1"/>
  <c r="G1009" i="4"/>
  <c r="H1009" i="4"/>
  <c r="K1009" i="4" s="1"/>
  <c r="L1009" i="4" s="1"/>
  <c r="G273" i="4"/>
  <c r="H273" i="4"/>
  <c r="K273" i="4" s="1"/>
  <c r="L273" i="4" s="1"/>
  <c r="G727" i="4"/>
  <c r="H727" i="4"/>
  <c r="K727" i="4" s="1"/>
  <c r="L727" i="4" s="1"/>
  <c r="H633" i="4"/>
  <c r="K633" i="4" s="1"/>
  <c r="L633" i="4" s="1"/>
  <c r="G633" i="4"/>
  <c r="G522" i="4"/>
  <c r="H522" i="4"/>
  <c r="K522" i="4" s="1"/>
  <c r="L522" i="4" s="1"/>
  <c r="G594" i="4"/>
  <c r="H594" i="4"/>
  <c r="K594" i="4" s="1"/>
  <c r="L594" i="4" s="1"/>
  <c r="G540" i="4"/>
  <c r="H540" i="4"/>
  <c r="K540" i="4" s="1"/>
  <c r="L540" i="4" s="1"/>
  <c r="G948" i="4"/>
  <c r="H948" i="4"/>
  <c r="K948" i="4" s="1"/>
  <c r="L948" i="4" s="1"/>
  <c r="H721" i="4"/>
  <c r="K721" i="4" s="1"/>
  <c r="L721" i="4" s="1"/>
  <c r="H659" i="4"/>
  <c r="K659" i="4" s="1"/>
  <c r="L659" i="4" s="1"/>
  <c r="G127" i="4"/>
  <c r="G758" i="4"/>
  <c r="H758" i="4"/>
  <c r="K758" i="4" s="1"/>
  <c r="L758" i="4" s="1"/>
  <c r="G294" i="4"/>
  <c r="H294" i="4"/>
  <c r="K294" i="4" s="1"/>
  <c r="L294" i="4" s="1"/>
  <c r="G371" i="4"/>
  <c r="H371" i="4"/>
  <c r="K371" i="4" s="1"/>
  <c r="L371" i="4" s="1"/>
  <c r="G936" i="4"/>
  <c r="H936" i="4"/>
  <c r="K936" i="4" s="1"/>
  <c r="L936" i="4" s="1"/>
  <c r="G98" i="4"/>
  <c r="H98" i="4"/>
  <c r="K98" i="4" s="1"/>
  <c r="L98" i="4" s="1"/>
  <c r="G1117" i="4"/>
  <c r="H1117" i="4"/>
  <c r="K1117" i="4" s="1"/>
  <c r="L1117" i="4" s="1"/>
  <c r="G615" i="4"/>
  <c r="H615" i="4"/>
  <c r="K615" i="4" s="1"/>
  <c r="L615" i="4" s="1"/>
  <c r="G343" i="4"/>
  <c r="H343" i="4"/>
  <c r="K343" i="4" s="1"/>
  <c r="L343" i="4" s="1"/>
  <c r="G345" i="4"/>
  <c r="H345" i="4"/>
  <c r="K345" i="4" s="1"/>
  <c r="L345" i="4" s="1"/>
  <c r="H184" i="4"/>
  <c r="K184" i="4" s="1"/>
  <c r="L184" i="4" s="1"/>
  <c r="H993" i="4"/>
  <c r="K993" i="4" s="1"/>
  <c r="L993" i="4" s="1"/>
  <c r="H225" i="4"/>
  <c r="K225" i="4" s="1"/>
  <c r="L225" i="4" s="1"/>
  <c r="G17" i="4"/>
  <c r="G324" i="4"/>
  <c r="H123" i="4"/>
  <c r="K123" i="4" s="1"/>
  <c r="L123" i="4" s="1"/>
  <c r="H191" i="4"/>
  <c r="K191" i="4" s="1"/>
  <c r="L191" i="4" s="1"/>
  <c r="G1000" i="4"/>
  <c r="G20" i="4"/>
  <c r="G317" i="4"/>
  <c r="G113" i="4"/>
  <c r="G95" i="4"/>
  <c r="G383" i="4"/>
  <c r="G96" i="4"/>
  <c r="H425" i="4"/>
  <c r="K425" i="4" s="1"/>
  <c r="L425" i="4" s="1"/>
  <c r="H416" i="4"/>
  <c r="K416" i="4" s="1"/>
  <c r="L416" i="4" s="1"/>
  <c r="H1121" i="4"/>
  <c r="K1121" i="4" s="1"/>
  <c r="L1121" i="4" s="1"/>
  <c r="H985" i="4"/>
  <c r="K985" i="4" s="1"/>
  <c r="L985" i="4" s="1"/>
  <c r="G224" i="4"/>
  <c r="G335" i="4"/>
  <c r="H915" i="4"/>
  <c r="K915" i="4" s="1"/>
  <c r="L915" i="4" s="1"/>
  <c r="H700" i="4"/>
  <c r="K700" i="4" s="1"/>
  <c r="L700" i="4" s="1"/>
  <c r="H827" i="4"/>
  <c r="K827" i="4" s="1"/>
  <c r="L827" i="4" s="1"/>
  <c r="G242" i="4"/>
  <c r="G206" i="4"/>
  <c r="G64" i="4"/>
  <c r="K911" i="4"/>
  <c r="L911" i="4" s="1"/>
  <c r="H739" i="4"/>
  <c r="K739" i="4" s="1"/>
  <c r="L739" i="4" s="1"/>
  <c r="H866" i="4"/>
  <c r="K866" i="4" s="1"/>
  <c r="L866" i="4" s="1"/>
  <c r="H15" i="4"/>
  <c r="K15" i="4" s="1"/>
  <c r="L15" i="4" s="1"/>
  <c r="H1033" i="4"/>
  <c r="K1033" i="4" s="1"/>
  <c r="L1033" i="4" s="1"/>
  <c r="H1038" i="4"/>
  <c r="K1038" i="4" s="1"/>
  <c r="L1038" i="4" s="1"/>
  <c r="G456" i="4"/>
  <c r="H478" i="4"/>
  <c r="K478" i="4" s="1"/>
  <c r="L478" i="4" s="1"/>
  <c r="G31" i="4"/>
  <c r="G76" i="4"/>
  <c r="G424" i="4"/>
  <c r="H914" i="4"/>
  <c r="K914" i="4" s="1"/>
  <c r="L914" i="4" s="1"/>
  <c r="H150" i="4"/>
  <c r="K150" i="4" s="1"/>
  <c r="L150" i="4" s="1"/>
  <c r="G93" i="4"/>
  <c r="G33" i="4"/>
  <c r="G678" i="4"/>
  <c r="K1067" i="4"/>
  <c r="L1067" i="4" s="1"/>
  <c r="G344" i="4"/>
  <c r="G62" i="4"/>
  <c r="K711" i="4"/>
  <c r="L711" i="4" s="1"/>
  <c r="G125" i="4"/>
  <c r="G45" i="4"/>
  <c r="G135" i="4"/>
  <c r="K747" i="4"/>
  <c r="L747" i="4" s="1"/>
  <c r="G696" i="4"/>
  <c r="G346" i="4"/>
  <c r="H1069" i="4"/>
  <c r="K1069" i="4" s="1"/>
  <c r="L1069" i="4" s="1"/>
  <c r="H113" i="4"/>
  <c r="K113" i="4" s="1"/>
  <c r="L113" i="4" s="1"/>
  <c r="H809" i="4"/>
  <c r="K809" i="4" s="1"/>
  <c r="L809" i="4" s="1"/>
  <c r="G929" i="4"/>
  <c r="G46" i="4"/>
  <c r="G99" i="4"/>
  <c r="G279" i="4"/>
  <c r="G413" i="4"/>
  <c r="H892" i="4"/>
  <c r="K892" i="4" s="1"/>
  <c r="L892" i="4" s="1"/>
  <c r="H1106" i="4"/>
  <c r="K1106" i="4" s="1"/>
  <c r="L1106" i="4" s="1"/>
  <c r="H278" i="4"/>
  <c r="K278" i="4" s="1"/>
  <c r="L278" i="4" s="1"/>
  <c r="G597" i="4"/>
  <c r="H1118" i="4"/>
  <c r="K1118" i="4" s="1"/>
  <c r="L1118" i="4" s="1"/>
  <c r="H1076" i="4"/>
  <c r="K1076" i="4" s="1"/>
  <c r="L1076" i="4" s="1"/>
  <c r="H463" i="4"/>
  <c r="K463" i="4" s="1"/>
  <c r="L463" i="4" s="1"/>
  <c r="H337" i="4"/>
  <c r="K337" i="4" s="1"/>
  <c r="L337" i="4" s="1"/>
  <c r="H214" i="4"/>
  <c r="K214" i="4" s="1"/>
  <c r="L214" i="4" s="1"/>
  <c r="H757" i="4"/>
  <c r="K757" i="4" s="1"/>
  <c r="L757" i="4" s="1"/>
  <c r="H821" i="4"/>
  <c r="K821" i="4" s="1"/>
  <c r="L821" i="4" s="1"/>
  <c r="H1103" i="4"/>
  <c r="K1103" i="4" s="1"/>
  <c r="L1103" i="4" s="1"/>
  <c r="H144" i="4"/>
  <c r="K144" i="4" s="1"/>
  <c r="L144" i="4" s="1"/>
  <c r="K916" i="4"/>
  <c r="L916" i="4" s="1"/>
  <c r="H662" i="4"/>
  <c r="K662" i="4" s="1"/>
  <c r="L662" i="4" s="1"/>
  <c r="H47" i="4"/>
  <c r="K47" i="4" s="1"/>
  <c r="L47" i="4" s="1"/>
  <c r="H116" i="4"/>
  <c r="K116" i="4" s="1"/>
  <c r="L116" i="4" s="1"/>
  <c r="G661" i="4"/>
  <c r="H290" i="4"/>
  <c r="K290" i="4" s="1"/>
  <c r="L290" i="4" s="1"/>
  <c r="K490" i="4"/>
  <c r="L490" i="4" s="1"/>
  <c r="H448" i="4"/>
  <c r="K448" i="4" s="1"/>
  <c r="L448" i="4" s="1"/>
  <c r="H510" i="4"/>
  <c r="K510" i="4" s="1"/>
  <c r="L510" i="4" s="1"/>
  <c r="H18" i="4"/>
  <c r="K18" i="4" s="1"/>
  <c r="L18" i="4" s="1"/>
  <c r="H934" i="4"/>
  <c r="K934" i="4" s="1"/>
  <c r="L934" i="4" s="1"/>
  <c r="H379" i="4"/>
  <c r="K379" i="4" s="1"/>
  <c r="L379" i="4" s="1"/>
  <c r="H1072" i="4"/>
  <c r="K1072" i="4" s="1"/>
  <c r="L1072" i="4" s="1"/>
  <c r="H344" i="4"/>
  <c r="K344" i="4" s="1"/>
  <c r="L344" i="4" s="1"/>
  <c r="H805" i="4"/>
  <c r="K805" i="4" s="1"/>
  <c r="L805" i="4" s="1"/>
  <c r="G814" i="4"/>
  <c r="H61" i="4"/>
  <c r="K61" i="4" s="1"/>
  <c r="L61" i="4" s="1"/>
  <c r="H497" i="4"/>
  <c r="K497" i="4" s="1"/>
  <c r="L497" i="4" s="1"/>
  <c r="G501" i="4"/>
  <c r="H413" i="4"/>
  <c r="K413" i="4" s="1"/>
  <c r="L413" i="4" s="1"/>
  <c r="G203" i="4"/>
  <c r="H635" i="4"/>
  <c r="K635" i="4" s="1"/>
  <c r="L635" i="4" s="1"/>
  <c r="G412" i="4"/>
  <c r="G35" i="4"/>
  <c r="H1087" i="4"/>
  <c r="K1087" i="4" s="1"/>
  <c r="L1087" i="4" s="1"/>
  <c r="H513" i="4"/>
  <c r="K513" i="4" s="1"/>
  <c r="L513" i="4" s="1"/>
  <c r="H717" i="4"/>
  <c r="K717" i="4" s="1"/>
  <c r="L717" i="4" s="1"/>
  <c r="K114" i="4"/>
  <c r="L114" i="4" s="1"/>
  <c r="H1043" i="4"/>
  <c r="K1043" i="4" s="1"/>
  <c r="L1043" i="4" s="1"/>
  <c r="H423" i="4"/>
  <c r="K423" i="4" s="1"/>
  <c r="L423" i="4" s="1"/>
  <c r="G208" i="4"/>
  <c r="G44" i="4"/>
  <c r="G145" i="4"/>
  <c r="G385" i="4"/>
  <c r="G101" i="4"/>
  <c r="K669" i="4"/>
  <c r="L669" i="4" s="1"/>
  <c r="H511" i="4"/>
  <c r="K511" i="4" s="1"/>
  <c r="L511" i="4" s="1"/>
  <c r="K14" i="4"/>
  <c r="L14" i="4" s="1"/>
  <c r="H989" i="4"/>
  <c r="K989" i="4" s="1"/>
  <c r="L989" i="4" s="1"/>
  <c r="K675" i="4"/>
  <c r="L675" i="4" s="1"/>
  <c r="H168" i="4"/>
  <c r="K168" i="4" s="1"/>
  <c r="L168" i="4" s="1"/>
  <c r="K583" i="4"/>
  <c r="L583" i="4" s="1"/>
  <c r="H707" i="4"/>
  <c r="K707" i="4" s="1"/>
  <c r="L707" i="4" s="1"/>
  <c r="H7" i="4"/>
  <c r="K7" i="4" s="1"/>
  <c r="L7" i="4" s="1"/>
  <c r="H13" i="4"/>
  <c r="K13" i="4" s="1"/>
  <c r="L13" i="4" s="1"/>
  <c r="H374" i="4"/>
  <c r="K374" i="4" s="1"/>
  <c r="L374" i="4" s="1"/>
  <c r="G453" i="4"/>
  <c r="H414" i="4"/>
  <c r="K414" i="4" s="1"/>
  <c r="L414" i="4" s="1"/>
  <c r="H933" i="4"/>
  <c r="K933" i="4" s="1"/>
  <c r="L933" i="4" s="1"/>
  <c r="H1006" i="4"/>
  <c r="K1006" i="4" s="1"/>
  <c r="L1006" i="4" s="1"/>
  <c r="H637" i="4"/>
  <c r="K637" i="4" s="1"/>
  <c r="L637" i="4" s="1"/>
  <c r="H289" i="4"/>
  <c r="K289" i="4" s="1"/>
  <c r="L289" i="4" s="1"/>
  <c r="H929" i="4"/>
  <c r="K929" i="4" s="1"/>
  <c r="L929" i="4" s="1"/>
  <c r="K962" i="4"/>
  <c r="L962" i="4" s="1"/>
  <c r="G90" i="4"/>
  <c r="G444" i="4"/>
  <c r="G377" i="4"/>
  <c r="G742" i="4"/>
  <c r="G269" i="4"/>
  <c r="G78" i="4"/>
  <c r="G22" i="4"/>
  <c r="G37" i="4"/>
  <c r="K795" i="4"/>
  <c r="L795" i="4" s="1"/>
  <c r="H1005" i="4"/>
  <c r="K1005" i="4" s="1"/>
  <c r="L1005" i="4" s="1"/>
  <c r="K1105" i="4"/>
  <c r="L1105" i="4" s="1"/>
  <c r="H211" i="4"/>
  <c r="K211" i="4" s="1"/>
  <c r="L211" i="4" s="1"/>
  <c r="G496" i="4"/>
  <c r="H1031" i="4"/>
  <c r="K1031" i="4" s="1"/>
  <c r="L1031" i="4" s="1"/>
  <c r="H302" i="4"/>
  <c r="K302" i="4" s="1"/>
  <c r="L302" i="4" s="1"/>
  <c r="H296" i="4"/>
  <c r="K296" i="4" s="1"/>
  <c r="L296" i="4" s="1"/>
  <c r="H68" i="4"/>
  <c r="K68" i="4" s="1"/>
  <c r="L68" i="4" s="1"/>
  <c r="H178" i="4"/>
  <c r="K178" i="4" s="1"/>
  <c r="L178" i="4" s="1"/>
  <c r="H206" i="4"/>
  <c r="K206" i="4" s="1"/>
  <c r="L206" i="4" s="1"/>
  <c r="G303" i="4"/>
  <c r="G741" i="4"/>
  <c r="G58" i="4"/>
  <c r="G194" i="4"/>
  <c r="G447" i="4"/>
  <c r="K935" i="4"/>
  <c r="L935" i="4" s="1"/>
  <c r="K1092" i="4"/>
  <c r="L1092" i="4" s="1"/>
  <c r="G248" i="4"/>
  <c r="K224" i="4"/>
  <c r="L224" i="4" s="1"/>
  <c r="H846" i="4"/>
  <c r="K846" i="4" s="1"/>
  <c r="L846" i="4" s="1"/>
  <c r="H531" i="4"/>
  <c r="K531" i="4" s="1"/>
  <c r="L531" i="4" s="1"/>
  <c r="G632" i="4"/>
  <c r="H338" i="4"/>
  <c r="K338" i="4" s="1"/>
  <c r="L338" i="4" s="1"/>
  <c r="H202" i="4"/>
  <c r="K202" i="4" s="1"/>
  <c r="L202" i="4" s="1"/>
  <c r="H474" i="4"/>
  <c r="K474" i="4" s="1"/>
  <c r="L474" i="4" s="1"/>
  <c r="H939" i="4"/>
  <c r="K939" i="4" s="1"/>
  <c r="L939" i="4" s="1"/>
  <c r="K753" i="4"/>
  <c r="L753" i="4" s="1"/>
  <c r="K245" i="4"/>
  <c r="L245" i="4" s="1"/>
  <c r="K702" i="4"/>
  <c r="L702" i="4" s="1"/>
  <c r="K862" i="4"/>
  <c r="L862" i="4" s="1"/>
  <c r="K229" i="4"/>
  <c r="L229" i="4" s="1"/>
  <c r="K1014" i="4"/>
  <c r="L1014" i="4" s="1"/>
  <c r="K932" i="4"/>
  <c r="L932" i="4" s="1"/>
  <c r="K999" i="4"/>
  <c r="L999" i="4" s="1"/>
  <c r="K131" i="4"/>
  <c r="L131" i="4" s="1"/>
  <c r="K166" i="4"/>
  <c r="L166" i="4" s="1"/>
  <c r="K779" i="4"/>
  <c r="L779" i="4" s="1"/>
  <c r="K686" i="4"/>
  <c r="L686" i="4" s="1"/>
  <c r="H535" i="4"/>
  <c r="K535" i="4" s="1"/>
  <c r="L535" i="4" s="1"/>
  <c r="H33" i="4"/>
  <c r="K33" i="4" s="1"/>
  <c r="L33" i="4" s="1"/>
  <c r="K102" i="4"/>
  <c r="L102" i="4" s="1"/>
  <c r="K682" i="4"/>
  <c r="L682" i="4" s="1"/>
  <c r="K359" i="4"/>
  <c r="L359" i="4" s="1"/>
  <c r="K942" i="4"/>
  <c r="L942" i="4" s="1"/>
  <c r="G244" i="4"/>
  <c r="K1084" i="4"/>
  <c r="L1084" i="4" s="1"/>
  <c r="K1024" i="4"/>
  <c r="L1024" i="4" s="1"/>
  <c r="K238" i="4"/>
  <c r="L238" i="4" s="1"/>
  <c r="K1017" i="4"/>
  <c r="L1017" i="4" s="1"/>
  <c r="K1112" i="4"/>
  <c r="L1112" i="4" s="1"/>
  <c r="K555" i="4"/>
  <c r="L555" i="4" s="1"/>
  <c r="K217" i="4"/>
  <c r="L217" i="4" s="1"/>
  <c r="K731" i="4"/>
  <c r="L731" i="4" s="1"/>
  <c r="K499" i="4"/>
  <c r="L499" i="4" s="1"/>
  <c r="H88" i="4"/>
  <c r="K88" i="4" s="1"/>
  <c r="L88" i="4" s="1"/>
  <c r="K978" i="4"/>
  <c r="L978" i="4" s="1"/>
  <c r="K90" i="4"/>
  <c r="L90" i="4" s="1"/>
  <c r="G738" i="4"/>
  <c r="G77" i="4"/>
  <c r="K493" i="4"/>
  <c r="L493" i="4" s="1"/>
  <c r="K921" i="4"/>
  <c r="L921" i="4" s="1"/>
  <c r="K192" i="4"/>
  <c r="L192" i="4" s="1"/>
  <c r="K223" i="4"/>
  <c r="L223" i="4" s="1"/>
  <c r="K177" i="4"/>
  <c r="L177" i="4" s="1"/>
  <c r="K647" i="4"/>
  <c r="L647" i="4" s="1"/>
  <c r="K944" i="4"/>
  <c r="L944" i="4" s="1"/>
  <c r="H736" i="4"/>
  <c r="K736" i="4" s="1"/>
  <c r="L736" i="4" s="1"/>
  <c r="H272" i="4"/>
  <c r="K272" i="4" s="1"/>
  <c r="L272" i="4" s="1"/>
  <c r="K1013" i="4"/>
  <c r="L1013" i="4" s="1"/>
  <c r="K946" i="4"/>
  <c r="L946" i="4" s="1"/>
  <c r="K402" i="4"/>
  <c r="L402" i="4" s="1"/>
  <c r="K963" i="4"/>
  <c r="L963" i="4" s="1"/>
  <c r="K203" i="4"/>
  <c r="L203" i="4" s="1"/>
  <c r="K86" i="4"/>
  <c r="L86" i="4" s="1"/>
  <c r="K785" i="4"/>
  <c r="L785" i="4" s="1"/>
  <c r="K6" i="4"/>
  <c r="L6" i="4" s="1"/>
  <c r="H219" i="4"/>
  <c r="K219" i="4" s="1"/>
  <c r="L219" i="4" s="1"/>
  <c r="H360" i="4"/>
  <c r="K360" i="4" s="1"/>
  <c r="L360" i="4" s="1"/>
  <c r="H909" i="4"/>
  <c r="K909" i="4" s="1"/>
  <c r="L909" i="4" s="1"/>
  <c r="K165" i="4"/>
  <c r="L165" i="4" s="1"/>
  <c r="K966" i="4"/>
  <c r="L966" i="4" s="1"/>
  <c r="K666" i="4"/>
  <c r="L666" i="4" s="1"/>
  <c r="K575" i="4"/>
  <c r="L575" i="4" s="1"/>
  <c r="K1096" i="4"/>
  <c r="L1096" i="4" s="1"/>
  <c r="K151" i="4"/>
  <c r="L151" i="4" s="1"/>
  <c r="K967" i="4"/>
  <c r="L967" i="4" s="1"/>
  <c r="K624" i="4"/>
  <c r="L624" i="4" s="1"/>
  <c r="K1098" i="4"/>
  <c r="L1098" i="4" s="1"/>
  <c r="K716" i="4"/>
  <c r="L716" i="4" s="1"/>
  <c r="K657" i="4"/>
  <c r="L657" i="4" s="1"/>
  <c r="K950" i="4"/>
  <c r="L950" i="4" s="1"/>
  <c r="K831" i="4"/>
  <c r="L831" i="4" s="1"/>
  <c r="K373" i="4"/>
  <c r="L373" i="4" s="1"/>
  <c r="K199" i="4"/>
  <c r="L199" i="4" s="1"/>
  <c r="K496" i="4"/>
  <c r="L496" i="4" s="1"/>
  <c r="K562" i="4"/>
  <c r="L562" i="4" s="1"/>
  <c r="K1060" i="4"/>
  <c r="L1060" i="4" s="1"/>
  <c r="K65" i="4"/>
  <c r="L65" i="4" s="1"/>
  <c r="K145" i="4"/>
  <c r="L145" i="4" s="1"/>
  <c r="K392" i="4"/>
  <c r="L392" i="4" s="1"/>
  <c r="K1011" i="4"/>
  <c r="L1011" i="4" s="1"/>
  <c r="K50" i="4"/>
  <c r="L50" i="4" s="1"/>
  <c r="K26" i="4"/>
  <c r="L26" i="4" s="1"/>
  <c r="H182" i="4"/>
  <c r="K182" i="4" s="1"/>
  <c r="L182" i="4" s="1"/>
  <c r="H842" i="4"/>
  <c r="K842" i="4" s="1"/>
  <c r="L842" i="4" s="1"/>
  <c r="K918" i="4"/>
  <c r="L918" i="4" s="1"/>
  <c r="K544" i="4"/>
  <c r="L544" i="4" s="1"/>
  <c r="K110" i="4"/>
  <c r="L110" i="4" s="1"/>
  <c r="H32" i="4"/>
  <c r="K32" i="4" s="1"/>
  <c r="L32" i="4" s="1"/>
  <c r="K236" i="4"/>
  <c r="L236" i="4" s="1"/>
  <c r="K889" i="4"/>
  <c r="L889" i="4" s="1"/>
  <c r="K704" i="4"/>
  <c r="L704" i="4" s="1"/>
  <c r="K1115" i="4"/>
  <c r="L1115" i="4" s="1"/>
  <c r="K888" i="4"/>
  <c r="L888" i="4" s="1"/>
  <c r="K293" i="4"/>
  <c r="L293" i="4" s="1"/>
  <c r="K51" i="4"/>
  <c r="L51" i="4" s="1"/>
  <c r="K106" i="4"/>
  <c r="L106" i="4" s="1"/>
  <c r="K95" i="4"/>
  <c r="L95" i="4" s="1"/>
  <c r="K930" i="4"/>
  <c r="L930" i="4" s="1"/>
  <c r="K996" i="4"/>
  <c r="L996" i="4" s="1"/>
  <c r="K679" i="4"/>
  <c r="L679" i="4" s="1"/>
  <c r="K1010" i="4"/>
  <c r="L1010" i="4" s="1"/>
  <c r="K67" i="4"/>
  <c r="L67" i="4" s="1"/>
  <c r="K133" i="4"/>
  <c r="L133" i="4" s="1"/>
  <c r="K234" i="4"/>
  <c r="L234" i="4" s="1"/>
  <c r="K570" i="4"/>
  <c r="L570" i="4" s="1"/>
  <c r="K519" i="4"/>
  <c r="L519" i="4" s="1"/>
  <c r="K137" i="4"/>
  <c r="L137" i="4" s="1"/>
  <c r="K601" i="4"/>
  <c r="L601" i="4" s="1"/>
  <c r="K85" i="4"/>
  <c r="L85" i="4" s="1"/>
  <c r="K16" i="4"/>
  <c r="L16" i="4" s="1"/>
  <c r="K22" i="4"/>
  <c r="L22" i="4" s="1"/>
  <c r="K651" i="4"/>
  <c r="L651" i="4" s="1"/>
  <c r="K582" i="4"/>
  <c r="L582" i="4" s="1"/>
  <c r="K572" i="4"/>
  <c r="L572" i="4" s="1"/>
  <c r="K29" i="4"/>
  <c r="L29" i="4" s="1"/>
  <c r="K8" i="4"/>
  <c r="L8" i="4" s="1"/>
  <c r="K1082" i="4"/>
  <c r="L1082" i="4" s="1"/>
  <c r="K778" i="4"/>
  <c r="L778" i="4" s="1"/>
  <c r="K1088" i="4"/>
  <c r="L1088" i="4" s="1"/>
  <c r="K380" i="4"/>
  <c r="L380" i="4" s="1"/>
  <c r="K412" i="4"/>
  <c r="L412" i="4" s="1"/>
  <c r="K789" i="4"/>
  <c r="L789" i="4" s="1"/>
  <c r="K187" i="4"/>
  <c r="L187" i="4" s="1"/>
  <c r="K627" i="4"/>
  <c r="L627" i="4" s="1"/>
  <c r="K439" i="4"/>
  <c r="L439" i="4" s="1"/>
  <c r="K681" i="4"/>
  <c r="L681" i="4" s="1"/>
  <c r="K1016" i="4"/>
  <c r="L1016" i="4" s="1"/>
  <c r="K1044" i="4"/>
  <c r="L1044" i="4" s="1"/>
  <c r="K304" i="4"/>
  <c r="L304" i="4" s="1"/>
  <c r="K906" i="4"/>
  <c r="L906" i="4" s="1"/>
  <c r="K480" i="4"/>
  <c r="L480" i="4" s="1"/>
  <c r="K443" i="4"/>
  <c r="L443" i="4" s="1"/>
  <c r="K984" i="4"/>
  <c r="L984" i="4" s="1"/>
  <c r="K638" i="4"/>
  <c r="L638" i="4" s="1"/>
  <c r="K271" i="4"/>
  <c r="L271" i="4" s="1"/>
  <c r="K255" i="4"/>
  <c r="L255" i="4" s="1"/>
  <c r="K471" i="4"/>
  <c r="L471" i="4" s="1"/>
  <c r="K1100" i="4"/>
  <c r="L1100" i="4" s="1"/>
  <c r="K434" i="4"/>
  <c r="L434" i="4" s="1"/>
  <c r="K410" i="4"/>
  <c r="L410" i="4" s="1"/>
  <c r="K274" i="4"/>
  <c r="L274" i="4" s="1"/>
  <c r="K756" i="4"/>
  <c r="L756" i="4" s="1"/>
  <c r="K981" i="4"/>
  <c r="L981" i="4" s="1"/>
  <c r="K586" i="4"/>
  <c r="L586" i="4" s="1"/>
  <c r="K672" i="4"/>
  <c r="L672" i="4" s="1"/>
  <c r="K38" i="4"/>
  <c r="L38" i="4" s="1"/>
  <c r="K399" i="4"/>
  <c r="L399" i="4" s="1"/>
  <c r="K770" i="4"/>
  <c r="L770" i="4" s="1"/>
  <c r="K275" i="4"/>
  <c r="L275" i="4" s="1"/>
  <c r="K194" i="4"/>
  <c r="L194" i="4" s="1"/>
  <c r="K253" i="4"/>
  <c r="L253" i="4" s="1"/>
  <c r="K614" i="4"/>
  <c r="L614" i="4" s="1"/>
  <c r="K904" i="4"/>
  <c r="L904" i="4" s="1"/>
  <c r="K449" i="4"/>
  <c r="L449" i="4" s="1"/>
  <c r="K500" i="4"/>
  <c r="L500" i="4" s="1"/>
  <c r="K45" i="4"/>
  <c r="L45" i="4" s="1"/>
  <c r="K267" i="4"/>
  <c r="L267" i="4" s="1"/>
  <c r="K771" i="4"/>
  <c r="L771" i="4" s="1"/>
  <c r="K643" i="4"/>
  <c r="L643" i="4" s="1"/>
  <c r="K375" i="4"/>
  <c r="L375" i="4" s="1"/>
  <c r="K53" i="4"/>
  <c r="L53" i="4" s="1"/>
  <c r="K1051" i="4"/>
  <c r="L1051" i="4" s="1"/>
  <c r="K979" i="4"/>
  <c r="L979" i="4" s="1"/>
  <c r="K376" i="4"/>
  <c r="L376" i="4" s="1"/>
  <c r="K796" i="4"/>
  <c r="L796" i="4" s="1"/>
  <c r="K977" i="4"/>
  <c r="L977" i="4" s="1"/>
  <c r="K755" i="4"/>
  <c r="L755" i="4" s="1"/>
  <c r="K112" i="4"/>
  <c r="L112" i="4" s="1"/>
  <c r="K491" i="4"/>
  <c r="L491" i="4" s="1"/>
  <c r="K810" i="4"/>
  <c r="L810" i="4" s="1"/>
  <c r="K750" i="4"/>
  <c r="L750" i="4" s="1"/>
  <c r="K917" i="4"/>
  <c r="L917" i="4" s="1"/>
  <c r="K286" i="4"/>
  <c r="L286" i="4" s="1"/>
  <c r="K768" i="4"/>
  <c r="L768" i="4" s="1"/>
  <c r="K508" i="4"/>
  <c r="L508" i="4" s="1"/>
  <c r="K734" i="4"/>
  <c r="L734" i="4" s="1"/>
  <c r="K80" i="4"/>
  <c r="L80" i="4" s="1"/>
  <c r="K309" i="4"/>
  <c r="L309" i="4" s="1"/>
  <c r="K1054" i="4"/>
  <c r="L1054" i="4" s="1"/>
  <c r="K1027" i="4"/>
  <c r="L1027" i="4" s="1"/>
  <c r="K894" i="4"/>
  <c r="L894" i="4" s="1"/>
  <c r="K968" i="4"/>
  <c r="L968" i="4" s="1"/>
  <c r="K259" i="4"/>
  <c r="L259" i="4" s="1"/>
  <c r="K348" i="4"/>
  <c r="L348" i="4" s="1"/>
  <c r="K25" i="4"/>
  <c r="L25" i="4" s="1"/>
  <c r="K477" i="4"/>
  <c r="L477" i="4" s="1"/>
  <c r="K242" i="4"/>
  <c r="L242" i="4" s="1"/>
  <c r="K765" i="4"/>
  <c r="L765" i="4" s="1"/>
  <c r="K922" i="4"/>
  <c r="L922" i="4" s="1"/>
  <c r="K812" i="4"/>
  <c r="L812" i="4" s="1"/>
  <c r="K834" i="4"/>
  <c r="L834" i="4" s="1"/>
  <c r="K673" i="4"/>
  <c r="L673" i="4" s="1"/>
  <c r="K440" i="4"/>
  <c r="L440" i="4" s="1"/>
  <c r="K160" i="4"/>
  <c r="L160" i="4" s="1"/>
  <c r="K336" i="4"/>
  <c r="L336" i="4" s="1"/>
  <c r="K990" i="4"/>
  <c r="L990" i="4" s="1"/>
  <c r="K542" i="4"/>
  <c r="L542" i="4" s="1"/>
  <c r="K628" i="4"/>
  <c r="L628" i="4" s="1"/>
  <c r="K506" i="4"/>
  <c r="L506" i="4" s="1"/>
  <c r="K319" i="4"/>
  <c r="L319" i="4" s="1"/>
  <c r="K664" i="4"/>
  <c r="L664" i="4" s="1"/>
  <c r="K498" i="4"/>
  <c r="L498" i="4" s="1"/>
  <c r="K828" i="4"/>
  <c r="L828" i="4" s="1"/>
  <c r="K73" i="4"/>
  <c r="L73" i="4" s="1"/>
  <c r="K596" i="4"/>
  <c r="L596" i="4" s="1"/>
  <c r="K129" i="4"/>
  <c r="L129" i="4" s="1"/>
  <c r="K417" i="4"/>
  <c r="L417" i="4" s="1"/>
  <c r="K57" i="4"/>
  <c r="L57" i="4" s="1"/>
  <c r="K777" i="4"/>
  <c r="L777" i="4" s="1"/>
  <c r="K162" i="4"/>
  <c r="L162" i="4" s="1"/>
  <c r="K825" i="4"/>
  <c r="L825" i="4" s="1"/>
  <c r="K907" i="4"/>
  <c r="L907" i="4" s="1"/>
  <c r="K469" i="4"/>
  <c r="L469" i="4" s="1"/>
  <c r="K836" i="4"/>
  <c r="L836" i="4" s="1"/>
  <c r="K565" i="4"/>
  <c r="L565" i="4" s="1"/>
  <c r="K848" i="4"/>
  <c r="L848" i="4" s="1"/>
  <c r="K1045" i="4"/>
  <c r="L1045" i="4" s="1"/>
  <c r="K349" i="4"/>
  <c r="L349" i="4" s="1"/>
  <c r="K415" i="4"/>
  <c r="L415" i="4" s="1"/>
  <c r="K644" i="4"/>
  <c r="L644" i="4" s="1"/>
  <c r="K135" i="4"/>
  <c r="L135" i="4" s="1"/>
  <c r="K665" i="4"/>
  <c r="L665" i="4" s="1"/>
  <c r="K1073" i="4"/>
  <c r="L1073" i="4" s="1"/>
  <c r="K386" i="4"/>
  <c r="L386" i="4" s="1"/>
  <c r="K554" i="4"/>
  <c r="L554" i="4" s="1"/>
  <c r="K780" i="4"/>
  <c r="L780" i="4" s="1"/>
  <c r="K368" i="4"/>
  <c r="L368" i="4" s="1"/>
  <c r="K864" i="4"/>
  <c r="L864" i="4" s="1"/>
  <c r="K48" i="4"/>
  <c r="L48" i="4" s="1"/>
  <c r="K730" i="4"/>
  <c r="L730" i="4" s="1"/>
  <c r="K874" i="4"/>
  <c r="L874" i="4" s="1"/>
  <c r="K923" i="4"/>
  <c r="L923" i="4" s="1"/>
  <c r="K226" i="4"/>
  <c r="L226" i="4" s="1"/>
  <c r="K383" i="4"/>
  <c r="L383" i="4" s="1"/>
  <c r="K502" i="4"/>
  <c r="L502" i="4" s="1"/>
  <c r="K164" i="4"/>
  <c r="L164" i="4" s="1"/>
  <c r="K172" i="4"/>
  <c r="L172" i="4" s="1"/>
  <c r="K1110" i="4"/>
  <c r="L1110" i="4" s="1"/>
  <c r="K523" i="4"/>
  <c r="L523" i="4" s="1"/>
  <c r="K808" i="4"/>
  <c r="L808" i="4" s="1"/>
  <c r="K992" i="4"/>
  <c r="L992" i="4" s="1"/>
  <c r="K180" i="4"/>
  <c r="L180" i="4" s="1"/>
  <c r="K997" i="4"/>
  <c r="L997" i="4" s="1"/>
  <c r="K208" i="4"/>
  <c r="L208" i="4" s="1"/>
  <c r="K545" i="4"/>
  <c r="L545" i="4" s="1"/>
  <c r="K832" i="4"/>
  <c r="L832" i="4" s="1"/>
  <c r="K1065" i="4"/>
  <c r="L1065" i="4" s="1"/>
  <c r="K451" i="4"/>
  <c r="L451" i="4" s="1"/>
  <c r="K404" i="4"/>
  <c r="L404" i="4" s="1"/>
  <c r="K625" i="4"/>
  <c r="L625" i="4" s="1"/>
  <c r="K1108" i="4"/>
  <c r="L1108" i="4" s="1"/>
  <c r="K244" i="4"/>
  <c r="L244" i="4" s="1"/>
  <c r="K844" i="4"/>
  <c r="L844" i="4" s="1"/>
  <c r="K705" i="4"/>
  <c r="L705" i="4" s="1"/>
  <c r="K176" i="4"/>
  <c r="L176" i="4" s="1"/>
  <c r="K307" i="4"/>
  <c r="L307" i="4" s="1"/>
  <c r="K745" i="4"/>
  <c r="L745" i="4" s="1"/>
  <c r="K517" i="4"/>
  <c r="L517" i="4" s="1"/>
  <c r="K590" i="4"/>
  <c r="L590" i="4" s="1"/>
  <c r="K301" i="4"/>
  <c r="L301" i="4" s="1"/>
  <c r="K1055" i="4"/>
  <c r="L1055" i="4" s="1"/>
  <c r="K210" i="4"/>
  <c r="L210" i="4" s="1"/>
  <c r="K362" i="4"/>
  <c r="L362" i="4" s="1"/>
  <c r="K773" i="4"/>
  <c r="L773" i="4" s="1"/>
  <c r="K70" i="4"/>
  <c r="L70" i="4" s="1"/>
  <c r="K111" i="4"/>
  <c r="L111" i="4" s="1"/>
  <c r="K91" i="4"/>
  <c r="L91" i="4" s="1"/>
  <c r="K824" i="4"/>
  <c r="L824" i="4" s="1"/>
  <c r="K617" i="4"/>
  <c r="L617" i="4" s="1"/>
  <c r="K539" i="4"/>
  <c r="L539" i="4" s="1"/>
  <c r="K270" i="4"/>
  <c r="L270" i="4" s="1"/>
  <c r="K56" i="4"/>
  <c r="L56" i="4" s="1"/>
  <c r="K419" i="4"/>
  <c r="L419" i="4" s="1"/>
  <c r="K78" i="4"/>
  <c r="L78" i="4" s="1"/>
  <c r="K533" i="4"/>
  <c r="L533" i="4" s="1"/>
  <c r="K645" i="4"/>
  <c r="L645" i="4" s="1"/>
  <c r="K297" i="4"/>
  <c r="L297" i="4" s="1"/>
  <c r="K421" i="4"/>
  <c r="L421" i="4" s="1"/>
  <c r="K912" i="4"/>
  <c r="L912" i="4" s="1"/>
  <c r="K691" i="4"/>
  <c r="L691" i="4" s="1"/>
  <c r="K258" i="4"/>
  <c r="L258" i="4" s="1"/>
  <c r="K63" i="4"/>
  <c r="L63" i="4" s="1"/>
  <c r="K833" i="4"/>
  <c r="L833" i="4" s="1"/>
  <c r="K130" i="4"/>
  <c r="L130" i="4" s="1"/>
  <c r="K83" i="4"/>
  <c r="L83" i="4" s="1"/>
  <c r="K763" i="4"/>
  <c r="L763" i="4" s="1"/>
  <c r="K167" i="4"/>
  <c r="L167" i="4" s="1"/>
  <c r="K591" i="4"/>
  <c r="L591" i="4" s="1"/>
  <c r="K958" i="4"/>
  <c r="L958" i="4" s="1"/>
  <c r="K987" i="4"/>
  <c r="L987" i="4" s="1"/>
  <c r="K687" i="4"/>
  <c r="L687" i="4" s="1"/>
  <c r="K334" i="4"/>
  <c r="L334" i="4" s="1"/>
  <c r="K841" i="4"/>
  <c r="L841" i="4" s="1"/>
  <c r="K653" i="4"/>
  <c r="L653" i="4" s="1"/>
  <c r="K650" i="4"/>
  <c r="L650" i="4" s="1"/>
  <c r="K1025" i="4"/>
  <c r="L1025" i="4" s="1"/>
  <c r="K394" i="4"/>
  <c r="L394" i="4" s="1"/>
  <c r="K328" i="4"/>
  <c r="L328" i="4" s="1"/>
  <c r="K726" i="4"/>
  <c r="L726" i="4" s="1"/>
  <c r="K581" i="4"/>
  <c r="L581" i="4" s="1"/>
  <c r="K1075" i="4"/>
  <c r="L1075" i="4" s="1"/>
  <c r="K393" i="4"/>
  <c r="L393" i="4" s="1"/>
  <c r="K822" i="4"/>
  <c r="L822" i="4" s="1"/>
  <c r="K71" i="4"/>
  <c r="L71" i="4" s="1"/>
  <c r="K24" i="4"/>
  <c r="L24" i="4" s="1"/>
  <c r="K216" i="4"/>
  <c r="L216" i="4" s="1"/>
  <c r="K611" i="4"/>
  <c r="L611" i="4" s="1"/>
  <c r="K898" i="4"/>
  <c r="L898" i="4" s="1"/>
  <c r="K1070" i="4"/>
  <c r="L1070" i="4" s="1"/>
  <c r="K260" i="4"/>
  <c r="L260" i="4" s="1"/>
  <c r="K228" i="4"/>
  <c r="L228" i="4" s="1"/>
  <c r="K695" i="4"/>
  <c r="L695" i="4" s="1"/>
  <c r="K147" i="4"/>
  <c r="L147" i="4" s="1"/>
  <c r="K495" i="4"/>
  <c r="L495" i="4" s="1"/>
  <c r="K171" i="4"/>
  <c r="L171" i="4" s="1"/>
  <c r="K561" i="4"/>
  <c r="L561" i="4" s="1"/>
  <c r="K955" i="4"/>
  <c r="L955" i="4" s="1"/>
  <c r="K728" i="4"/>
  <c r="L728" i="4" s="1"/>
  <c r="K975" i="4"/>
  <c r="L975" i="4" s="1"/>
  <c r="K901" i="4"/>
  <c r="L901" i="4" s="1"/>
  <c r="K303" i="4"/>
  <c r="L303" i="4" s="1"/>
  <c r="K699" i="4"/>
  <c r="L699" i="4" s="1"/>
  <c r="K801" i="4"/>
  <c r="L801" i="4" s="1"/>
  <c r="K281" i="4"/>
  <c r="L281" i="4" s="1"/>
  <c r="K366" i="4"/>
  <c r="L366" i="4" s="1"/>
  <c r="K1068" i="4"/>
  <c r="L1068" i="4" s="1"/>
  <c r="K784" i="4"/>
  <c r="L784" i="4" s="1"/>
  <c r="K559" i="4"/>
  <c r="L559" i="4" s="1"/>
  <c r="K92" i="4"/>
  <c r="L92" i="4" s="1"/>
  <c r="K476" i="4"/>
  <c r="L476" i="4" s="1"/>
  <c r="K143" i="4"/>
  <c r="L143" i="4" s="1"/>
  <c r="K1094" i="4"/>
  <c r="L1094" i="4" s="1"/>
  <c r="K639" i="4"/>
  <c r="L639" i="4" s="1"/>
  <c r="K125" i="4"/>
  <c r="L125" i="4" s="1"/>
  <c r="K367" i="4"/>
  <c r="L367" i="4" s="1"/>
  <c r="K330" i="4"/>
  <c r="L330" i="4" s="1"/>
  <c r="K737" i="4"/>
  <c r="L737" i="4" s="1"/>
  <c r="K44" i="4"/>
  <c r="L44" i="4" s="1"/>
  <c r="K1081" i="4"/>
  <c r="L1081" i="4" s="1"/>
  <c r="K863" i="4"/>
  <c r="L863" i="4" s="1"/>
  <c r="K93" i="4"/>
  <c r="L93" i="4" s="1"/>
  <c r="K205" i="4"/>
  <c r="L205" i="4" s="1"/>
  <c r="K420" i="4"/>
  <c r="L420" i="4" s="1"/>
  <c r="K608" i="4"/>
  <c r="L608" i="4" s="1"/>
  <c r="K1023" i="4"/>
  <c r="L1023" i="4" s="1"/>
  <c r="K588" i="4"/>
  <c r="L588" i="4" s="1"/>
  <c r="K620" i="4"/>
  <c r="L620" i="4" s="1"/>
  <c r="K893" i="4"/>
  <c r="L893" i="4" s="1"/>
  <c r="K607" i="4"/>
  <c r="L607" i="4" s="1"/>
  <c r="K569" i="4"/>
  <c r="L569" i="4" s="1"/>
  <c r="K276" i="4"/>
  <c r="L276" i="4" s="1"/>
  <c r="K961" i="4"/>
  <c r="L961" i="4" s="1"/>
  <c r="K436" i="4"/>
  <c r="L436" i="4" s="1"/>
  <c r="K76" i="4"/>
  <c r="L76" i="4" s="1"/>
  <c r="K973" i="4"/>
  <c r="L973" i="4" s="1"/>
  <c r="K807" i="4"/>
  <c r="L807" i="4" s="1"/>
  <c r="K794" i="4"/>
  <c r="L794" i="4" s="1"/>
  <c r="K1035" i="4"/>
  <c r="L1035" i="4" s="1"/>
  <c r="K403" i="4"/>
  <c r="L403" i="4" s="1"/>
  <c r="K72" i="4"/>
  <c r="L72" i="4" s="1"/>
  <c r="K10" i="4"/>
  <c r="L10" i="4" s="1"/>
  <c r="K43" i="4"/>
  <c r="L43" i="4" s="1"/>
  <c r="K677" i="4"/>
  <c r="L677" i="4" s="1"/>
  <c r="K305" i="4"/>
  <c r="L305" i="4" s="1"/>
  <c r="K381" i="4"/>
  <c r="L381" i="4" s="1"/>
  <c r="K748" i="4"/>
  <c r="L748" i="4" s="1"/>
  <c r="K326" i="4"/>
  <c r="L326" i="4" s="1"/>
  <c r="K632" i="4"/>
  <c r="L632" i="4" s="1"/>
  <c r="K689" i="4"/>
  <c r="L689" i="4" s="1"/>
  <c r="K230" i="4"/>
  <c r="L230" i="4" s="1"/>
  <c r="K424" i="4"/>
  <c r="L424" i="4" s="1"/>
  <c r="K710" i="4"/>
  <c r="L710" i="4" s="1"/>
  <c r="K556" i="4"/>
  <c r="L556" i="4" s="1"/>
  <c r="K683" i="4"/>
  <c r="L683" i="4" s="1"/>
  <c r="K641" i="4"/>
  <c r="L641" i="4" s="1"/>
  <c r="K708" i="4"/>
  <c r="L708" i="4" s="1"/>
  <c r="K84" i="4"/>
  <c r="L84" i="4" s="1"/>
  <c r="K797" i="4"/>
  <c r="L797" i="4" s="1"/>
  <c r="K377" i="4"/>
  <c r="L377" i="4" s="1"/>
  <c r="K1063" i="4"/>
  <c r="L1063" i="4" s="1"/>
  <c r="K567" i="4"/>
  <c r="L567" i="4" s="1"/>
  <c r="K543" i="4"/>
  <c r="L543" i="4" s="1"/>
  <c r="K919" i="4"/>
  <c r="L919" i="4" s="1"/>
  <c r="K897" i="4"/>
  <c r="L897" i="4" s="1"/>
  <c r="K432" i="4"/>
  <c r="L432" i="4" s="1"/>
  <c r="K428" i="4"/>
  <c r="L428" i="4" s="1"/>
  <c r="K190" i="4"/>
  <c r="L190" i="4" s="1"/>
  <c r="K658" i="4"/>
  <c r="L658" i="4" s="1"/>
  <c r="K243" i="4"/>
  <c r="L243" i="4" s="1"/>
  <c r="K119" i="4"/>
  <c r="L119" i="4" s="1"/>
  <c r="K969" i="4"/>
  <c r="L969" i="4" s="1"/>
  <c r="K1071" i="4"/>
  <c r="L1071" i="4" s="1"/>
  <c r="K34" i="4"/>
  <c r="L34" i="4" s="1"/>
  <c r="K851" i="4"/>
  <c r="L851" i="4" s="1"/>
  <c r="K58" i="4"/>
  <c r="L58" i="4" s="1"/>
  <c r="K521" i="4"/>
  <c r="L521" i="4" s="1"/>
  <c r="K1029" i="4"/>
  <c r="L1029" i="4" s="1"/>
  <c r="K991" i="4"/>
  <c r="L991" i="4" s="1"/>
  <c r="K783" i="4"/>
  <c r="L783" i="4" s="1"/>
  <c r="K1109" i="4"/>
  <c r="L1109" i="4" s="1"/>
  <c r="K724" i="4"/>
  <c r="L724" i="4" s="1"/>
  <c r="K631" i="4"/>
  <c r="L631" i="4" s="1"/>
  <c r="K698" i="4"/>
  <c r="L698" i="4" s="1"/>
  <c r="K515" i="4"/>
  <c r="L515" i="4" s="1"/>
  <c r="K613" i="4"/>
  <c r="L613" i="4" s="1"/>
  <c r="K1077" i="4"/>
  <c r="L1077" i="4" s="1"/>
  <c r="K1089" i="4"/>
  <c r="L1089" i="4" s="1"/>
  <c r="K580" i="4"/>
  <c r="L580" i="4" s="1"/>
  <c r="K792" i="4"/>
  <c r="L792" i="4" s="1"/>
  <c r="K464" i="4"/>
  <c r="L464" i="4" s="1"/>
  <c r="K746" i="4"/>
  <c r="L746" i="4" s="1"/>
  <c r="K605" i="4"/>
  <c r="L605" i="4" s="1"/>
  <c r="K890" i="4"/>
  <c r="L890" i="4" s="1"/>
  <c r="K900" i="4"/>
  <c r="L900" i="4" s="1"/>
  <c r="K146" i="4"/>
  <c r="L146" i="4" s="1"/>
  <c r="K195" i="4"/>
  <c r="L195" i="4" s="1"/>
  <c r="K200" i="4"/>
  <c r="L200" i="4" s="1"/>
  <c r="K488" i="4"/>
  <c r="L488" i="4" s="1"/>
  <c r="K769" i="4"/>
  <c r="L769" i="4" s="1"/>
  <c r="K1090" i="4"/>
  <c r="L1090" i="4" s="1"/>
  <c r="K576" i="4"/>
  <c r="L576" i="4" s="1"/>
  <c r="K170" i="4"/>
  <c r="L170" i="4" s="1"/>
  <c r="K1046" i="4"/>
  <c r="L1046" i="4" s="1"/>
  <c r="K320" i="4"/>
  <c r="L320" i="4" s="1"/>
  <c r="K231" i="4"/>
  <c r="L231" i="4" s="1"/>
  <c r="K385" i="4"/>
  <c r="L385" i="4" s="1"/>
  <c r="K589" i="4"/>
  <c r="L589" i="4" s="1"/>
  <c r="K616" i="4"/>
  <c r="L616" i="4" s="1"/>
  <c r="K541" i="4"/>
  <c r="L541" i="4" s="1"/>
  <c r="K19" i="4"/>
  <c r="L19" i="4" s="1"/>
  <c r="K329" i="4"/>
  <c r="L329" i="4" s="1"/>
  <c r="K459" i="4"/>
  <c r="L459" i="4" s="1"/>
  <c r="K947" i="4"/>
  <c r="L947" i="4" s="1"/>
  <c r="K433" i="4"/>
  <c r="L433" i="4" s="1"/>
  <c r="K597" i="4"/>
  <c r="L597" i="4" s="1"/>
  <c r="K350" i="4"/>
  <c r="L350" i="4" s="1"/>
  <c r="K339" i="4"/>
  <c r="L339" i="4" s="1"/>
  <c r="K265" i="4"/>
  <c r="L265" i="4" s="1"/>
  <c r="K970" i="4"/>
  <c r="L970" i="4" s="1"/>
  <c r="K1059" i="4"/>
  <c r="L1059" i="4" s="1"/>
  <c r="K530" i="4"/>
  <c r="L530" i="4" s="1"/>
  <c r="K222" i="4"/>
  <c r="L222" i="4" s="1"/>
  <c r="K579" i="4"/>
  <c r="L579" i="4" s="1"/>
  <c r="K799" i="4"/>
  <c r="L799" i="4" s="1"/>
  <c r="K389" i="4"/>
  <c r="L389" i="4" s="1"/>
  <c r="K648" i="4"/>
  <c r="L648" i="4" s="1"/>
  <c r="K854" i="4"/>
  <c r="L854" i="4" s="1"/>
  <c r="K308" i="4"/>
  <c r="L308" i="4" s="1"/>
  <c r="K1040" i="4"/>
  <c r="L1040" i="4" s="1"/>
  <c r="K859" i="4"/>
  <c r="L859" i="4" s="1"/>
  <c r="K181" i="4"/>
  <c r="L181" i="4" s="1"/>
  <c r="K774" i="4"/>
  <c r="L774" i="4" s="1"/>
  <c r="K656" i="4"/>
  <c r="L656" i="4" s="1"/>
  <c r="K732" i="4"/>
  <c r="L732" i="4" s="1"/>
  <c r="K564" i="4"/>
  <c r="L564" i="4" s="1"/>
  <c r="K437" i="4"/>
  <c r="L437" i="4" s="1"/>
  <c r="K1048" i="4"/>
  <c r="L1048" i="4" s="1"/>
  <c r="K787" i="4"/>
  <c r="L787" i="4" s="1"/>
  <c r="K837" i="4"/>
  <c r="L837" i="4" s="1"/>
  <c r="K327" i="4"/>
  <c r="L327" i="4" s="1"/>
  <c r="K306" i="4"/>
  <c r="L306" i="4" s="1"/>
  <c r="K215" i="4"/>
  <c r="L215" i="4" s="1"/>
  <c r="K322" i="4"/>
  <c r="L322" i="4" s="1"/>
  <c r="K313" i="4"/>
  <c r="L313" i="4" s="1"/>
  <c r="K876" i="4"/>
  <c r="L876" i="4" s="1"/>
  <c r="K108" i="4"/>
  <c r="L108" i="4" s="1"/>
  <c r="K154" i="4"/>
  <c r="L154" i="4" s="1"/>
  <c r="K578" i="4"/>
  <c r="L578" i="4" s="1"/>
  <c r="K109" i="4"/>
  <c r="L109" i="4" s="1"/>
  <c r="K713" i="4"/>
  <c r="L713" i="4" s="1"/>
  <c r="K754" i="4"/>
  <c r="L754" i="4" s="1"/>
  <c r="K908" i="4"/>
  <c r="L908" i="4" s="1"/>
  <c r="K300" i="4"/>
  <c r="L300" i="4" s="1"/>
  <c r="K1053" i="4"/>
  <c r="L1053" i="4" s="1"/>
  <c r="K139" i="4"/>
  <c r="L139" i="4" s="1"/>
  <c r="K288" i="4"/>
  <c r="L288" i="4" s="1"/>
  <c r="K852" i="4"/>
  <c r="L852" i="4" s="1"/>
  <c r="K957" i="4"/>
  <c r="L957" i="4" s="1"/>
  <c r="K1061" i="4"/>
  <c r="L1061" i="4" s="1"/>
  <c r="K261" i="4"/>
  <c r="L261" i="4" s="1"/>
  <c r="K818" i="4"/>
  <c r="L818" i="4" s="1"/>
  <c r="K718" i="4"/>
  <c r="L718" i="4" s="1"/>
  <c r="K486" i="4"/>
  <c r="L486" i="4" s="1"/>
  <c r="K574" i="4"/>
  <c r="L574" i="4" s="1"/>
  <c r="K548" i="4"/>
  <c r="L548" i="4" s="1"/>
  <c r="K571" i="4"/>
  <c r="L571" i="4" s="1"/>
  <c r="K949" i="4"/>
  <c r="L949" i="4" s="1"/>
  <c r="K1116" i="4"/>
  <c r="L1116" i="4" s="1"/>
  <c r="K872" i="4"/>
  <c r="L872" i="4" s="1"/>
  <c r="K880" i="4"/>
  <c r="L880" i="4" s="1"/>
  <c r="K105" i="4"/>
  <c r="L105" i="4" s="1"/>
  <c r="K685" i="4"/>
  <c r="L685" i="4" s="1"/>
  <c r="K806" i="4"/>
  <c r="L806" i="4" s="1"/>
  <c r="K107" i="4"/>
  <c r="L107" i="4" s="1"/>
  <c r="K285" i="4"/>
  <c r="L285" i="4" s="1"/>
  <c r="K429" i="4"/>
  <c r="L429" i="4" s="1"/>
  <c r="K696" i="4"/>
  <c r="L696" i="4" s="1"/>
  <c r="K803" i="4"/>
  <c r="L803" i="4" s="1"/>
  <c r="K455" i="4"/>
  <c r="L455" i="4" s="1"/>
  <c r="K369" i="4"/>
  <c r="L369" i="4" s="1"/>
  <c r="K1095" i="4"/>
  <c r="L1095" i="4" s="1"/>
  <c r="K603" i="4"/>
  <c r="L603" i="4" s="1"/>
  <c r="K740" i="4"/>
  <c r="L740" i="4" s="1"/>
  <c r="K323" i="4"/>
  <c r="L323" i="4" s="1"/>
  <c r="K693" i="4"/>
  <c r="L693" i="4" s="1"/>
  <c r="K883" i="4"/>
  <c r="L883" i="4" s="1"/>
  <c r="K1119" i="4"/>
  <c r="L1119" i="4" s="1"/>
  <c r="K762" i="4"/>
  <c r="L762" i="4" s="1"/>
  <c r="K655" i="4"/>
  <c r="L655" i="4" s="1"/>
  <c r="K956" i="4"/>
  <c r="L956" i="4" s="1"/>
  <c r="K964" i="4"/>
  <c r="L964" i="4" s="1"/>
  <c r="K741" i="4"/>
  <c r="L741" i="4" s="1"/>
  <c r="K622" i="4"/>
  <c r="L622" i="4" s="1"/>
  <c r="K472" i="4"/>
  <c r="L472" i="4" s="1"/>
  <c r="K720" i="4"/>
  <c r="L720" i="4" s="1"/>
  <c r="K676" i="4"/>
  <c r="L676" i="4" s="1"/>
  <c r="K599" i="4"/>
  <c r="L599" i="4" s="1"/>
  <c r="K670" i="4"/>
  <c r="L670" i="4" s="1"/>
  <c r="K441" i="4"/>
  <c r="L441" i="4" s="1"/>
  <c r="K1001" i="4"/>
  <c r="L1001" i="4" s="1"/>
  <c r="K418" i="4"/>
  <c r="L418" i="4" s="1"/>
  <c r="K814" i="4"/>
  <c r="L814" i="4" s="1"/>
  <c r="K247" i="4"/>
  <c r="L247" i="4" s="1"/>
  <c r="K674" i="4"/>
  <c r="L674" i="4" s="1"/>
  <c r="K39" i="4"/>
  <c r="L39" i="4" s="1"/>
  <c r="K749" i="4"/>
  <c r="L749" i="4" s="1"/>
  <c r="K1026" i="4"/>
  <c r="L1026" i="4" s="1"/>
  <c r="K1052" i="4"/>
  <c r="L1052" i="4" s="1"/>
  <c r="K198" i="4"/>
  <c r="L198" i="4" s="1"/>
  <c r="K426" i="4"/>
  <c r="L426" i="4" s="1"/>
  <c r="K781" i="4"/>
  <c r="L781" i="4" s="1"/>
  <c r="K468" i="4"/>
  <c r="L468" i="4" s="1"/>
  <c r="K1102" i="4"/>
  <c r="L1102" i="4" s="1"/>
  <c r="K553" i="4"/>
  <c r="L553" i="4" s="1"/>
  <c r="K550" i="4"/>
  <c r="L550" i="4" s="1"/>
  <c r="K642" i="4"/>
  <c r="L642" i="4" s="1"/>
  <c r="K445" i="4"/>
  <c r="L445" i="4" s="1"/>
  <c r="K959" i="4"/>
  <c r="L959" i="4" s="1"/>
  <c r="K1099" i="4"/>
  <c r="L1099" i="4" s="1"/>
  <c r="K46" i="4"/>
  <c r="L46" i="4" s="1"/>
  <c r="K81" i="4"/>
  <c r="L81" i="4" s="1"/>
  <c r="K602" i="4"/>
  <c r="L602" i="4" s="1"/>
  <c r="K241" i="4"/>
  <c r="L241" i="4" s="1"/>
  <c r="K28" i="4"/>
  <c r="L28" i="4" s="1"/>
  <c r="K103" i="4"/>
  <c r="L103" i="4" s="1"/>
  <c r="K873" i="4"/>
  <c r="L873" i="4" s="1"/>
  <c r="K782" i="4"/>
  <c r="L782" i="4" s="1"/>
  <c r="K115" i="4"/>
  <c r="L115" i="4" s="1"/>
  <c r="K875" i="4"/>
  <c r="L875" i="4" s="1"/>
  <c r="K117" i="4"/>
  <c r="L117" i="4" s="1"/>
  <c r="K661" i="4"/>
  <c r="L661" i="4" s="1"/>
  <c r="K507" i="4"/>
  <c r="L507" i="4" s="1"/>
  <c r="K592" i="4"/>
  <c r="L592" i="4" s="1"/>
  <c r="K174" i="4"/>
  <c r="L174" i="4" s="1"/>
  <c r="K895" i="4"/>
  <c r="L895" i="4" s="1"/>
  <c r="K401" i="4"/>
  <c r="L401" i="4" s="1"/>
  <c r="K64" i="4"/>
  <c r="L64" i="4" s="1"/>
  <c r="K361" i="4"/>
  <c r="L361" i="4" s="1"/>
  <c r="K1018" i="4"/>
  <c r="L1018" i="4" s="1"/>
  <c r="K149" i="4"/>
  <c r="L149" i="4" s="1"/>
  <c r="K363" i="4"/>
  <c r="L363" i="4" s="1"/>
  <c r="K21" i="4"/>
  <c r="L21" i="4" s="1"/>
  <c r="K442" i="4"/>
  <c r="L442" i="4" s="1"/>
  <c r="K1022" i="4"/>
  <c r="L1022" i="4" s="1"/>
  <c r="K97" i="4"/>
  <c r="L97" i="4" s="1"/>
  <c r="K79" i="4"/>
  <c r="L79" i="4" s="1"/>
  <c r="K201" i="4"/>
  <c r="L201" i="4" s="1"/>
  <c r="K971" i="4"/>
  <c r="L971" i="4" s="1"/>
  <c r="K835" i="4"/>
  <c r="L835" i="4" s="1"/>
  <c r="K447" i="4"/>
  <c r="L447" i="4" s="1"/>
  <c r="K266" i="4"/>
  <c r="L266" i="4" s="1"/>
  <c r="K1050" i="4"/>
  <c r="L1050" i="4" s="1"/>
  <c r="K856" i="4"/>
  <c r="L856" i="4" s="1"/>
  <c r="K138" i="4"/>
  <c r="L138" i="4" s="1"/>
  <c r="K96" i="4"/>
  <c r="L96" i="4" s="1"/>
  <c r="K395" i="4"/>
  <c r="L395" i="4" s="1"/>
  <c r="K316" i="4"/>
  <c r="L316" i="4" s="1"/>
  <c r="K173" i="4"/>
  <c r="L173" i="4" s="1"/>
  <c r="K256" i="4"/>
  <c r="L256" i="4" s="1"/>
  <c r="K549" i="4"/>
  <c r="L549" i="4" s="1"/>
  <c r="K387" i="4"/>
  <c r="L387" i="4" s="1"/>
  <c r="K1004" i="4"/>
  <c r="L1004" i="4" s="1"/>
  <c r="K974" i="4"/>
  <c r="L974" i="4" s="1"/>
  <c r="K678" i="4"/>
  <c r="L678" i="4" s="1"/>
  <c r="K857" i="4"/>
  <c r="L857" i="4" s="1"/>
  <c r="K431" i="4"/>
  <c r="L431" i="4" s="1"/>
  <c r="K17" i="4"/>
  <c r="L17" i="4" s="1"/>
  <c r="K183" i="4"/>
  <c r="L183" i="4" s="1"/>
  <c r="K855" i="4"/>
  <c r="L855" i="4" s="1"/>
  <c r="K1114" i="4"/>
  <c r="L1114" i="4" s="1"/>
  <c r="K1020" i="4"/>
  <c r="L1020" i="4" s="1"/>
  <c r="K802" i="4"/>
  <c r="L802" i="4" s="1"/>
  <c r="K157" i="4"/>
  <c r="L157" i="4" s="1"/>
  <c r="K227" i="4"/>
  <c r="L227" i="4" s="1"/>
  <c r="K722" i="4"/>
  <c r="L722" i="4" s="1"/>
  <c r="K1058" i="4"/>
  <c r="L1058" i="4" s="1"/>
  <c r="K282" i="4"/>
  <c r="L282" i="4" s="1"/>
  <c r="K128" i="4"/>
  <c r="L128" i="4" s="1"/>
  <c r="K324" i="4"/>
  <c r="L324" i="4" s="1"/>
  <c r="K1097" i="4"/>
  <c r="L1097" i="4" s="1"/>
  <c r="K36" i="4"/>
  <c r="L36" i="4" s="1"/>
  <c r="K77" i="4"/>
  <c r="L77" i="4" s="1"/>
  <c r="K54" i="4"/>
  <c r="L54" i="4" s="1"/>
  <c r="K1079" i="4"/>
  <c r="L1079" i="4" s="1"/>
  <c r="K865" i="4"/>
  <c r="L865" i="4" s="1"/>
  <c r="K409" i="4"/>
  <c r="L409" i="4" s="1"/>
  <c r="K444" i="4"/>
  <c r="L444" i="4" s="1"/>
  <c r="K483" i="4"/>
  <c r="L483" i="4" s="1"/>
  <c r="K871" i="4"/>
  <c r="L871" i="4" s="1"/>
  <c r="K30" i="4"/>
  <c r="L30" i="4" s="1"/>
  <c r="K1039" i="4"/>
  <c r="L1039" i="4" s="1"/>
  <c r="K920" i="4"/>
  <c r="L920" i="4" s="1"/>
  <c r="K101" i="4"/>
  <c r="L101" i="4" s="1"/>
  <c r="K1002" i="4"/>
  <c r="L1002" i="4" s="1"/>
  <c r="K333" i="4"/>
  <c r="L333" i="4" s="1"/>
  <c r="K250" i="4"/>
  <c r="L250" i="4" s="1"/>
  <c r="K1036" i="4"/>
  <c r="L1036" i="4" s="1"/>
  <c r="K870" i="4"/>
  <c r="L870" i="4" s="1"/>
  <c r="K461" i="4"/>
  <c r="L461" i="4" s="1"/>
  <c r="K1111" i="4"/>
  <c r="L1111" i="4" s="1"/>
  <c r="K788" i="4"/>
  <c r="L788" i="4" s="1"/>
  <c r="K262" i="4"/>
  <c r="L262" i="4" s="1"/>
  <c r="K492" i="4"/>
  <c r="L492" i="4" s="1"/>
  <c r="K263" i="4"/>
  <c r="L263" i="4" s="1"/>
  <c r="K264" i="4"/>
  <c r="L264" i="4" s="1"/>
  <c r="K257" i="4"/>
  <c r="L257" i="4" s="1"/>
  <c r="K668" i="4"/>
  <c r="L668" i="4" s="1"/>
  <c r="K626" i="4"/>
  <c r="L626" i="4" s="1"/>
  <c r="K503" i="4"/>
  <c r="L503" i="4" s="1"/>
  <c r="K314" i="4"/>
  <c r="L314" i="4" s="1"/>
  <c r="K840" i="4"/>
  <c r="L840" i="4" s="1"/>
  <c r="K817" i="4"/>
  <c r="L817" i="4" s="1"/>
  <c r="K279" i="4"/>
  <c r="L279" i="4" s="1"/>
  <c r="K427" i="4"/>
  <c r="L427" i="4" s="1"/>
  <c r="K240" i="4"/>
  <c r="L240" i="4" s="1"/>
  <c r="K1000" i="4"/>
  <c r="L1000" i="4" s="1"/>
  <c r="K396" i="4"/>
  <c r="L396" i="4" s="1"/>
  <c r="K1062" i="4"/>
  <c r="L1062" i="4" s="1"/>
  <c r="K358" i="4"/>
  <c r="L358" i="4" s="1"/>
  <c r="K69" i="4"/>
  <c r="L69" i="4" s="1"/>
  <c r="K924" i="4"/>
  <c r="L924" i="4" s="1"/>
  <c r="K1047" i="4"/>
  <c r="L1047" i="4" s="1"/>
  <c r="K793" i="4"/>
  <c r="L793" i="4" s="1"/>
  <c r="K815" i="4"/>
  <c r="L815" i="4" s="1"/>
  <c r="K927" i="4"/>
  <c r="L927" i="4" s="1"/>
  <c r="K830" i="4"/>
  <c r="L830" i="4" s="1"/>
  <c r="K609" i="4"/>
  <c r="L609" i="4" s="1"/>
  <c r="K604" i="4"/>
  <c r="L604" i="4" s="1"/>
  <c r="K335" i="4"/>
  <c r="L335" i="4" s="1"/>
  <c r="K347" i="4"/>
  <c r="L347" i="4" s="1"/>
  <c r="K325" i="4"/>
  <c r="L325" i="4" s="1"/>
  <c r="K161" i="4"/>
  <c r="L161" i="4" s="1"/>
  <c r="K520" i="4"/>
  <c r="L520" i="4" s="1"/>
  <c r="K800" i="4"/>
  <c r="L800" i="4" s="1"/>
  <c r="K649" i="4"/>
  <c r="L649" i="4" s="1"/>
  <c r="K994" i="4"/>
  <c r="L994" i="4" s="1"/>
  <c r="K175" i="4"/>
  <c r="L175" i="4" s="1"/>
  <c r="K587" i="4"/>
  <c r="L587" i="4" s="1"/>
  <c r="K976" i="4"/>
  <c r="L976" i="4" s="1"/>
  <c r="K400" i="4"/>
  <c r="L400" i="4" s="1"/>
  <c r="K254" i="4"/>
  <c r="L254" i="4" s="1"/>
  <c r="K121" i="4"/>
  <c r="L121" i="4" s="1"/>
  <c r="K251" i="4"/>
  <c r="L251" i="4" s="1"/>
  <c r="K163" i="4"/>
  <c r="L163" i="4" s="1"/>
  <c r="K697" i="4"/>
  <c r="L697" i="4" s="1"/>
  <c r="K858" i="4"/>
  <c r="L858" i="4" s="1"/>
  <c r="K438" i="4"/>
  <c r="L438" i="4" s="1"/>
  <c r="K220" i="4"/>
  <c r="L220" i="4" s="1"/>
  <c r="K1113" i="4"/>
  <c r="L1113" i="4" s="1"/>
  <c r="K546" i="4"/>
  <c r="L546" i="4" s="1"/>
  <c r="K140" i="4"/>
  <c r="L140" i="4" s="1"/>
  <c r="K879" i="4"/>
  <c r="L879" i="4" s="1"/>
  <c r="K482" i="4"/>
  <c r="L482" i="4" s="1"/>
  <c r="K127" i="4"/>
  <c r="L127" i="4" s="1"/>
  <c r="K928" i="4"/>
  <c r="L928" i="4" s="1"/>
  <c r="K853" i="4"/>
  <c r="L853" i="4" s="1"/>
  <c r="K66" i="4"/>
  <c r="L66" i="4" s="1"/>
  <c r="K353" i="4"/>
  <c r="L353" i="4" s="1"/>
  <c r="K1064" i="4"/>
  <c r="L1064" i="4" s="1"/>
  <c r="K600" i="4"/>
  <c r="L600" i="4" s="1"/>
  <c r="K23" i="4"/>
  <c r="L23" i="4" s="1"/>
  <c r="K37" i="4"/>
  <c r="L37" i="4" s="1"/>
  <c r="K573" i="4"/>
  <c r="L573" i="4" s="1"/>
  <c r="K489" i="4"/>
  <c r="L489" i="4" s="1"/>
  <c r="K786" i="4"/>
  <c r="L786" i="4" s="1"/>
  <c r="K621" i="4"/>
  <c r="L621" i="4" s="1"/>
  <c r="K619" i="4"/>
  <c r="L619" i="4" s="1"/>
  <c r="K820" i="4"/>
  <c r="L820" i="4" s="1"/>
  <c r="K524" i="4"/>
  <c r="L524" i="4" s="1"/>
  <c r="K931" i="4"/>
  <c r="L931" i="4" s="1"/>
  <c r="K703" i="4"/>
  <c r="L703" i="4" s="1"/>
  <c r="K479" i="4"/>
  <c r="L479" i="4" s="1"/>
  <c r="K759" i="4"/>
  <c r="L759" i="4" s="1"/>
  <c r="K332" i="4"/>
  <c r="L332" i="4" s="1"/>
  <c r="K566" i="4"/>
  <c r="L566" i="4" s="1"/>
  <c r="K475" i="4"/>
  <c r="L475" i="4" s="1"/>
  <c r="K526" i="4"/>
  <c r="L526" i="4" s="1"/>
  <c r="K905" i="4"/>
  <c r="L905" i="4" s="1"/>
  <c r="K692" i="4"/>
  <c r="L692" i="4" s="1"/>
  <c r="K733" i="4"/>
  <c r="L733" i="4" s="1"/>
  <c r="K598" i="4"/>
  <c r="L598" i="4" s="1"/>
  <c r="K388" i="4"/>
  <c r="L388" i="4" s="1"/>
  <c r="K27" i="4"/>
  <c r="L27" i="4" s="1"/>
  <c r="K568" i="4"/>
  <c r="L568" i="4" s="1"/>
  <c r="K99" i="4"/>
  <c r="L99" i="4" s="1"/>
  <c r="K1074" i="4"/>
  <c r="L1074" i="4" s="1"/>
  <c r="K629" i="4"/>
  <c r="L629" i="4" s="1"/>
  <c r="K534" i="4"/>
  <c r="L534" i="4" s="1"/>
  <c r="K899" i="4"/>
  <c r="L899" i="4" s="1"/>
  <c r="K1015" i="4"/>
  <c r="L1015" i="4" s="1"/>
  <c r="K738" i="4"/>
  <c r="L738" i="4" s="1"/>
  <c r="K630" i="4"/>
  <c r="L630" i="4" s="1"/>
  <c r="K618" i="4"/>
  <c r="L618" i="4" s="1"/>
  <c r="K346" i="4"/>
  <c r="L346" i="4" s="1"/>
  <c r="K355" i="4"/>
  <c r="L355" i="4" s="1"/>
  <c r="K910" i="4"/>
  <c r="L910" i="4" s="1"/>
  <c r="K767" i="4"/>
  <c r="L767" i="4" s="1"/>
  <c r="K610" i="4"/>
  <c r="L610" i="4" s="1"/>
  <c r="K342" i="4"/>
  <c r="L342" i="4" s="1"/>
  <c r="K764" i="4"/>
  <c r="L764" i="4" s="1"/>
  <c r="K450" i="4"/>
  <c r="L450" i="4" s="1"/>
  <c r="K595" i="4"/>
  <c r="L595" i="4" s="1"/>
  <c r="K684" i="4"/>
  <c r="L684" i="4" s="1"/>
  <c r="K877" i="4"/>
  <c r="L877" i="4" s="1"/>
  <c r="K816" i="4"/>
  <c r="L816" i="4" s="1"/>
  <c r="K252" i="4"/>
  <c r="L252" i="4" s="1"/>
  <c r="K1049" i="4"/>
  <c r="L1049" i="4" s="1"/>
  <c r="K284" i="4"/>
  <c r="L284" i="4" s="1"/>
  <c r="K552" i="4"/>
  <c r="L552" i="4" s="1"/>
  <c r="K1083" i="4"/>
  <c r="L1083" i="4" s="1"/>
  <c r="K315" i="4"/>
  <c r="L315" i="4" s="1"/>
  <c r="K132" i="4"/>
  <c r="L132" i="4" s="1"/>
  <c r="K742" i="4"/>
  <c r="L742" i="4" s="1"/>
  <c r="K446" i="4"/>
  <c r="L446" i="4" s="1"/>
  <c r="K159" i="4"/>
  <c r="L159" i="4" s="1"/>
  <c r="K365" i="4"/>
  <c r="L365" i="4" s="1"/>
  <c r="K714" i="4"/>
  <c r="L714" i="4" s="1"/>
  <c r="K577" i="4"/>
  <c r="L577" i="4" s="1"/>
  <c r="K925" i="4"/>
  <c r="L925" i="4" s="1"/>
  <c r="K372" i="4"/>
  <c r="L372" i="4" s="1"/>
  <c r="K277" i="4"/>
  <c r="L277" i="4" s="1"/>
  <c r="K839" i="4"/>
  <c r="L839" i="4" s="1"/>
  <c r="K640" i="4"/>
  <c r="L640" i="4" s="1"/>
  <c r="K766" i="4"/>
  <c r="L766" i="4" s="1"/>
  <c r="K772" i="4"/>
  <c r="L772" i="4" s="1"/>
  <c r="K462" i="4"/>
  <c r="L462" i="4" s="1"/>
  <c r="K537" i="4"/>
  <c r="L537" i="4" s="1"/>
  <c r="K298" i="4"/>
  <c r="L298" i="4" s="1"/>
  <c r="K470" i="4"/>
  <c r="L470" i="4" s="1"/>
  <c r="K311" i="4"/>
  <c r="L311" i="4" s="1"/>
  <c r="K465" i="4"/>
  <c r="L465" i="4" s="1"/>
  <c r="K312" i="4"/>
  <c r="L312" i="4" s="1"/>
  <c r="K188" i="4"/>
  <c r="L188" i="4" s="1"/>
  <c r="K1021" i="4"/>
  <c r="L1021" i="4" s="1"/>
  <c r="K663" i="4"/>
  <c r="L663" i="4" s="1"/>
  <c r="K941" i="4"/>
  <c r="L941" i="4" s="1"/>
  <c r="K1012" i="4"/>
  <c r="L1012" i="4" s="1"/>
  <c r="K715" i="4"/>
  <c r="L715" i="4" s="1"/>
  <c r="K671" i="4"/>
  <c r="L671" i="4" s="1"/>
  <c r="K527" i="4"/>
  <c r="L527" i="4" s="1"/>
  <c r="K391" i="4"/>
  <c r="L391" i="4" s="1"/>
  <c r="K156" i="4"/>
  <c r="L156" i="4" s="1"/>
  <c r="K485" i="4"/>
  <c r="L485" i="4" s="1"/>
  <c r="K457" i="4"/>
  <c r="L457" i="4" s="1"/>
  <c r="K953" i="4"/>
  <c r="L953" i="4" s="1"/>
  <c r="K35" i="4"/>
  <c r="L35" i="4" s="1"/>
  <c r="K152" i="4"/>
  <c r="L152" i="4" s="1"/>
  <c r="K411" i="4"/>
  <c r="L411" i="4" s="1"/>
  <c r="K1093" i="4"/>
  <c r="L1093" i="4" s="1"/>
  <c r="K460" i="4"/>
  <c r="L460" i="4" s="1"/>
  <c r="K719" i="4"/>
  <c r="L719" i="4" s="1"/>
  <c r="K189" i="4"/>
  <c r="L189" i="4" s="1"/>
  <c r="K885" i="4"/>
  <c r="L885" i="4" s="1"/>
  <c r="K1057" i="4"/>
  <c r="L1057" i="4" s="1"/>
  <c r="K606" i="4"/>
  <c r="L606" i="4" s="1"/>
  <c r="K761" i="4"/>
  <c r="L761" i="4" s="1"/>
  <c r="K680" i="4"/>
  <c r="L680" i="4" s="1"/>
  <c r="K321" i="4"/>
  <c r="L321" i="4" s="1"/>
  <c r="K694" i="4"/>
  <c r="L694" i="4" s="1"/>
  <c r="K357" i="4"/>
  <c r="L357" i="4" s="1"/>
  <c r="K55" i="4"/>
  <c r="L55" i="4" s="1"/>
  <c r="K351" i="4"/>
  <c r="L351" i="4" s="1"/>
  <c r="K988" i="4"/>
  <c r="L988" i="4" s="1"/>
  <c r="K701" i="4"/>
  <c r="L701" i="4" s="1"/>
  <c r="K847" i="4"/>
  <c r="L847" i="4" s="1"/>
  <c r="K456" i="4"/>
  <c r="L456" i="4" s="1"/>
  <c r="K584" i="4"/>
  <c r="L584" i="4" s="1"/>
  <c r="K667" i="4"/>
  <c r="L667" i="4" s="1"/>
  <c r="K884" i="4"/>
  <c r="L884" i="4" s="1"/>
  <c r="K62" i="4"/>
  <c r="L62" i="4" s="1"/>
  <c r="K269" i="4"/>
  <c r="L269" i="4" s="1"/>
  <c r="K193" i="4"/>
  <c r="L193" i="4" s="1"/>
  <c r="K20" i="4"/>
  <c r="L20" i="4" s="1"/>
  <c r="K31" i="4"/>
  <c r="L31" i="4" s="1"/>
  <c r="K397" i="4"/>
  <c r="L397" i="4" s="1"/>
  <c r="K504" i="4"/>
  <c r="L504" i="4" s="1"/>
  <c r="K390" i="4"/>
  <c r="L390" i="4" s="1"/>
  <c r="K458" i="4"/>
  <c r="L458" i="4" s="1"/>
  <c r="K473" i="4"/>
  <c r="L473" i="4" s="1"/>
  <c r="K49" i="4"/>
  <c r="L49" i="4" s="1"/>
  <c r="K860" i="4"/>
  <c r="L860" i="4" s="1"/>
  <c r="K982" i="4"/>
  <c r="L982" i="4" s="1"/>
  <c r="K760" i="4"/>
  <c r="L760" i="4" s="1"/>
  <c r="K405" i="4"/>
  <c r="L405" i="4" s="1"/>
  <c r="K867" i="4"/>
  <c r="L867" i="4" s="1"/>
  <c r="K435" i="4"/>
  <c r="L435" i="4" s="1"/>
  <c r="K221" i="4"/>
  <c r="L221" i="4" s="1"/>
  <c r="K104" i="4"/>
  <c r="L104" i="4" s="1"/>
  <c r="K1019" i="4"/>
  <c r="L1019" i="4" s="1"/>
  <c r="K232" i="4"/>
  <c r="L232" i="4" s="1"/>
  <c r="K516" i="4"/>
  <c r="L516" i="4" s="1"/>
  <c r="K593" i="4"/>
  <c r="L593" i="4" s="1"/>
  <c r="K453" i="4"/>
  <c r="L453" i="4" s="1"/>
  <c r="K141" i="4"/>
  <c r="L141" i="4" s="1"/>
  <c r="K484" i="4"/>
  <c r="L484" i="4" s="1"/>
  <c r="K398" i="4"/>
  <c r="L398" i="4" s="1"/>
  <c r="K529" i="4"/>
  <c r="L529" i="4" s="1"/>
  <c r="K126" i="4"/>
  <c r="L126" i="4" s="1"/>
  <c r="K776" i="4"/>
  <c r="L776" i="4" s="1"/>
  <c r="K751" i="4"/>
  <c r="L751" i="4" s="1"/>
  <c r="K1037" i="4"/>
  <c r="L1037" i="4" s="1"/>
  <c r="K1101" i="4"/>
  <c r="L1101" i="4" s="1"/>
  <c r="K518" i="4"/>
  <c r="L518" i="4" s="1"/>
  <c r="K775" i="4"/>
  <c r="L775" i="4" s="1"/>
  <c r="K310" i="4"/>
  <c r="L310" i="4" s="1"/>
  <c r="K233" i="4"/>
  <c r="L233" i="4" s="1"/>
  <c r="K100" i="4"/>
  <c r="L100" i="4" s="1"/>
  <c r="K735" i="4"/>
  <c r="L735" i="4" s="1"/>
  <c r="K819" i="4"/>
  <c r="L819" i="4" s="1"/>
  <c r="K1003" i="4"/>
  <c r="L1003" i="4" s="1"/>
  <c r="K804" i="4"/>
  <c r="L804" i="4" s="1"/>
  <c r="K1056" i="4"/>
  <c r="L1056" i="4" s="1"/>
  <c r="K283" i="4"/>
  <c r="L283" i="4" s="1"/>
  <c r="K878" i="4"/>
  <c r="L878" i="4" s="1"/>
  <c r="K1066" i="4"/>
  <c r="L1066" i="4" s="1"/>
  <c r="K954" i="4"/>
  <c r="L954" i="4" s="1"/>
  <c r="K317" i="4"/>
  <c r="L317" i="4" s="1"/>
  <c r="K729" i="4"/>
  <c r="L729" i="4" s="1"/>
  <c r="K585" i="4"/>
  <c r="L585" i="4" s="1"/>
  <c r="K179" i="4"/>
  <c r="L179" i="4" s="1"/>
  <c r="K1086" i="4"/>
  <c r="L1086" i="4" s="1"/>
  <c r="K938" i="4"/>
  <c r="L938" i="4" s="1"/>
  <c r="K1032" i="4"/>
  <c r="L1032" i="4" s="1"/>
  <c r="K1091" i="4"/>
  <c r="L1091" i="4" s="1"/>
  <c r="K646" i="4"/>
  <c r="L646" i="4" s="1"/>
  <c r="K235" i="4"/>
  <c r="L235" i="4" s="1"/>
  <c r="K1120" i="4"/>
  <c r="L1120" i="4" s="1"/>
  <c r="K525" i="4"/>
  <c r="L525" i="4" s="1"/>
  <c r="K688" i="4"/>
  <c r="L688" i="4" s="1"/>
  <c r="K869" i="4"/>
  <c r="L869" i="4" s="1"/>
  <c r="K82" i="4"/>
  <c r="L82" i="4" s="1"/>
  <c r="K318" i="4"/>
  <c r="L318" i="4" s="1"/>
  <c r="K248" i="4"/>
  <c r="L248" i="4" s="1"/>
  <c r="K239" i="4"/>
  <c r="L239" i="4" s="1"/>
  <c r="K972" i="4"/>
  <c r="L972" i="4" s="1"/>
  <c r="K467" i="4"/>
  <c r="L467" i="4" s="1"/>
  <c r="K1028" i="4"/>
  <c r="L1028" i="4" s="1"/>
  <c r="K292" i="4"/>
  <c r="L292" i="4" s="1"/>
  <c r="K1041" i="4"/>
  <c r="L1041" i="4" s="1"/>
  <c r="K902" i="4"/>
  <c r="L902" i="4" s="1"/>
  <c r="K287" i="4"/>
  <c r="L287" i="4" s="1"/>
  <c r="K186" i="4"/>
  <c r="L186" i="4" s="1"/>
  <c r="K501" i="4"/>
  <c r="L501" i="4" s="1"/>
  <c r="K430" i="4"/>
  <c r="L430" i="4" s="1"/>
  <c r="S10" i="3" l="1"/>
  <c r="R7" i="3"/>
  <c r="S11" i="3"/>
  <c r="S7" i="3"/>
  <c r="S8" i="3"/>
  <c r="R8" i="3"/>
  <c r="S9" i="3"/>
  <c r="R11" i="3"/>
  <c r="R9" i="3"/>
  <c r="R10" i="3"/>
  <c r="P19" i="3"/>
  <c r="P18" i="3"/>
  <c r="M7" i="3"/>
  <c r="N9" i="3"/>
  <c r="N11" i="3"/>
  <c r="N10" i="3"/>
  <c r="N8" i="3"/>
  <c r="N7" i="3"/>
  <c r="M10" i="3"/>
  <c r="K8" i="3"/>
  <c r="K7" i="3"/>
  <c r="M11" i="3"/>
  <c r="L9" i="3"/>
  <c r="O9" i="3"/>
  <c r="L10" i="3"/>
  <c r="M9" i="3"/>
  <c r="K11" i="3"/>
  <c r="O8" i="3"/>
  <c r="J9" i="3"/>
  <c r="L8" i="3"/>
  <c r="J10" i="3"/>
  <c r="O10" i="3"/>
  <c r="K9" i="3"/>
  <c r="O7" i="3"/>
  <c r="L11" i="3"/>
  <c r="J7" i="3"/>
  <c r="M8" i="3"/>
  <c r="K10" i="3"/>
  <c r="J11" i="3"/>
  <c r="O11" i="3"/>
  <c r="J8" i="3"/>
  <c r="L7" i="3"/>
  <c r="H4" i="3" l="1"/>
</calcChain>
</file>

<file path=xl/sharedStrings.xml><?xml version="1.0" encoding="utf-8"?>
<sst xmlns="http://schemas.openxmlformats.org/spreadsheetml/2006/main" count="9544" uniqueCount="3393">
  <si>
    <t>name</t>
  </si>
  <si>
    <t>state</t>
  </si>
  <si>
    <t>city</t>
  </si>
  <si>
    <t>address</t>
  </si>
  <si>
    <t>lattitude</t>
  </si>
  <si>
    <t>longitude</t>
  </si>
  <si>
    <t>type</t>
  </si>
  <si>
    <t>Neelkanth Star DC Charging Station</t>
  </si>
  <si>
    <t>Haryana</t>
  </si>
  <si>
    <t>Gurugram</t>
  </si>
  <si>
    <t xml:space="preserve">Neelkanth Star Karnal, NH 44, Gharunda, Kutail, Haryana 132114 </t>
  </si>
  <si>
    <t>Galleria DC Charging Station</t>
  </si>
  <si>
    <t>DLF Phase IV, Sector 28, Gurugram, Haryana 122022</t>
  </si>
  <si>
    <t>Highway Xpress (Jaipur-Delhi) DC charging station</t>
  </si>
  <si>
    <t>Rajasthan</t>
  </si>
  <si>
    <t>Behror</t>
  </si>
  <si>
    <t>Jaipur to Delhi Road, Behror Midway, Behror, Rajasthan 301701</t>
  </si>
  <si>
    <t>Food Carnival DC Charging Station</t>
  </si>
  <si>
    <t>Uttar Pradesh</t>
  </si>
  <si>
    <t>Khatauli</t>
  </si>
  <si>
    <t>Fun and Food Carnival, NH 58, Khatauli Bypass, Bhainsi, Uttar Pradesh 251201</t>
  </si>
  <si>
    <t>Food Carnival AC Charging Station</t>
  </si>
  <si>
    <t>NH 58, Khatauli Bypass, Bhainsi, Uttar Pradesh 251201</t>
  </si>
  <si>
    <t xml:space="preserve">Krishna Hansraj Hotel Una DC charging station </t>
  </si>
  <si>
    <t>Himachal Pradesh</t>
  </si>
  <si>
    <t>Una</t>
  </si>
  <si>
    <t>Old Hoshiarpur Rd, Una, Himachal Pradesh 174303</t>
  </si>
  <si>
    <t>SG Jabli DC Charging Station</t>
  </si>
  <si>
    <t>Kasauli</t>
  </si>
  <si>
    <t>VPO - Jabli, NH-22, Teh, Kasauli, Himachal Pradesh</t>
  </si>
  <si>
    <t>SG Jabli  AC Charging Station</t>
  </si>
  <si>
    <t>SG Karnal DC Charging Station</t>
  </si>
  <si>
    <t>Karnal</t>
  </si>
  <si>
    <t>131 km Milestone, G. T, GT Karnal Rd, near Karna Lake, Karnal, Haryana 132001</t>
  </si>
  <si>
    <t>SG Karnal AC Charging Station</t>
  </si>
  <si>
    <t>Neelkanth Star AC charging  station</t>
  </si>
  <si>
    <t>karnal</t>
  </si>
  <si>
    <t>Deep Brothers IOCL AC Charging Station</t>
  </si>
  <si>
    <t>Darbaripur</t>
  </si>
  <si>
    <t>Deep Brothers, Palra Road, Darbaripur</t>
  </si>
  <si>
    <t>Synergy Solutions AC Charging Station 2</t>
  </si>
  <si>
    <t>Maharashtra</t>
  </si>
  <si>
    <t>Pune</t>
  </si>
  <si>
    <t>Synergy Solutions, Shop No 9 , Modak Prasad, 410, Narayan Peth,Pune</t>
  </si>
  <si>
    <t>IOCL Rajokri Station</t>
  </si>
  <si>
    <t>Delhi</t>
  </si>
  <si>
    <t>New Delhi</t>
  </si>
  <si>
    <t>NH 8 Exit 4, Samalka, New Delhi, Delhi 110037</t>
  </si>
  <si>
    <t>VEEV A2B Kallar</t>
  </si>
  <si>
    <t>Tamil Nadu</t>
  </si>
  <si>
    <t>Mettupalayam</t>
  </si>
  <si>
    <t>A2B, Kallar Road, Mettupalayam, Tamil Nadu</t>
  </si>
  <si>
    <t>VEEV Sathya Nursery</t>
  </si>
  <si>
    <t>Kallar, Mettupalayam, Tamil Nadu</t>
  </si>
  <si>
    <t>IOCL Nehru Nagar Station</t>
  </si>
  <si>
    <t>10-C, Nehru Nagar, Ring Rd, near Lajpat Nagar, New Delhi, Delhi 110065</t>
  </si>
  <si>
    <t>IOCL Mathura Road</t>
  </si>
  <si>
    <t>No A12, Mathura Rd, near Telephone Exchange, Friends Colony East, New Delhi, Delhi 110025</t>
  </si>
  <si>
    <t>IOCL Chahar AC Charging Station</t>
  </si>
  <si>
    <t>Basai Rd, Vikas Nagar, Sector 9, Gurugram, Haryana 122018</t>
  </si>
  <si>
    <t>Kothari Enterprises  AC1</t>
  </si>
  <si>
    <t>Khopoli</t>
  </si>
  <si>
    <t>Kothari Brothers, Laxminagar, Khopoli, Maharashtra 410203</t>
  </si>
  <si>
    <t>Windlass River Valley AC Charging Station</t>
  </si>
  <si>
    <t>Uttarakhand</t>
  </si>
  <si>
    <t>Dehradun</t>
  </si>
  <si>
    <t>Windlass River Valley, Harrawala/Kuanwala, Haridwar Road, NH-72, Dehradun, Uttarakhand 248005</t>
  </si>
  <si>
    <t>Mindra Polar International AC Station</t>
  </si>
  <si>
    <t>Gujarat</t>
  </si>
  <si>
    <t>Ahmedabad</t>
  </si>
  <si>
    <t>Rahul Tower, 4,Vraj Vihar -6 B/H, Prernatirth Derasar Rd, Satellite, Ahmedabad, Gujarat 380015</t>
  </si>
  <si>
    <t>Lonavla Wax Museum DC Charging Station</t>
  </si>
  <si>
    <t>Lonavla</t>
  </si>
  <si>
    <t>69/1 near Lonavla College, opp. neeta volvo, Valvan, Lonavla, Maharashtra 410403 M-9766666469</t>
  </si>
  <si>
    <t>Heritage City AC Charging Station</t>
  </si>
  <si>
    <t>Heritage City 581-600 Flats, Heritage City, Sector 25, Gurugram, Haryana 122022</t>
  </si>
  <si>
    <t>Hotel Fairmont Jaipur AC Station</t>
  </si>
  <si>
    <t>Kukas</t>
  </si>
  <si>
    <t>Hotel Fairmont Jaipur, Riico, 2, Jaipur Engineering College Rd, Kukas, Rajasthan 302028</t>
  </si>
  <si>
    <t>The Westin Pushkar AC Charger</t>
  </si>
  <si>
    <t>Pushkar</t>
  </si>
  <si>
    <t>The Westin Pushkar Resort &amp; Spa, Khasra No. 1242 1243, 1196/1726, Village Surajkund, Motisar Rd, Pushkar, Rajasthan 305022</t>
  </si>
  <si>
    <t>WeWork Circle Demo</t>
  </si>
  <si>
    <t>4th Floor, The Galaxy Hotel, Behind 32nd Milestone Off NH 8, Sector 15, Gurugram, Haryana 122001</t>
  </si>
  <si>
    <t>Karma Lakelands AC Charger</t>
  </si>
  <si>
    <t>Karma Lakeland, NH-8, Sector 80, Gurugram, Haryana 122002</t>
  </si>
  <si>
    <t>Statiq RnD Centre AC Charging Station</t>
  </si>
  <si>
    <t>Gurgaon</t>
  </si>
  <si>
    <t>Statiq RnD Centre, Plot 80A, Phase V, Udyog Vihar, Sector 19, Gurugram, Haryana 122017</t>
  </si>
  <si>
    <t>JMD Gardens</t>
  </si>
  <si>
    <t>Unnamed Road, Sector 33, Gurugram, Haryana 122018</t>
  </si>
  <si>
    <t>Mindra Crispy Culture AC Charging Station</t>
  </si>
  <si>
    <t>Narayan Nagar Society, Narayan Nagar, Ahmedabad, Gujarat 380007</t>
  </si>
  <si>
    <t>IOCL Dhaula Kuan Charging Station</t>
  </si>
  <si>
    <t>Ring Rd, opposite Gurudwara, Smriti Vatika, North West Moti Bagh, New Delhi, Delhi 110021</t>
  </si>
  <si>
    <t>Tellus Power DC Charging Station</t>
  </si>
  <si>
    <t>AH47, Maharashtra 415406</t>
  </si>
  <si>
    <t>RSTV Charging Hub Meerut</t>
  </si>
  <si>
    <t>Meerut</t>
  </si>
  <si>
    <t>Meerut, Uttar Pradesh 250001</t>
  </si>
  <si>
    <t>Synergy Solutions AC Charging Station 1</t>
  </si>
  <si>
    <t>office 9. Modak Prasad ,Oppo Rastrabhasha Bhavan</t>
  </si>
  <si>
    <t>Inspacco Circle Station</t>
  </si>
  <si>
    <t>Shreenath Society, Veerbhadra Nagar, Baner, Pune, Maharashtra 411045</t>
  </si>
  <si>
    <t>Circle Test Station Goa</t>
  </si>
  <si>
    <t>Goa</t>
  </si>
  <si>
    <t>Isidorio Baptista Rd, Pajifond, Margao, Goa 403601</t>
  </si>
  <si>
    <t>Mindra D S Fasteners Charging Station</t>
  </si>
  <si>
    <t>National Highway 27 (8B), Opp. 80 ft. Road End, Opp. K.S. Diesels, Rajkot-360 003, Gujarat, India</t>
  </si>
  <si>
    <t>HP Mira Bhayandar DC Charging Station</t>
  </si>
  <si>
    <t>Mira Bhayandar</t>
  </si>
  <si>
    <t>NH-8, Mashachapada, Mira Road, Mira Bhayandar, Maharashtra</t>
  </si>
  <si>
    <t>HP Pitam Pura DC Charging Station</t>
  </si>
  <si>
    <t>HP PETROL PUMP - AUTO CARE CENTRE PITAM PURA, Pitampura, Delhi, India</t>
  </si>
  <si>
    <t>HPCL Yapral DC Charging Station</t>
  </si>
  <si>
    <t>Telangana</t>
  </si>
  <si>
    <t>Secunderabad</t>
  </si>
  <si>
    <t>Hindustan Petroleum Corporation Limited, Jai Jawahar Nagar, Yapral, Secunderabad, Telangana, India</t>
  </si>
  <si>
    <t>HP Super Service DC Charging Station</t>
  </si>
  <si>
    <t>Mumbai</t>
  </si>
  <si>
    <t>157, Jeevan Bima Marg, Backbay Reclamation, Churchgate, Mumbai, Maharashtra 400020, India</t>
  </si>
  <si>
    <t>Vrundavan Garden DC Charging Station Nashik</t>
  </si>
  <si>
    <t>Dindori</t>
  </si>
  <si>
    <t>Vrundavan Garden, Nashik Dindori Road,Near Shiv Shakti Bharat Petrol pump,Rantale, Dindori, Maharashtra 422202</t>
  </si>
  <si>
    <t>Ganpati Petro DC Charging Station Hisar</t>
  </si>
  <si>
    <t>Sangli</t>
  </si>
  <si>
    <t>Ganpati Petro, Indian Oil Corporation, Opp. Vidut Nagar, Delhi Road, Industrial Area, Hisar, Haryana 125011</t>
  </si>
  <si>
    <t>Ganpati Petro AC Charging Station Hisar</t>
  </si>
  <si>
    <t>Ashnni Pilot Circle Station</t>
  </si>
  <si>
    <t>Gangaprasad, parshwanath colony, kuthe mala, dhamni road, Sangli, Maharashtra,  416416</t>
  </si>
  <si>
    <t>AMC AC Charging Station</t>
  </si>
  <si>
    <t>Marunji</t>
  </si>
  <si>
    <t>Phase 1, Hinjewadi Rajiv Gandhi Infotech Park, Hinjawadi, Pimpri-Chinchwad, Maharashtra 411057</t>
  </si>
  <si>
    <t>RSTV Saharanpur AC Charging Station</t>
  </si>
  <si>
    <t>Saharanpur</t>
  </si>
  <si>
    <t>Nanak Puram Colony, Pushpanjali Vihar, Numaish Camp, Saharanpur, Uttar Pradesh 247001</t>
  </si>
  <si>
    <t>Mindra EV Charger Shott</t>
  </si>
  <si>
    <t>Shela</t>
  </si>
  <si>
    <t>Shott, Sindhu Bhavan Marg, Opposite Saket-3, Next to SANKALP SQUARE, PRL Colony, Thaltej, Ahmedabad, Gujarat 380059</t>
  </si>
  <si>
    <t>Highway King Behror Delhi Side DC Charging Station</t>
  </si>
  <si>
    <t>Gajraula</t>
  </si>
  <si>
    <t>Highway King Behror, NH 8, 3 Kms from behror towards delhi, Behror, Rajasthan 301701</t>
  </si>
  <si>
    <t>Suket Cafe DC Charging Station Sundar Nagar</t>
  </si>
  <si>
    <t>Suket Cafe, Pungh, National Highway 21, Sundar Nagar, Himachal Pradesh 175018</t>
  </si>
  <si>
    <t>McDonald Gajraula DC Charging Station</t>
  </si>
  <si>
    <t>McDonald Gajraula, NH9-24 Salarpur, Dist, Gajraula, Uttar Pradesh 244235</t>
  </si>
  <si>
    <t>Rani Bagh Resort DC Charging Station</t>
  </si>
  <si>
    <t>Beawar Khas</t>
  </si>
  <si>
    <t>Rani Bagh Resort, N.H.8, By Pass Ajmer Road, Beawar, Rajasthan 305901</t>
  </si>
  <si>
    <t>Mke Rental Circle Station</t>
  </si>
  <si>
    <t>Karnataka</t>
  </si>
  <si>
    <t>Bengaluru</t>
  </si>
  <si>
    <t>Mke Rental Private Limited, NH4, Tumkur Road, next to Himalaya Drugs, Makali, Karnataka 560016</t>
  </si>
  <si>
    <t>Waterwoods Lodge &amp; Resort AC Charging Station</t>
  </si>
  <si>
    <t>Metikuppe</t>
  </si>
  <si>
    <t>19, Karapura, N.Belthur Post Office, HD Kote Taluk, Nagarhole National Park, Karnataka 571114</t>
  </si>
  <si>
    <t>Kohinoor Altissimo Residential Tower</t>
  </si>
  <si>
    <t>Kohinoor Altissimo Residential Tower, Kohinoor Altissimo, Kasaravadi, Dadar, Mumbai, Maharashtra 400028</t>
  </si>
  <si>
    <t>Hotel Pramila DC Charging Station Haridwar</t>
  </si>
  <si>
    <t>Haridwar</t>
  </si>
  <si>
    <t>Hotel Pramila, Near Vishwakarma Ghat, NH-58,Delhi Haridwar ByPass, Road, Haridwar, Uttarakhand 249407, Phone No 9310843937</t>
  </si>
  <si>
    <t>P G Regency Resort Charging Station</t>
  </si>
  <si>
    <t>Mahad</t>
  </si>
  <si>
    <t>PG Regency,Govind Garden,103/1B, Plot no.4, Mumbai Goa HighWay, Mahad-Raigad, Mahad, Maharashtra 402301 Ph no. 7039892236</t>
  </si>
  <si>
    <t>Suket Cafe AC Charging Station Sundar Nagar</t>
  </si>
  <si>
    <t>The Forum Fiza Mall AC Charging Station Mangalore</t>
  </si>
  <si>
    <t>Thane</t>
  </si>
  <si>
    <t>Basement parking (B1), The Forum Fiza Mall, Mangaladevi Temple Road, Pandeshwar, Mangalore - 575001</t>
  </si>
  <si>
    <t xml:space="preserve">MSHSD Gojer Service Charging Station    </t>
  </si>
  <si>
    <t>Bettadasanapura, Bengaluru, Karnataka 560100</t>
  </si>
  <si>
    <t>Evershine Mall Charging Station</t>
  </si>
  <si>
    <t>Chincholi Bunder Road, New Link Rd, Malad West, Mumbai, Maharashtra 400064</t>
  </si>
  <si>
    <t>HP Loyal Pump and Pantry Fuel Charging Station</t>
  </si>
  <si>
    <t>42-601, SP NAGAR, ECIL Main Rd, SSS Tower, MJ Colony, Moula Ali, Secunderabad, Telangana 500040</t>
  </si>
  <si>
    <t>Hotel Reddison Square Katra AC Charging Station</t>
  </si>
  <si>
    <t>Hotel Reddison Square, near shrine board central office, Katra, Jammu and Kashmir 182301, Phone No 9310843937</t>
  </si>
  <si>
    <t>Hotel Mount View International AC Charging Station</t>
  </si>
  <si>
    <t>Hount Mount View International, Jammu Rd, Vaishnodevi, Katra, Jammu and Kashmir 182301</t>
  </si>
  <si>
    <t>Hotel Dolphin AC Charging Station</t>
  </si>
  <si>
    <t>Hotel Dolphin, Railway Rd, Katra, Jammu and Kashmir 182301</t>
  </si>
  <si>
    <t>DMIPL EV Charging Station, Ludhiana</t>
  </si>
  <si>
    <t>Punjab</t>
  </si>
  <si>
    <t>Natt</t>
  </si>
  <si>
    <t>Dalbir Makkar India Pvt. Ltd., Ludhiana-Malerkotla Road, Opp. J K Resort, Rania, Ludhiana - 141122 (Punjab), Phone no 9814215411, 9316916147</t>
  </si>
  <si>
    <t>Z Charging Station</t>
  </si>
  <si>
    <t>Vadodara</t>
  </si>
  <si>
    <t>Sai Vihar, Abbas Tyabji Rd, Jayesh Colony, Fatehgunj, Vadodara, Gujarat 390002</t>
  </si>
  <si>
    <t>VEEV Brookfields</t>
  </si>
  <si>
    <t>Coimbatore</t>
  </si>
  <si>
    <t>67-71, Dr Krishnasamy Mudaliyar Rd, Ram Nagar, Coimbatore, Tamil Nadu 641001</t>
  </si>
  <si>
    <t>Lake Pleasant Cottage Charging Station</t>
  </si>
  <si>
    <t>Bhimtal</t>
  </si>
  <si>
    <t>Naukuchiyatal  Bhimtal, Near GD Goenka School 263136 - UK</t>
  </si>
  <si>
    <t>Nandavan DC Charging Station Nagoan</t>
  </si>
  <si>
    <t>Nagaon</t>
  </si>
  <si>
    <t>Nandavan, Mahajan Wadi, Near Bhimeshwar Mandir, At Post Nagaon, Taluka Alibag, Dist. Raigarh, Pin 402204, Phone no Kedar Bane, +919923724004, Prashant Mahajan - +919619174428</t>
  </si>
  <si>
    <t>Uniworld Garden Charging Station</t>
  </si>
  <si>
    <t>Plot No 1025, 2nd Floor, C block , sector 47, Haryana 122008</t>
  </si>
  <si>
    <t>Unnati Social Foundation</t>
  </si>
  <si>
    <t>Pimpri-Chinchwad</t>
  </si>
  <si>
    <t>Unnati Social Foundation Jarvari Society, Opposite PK International School, Pimple Saudagar, Pune</t>
  </si>
  <si>
    <t>HP PETROL PUMP - SAI PETROLEUM,MUMBAI</t>
  </si>
  <si>
    <t>Village Katai gao, Kalyan - Shilphata Rd, Dombivli East, Mumbai, Maharashtra 421203</t>
  </si>
  <si>
    <t>ShriSamarth DC Charging Station, Beed</t>
  </si>
  <si>
    <t>EV Charging Station, Near Mancott Jining Gevrai Road, NH 61, Phule Pimpalgaon, Maharashtra 431142</t>
  </si>
  <si>
    <t>CNV Enterprises - HP Petrol Pump</t>
  </si>
  <si>
    <t>No 65/20,Nallurahalli Siddapura main road,Nallurahalli main rd., Whitefield, Bengaluru,Karnataka-560066.</t>
  </si>
  <si>
    <t>Unity Mall Charging Station Vasai</t>
  </si>
  <si>
    <t>Vasai-Virar</t>
  </si>
  <si>
    <t>Unity Mall, Stella Road, next to Big Bazzar, Bhabola, Vasai West, Maharashtra 401201</t>
  </si>
  <si>
    <t>Advant IT Park DC Charging Station Noida</t>
  </si>
  <si>
    <t>Greater Noida</t>
  </si>
  <si>
    <t>Advant IT Park, Plot No. 7, Noida-Greater Noida Expy, Sector 142, Noida, Uttar Pradesh 201305</t>
  </si>
  <si>
    <t>Trimurtys Ariana AC Charging Station</t>
  </si>
  <si>
    <t>Jaipur</t>
  </si>
  <si>
    <t>Trimurtys Ariana, Khasara No 211-213, Sector 30, Ramnagaria, Tehsil, Sanganer, JDA Colony, Jagatpura, Jaipur, Rajasthan 302017</t>
  </si>
  <si>
    <t>Nandi Park Apartments</t>
  </si>
  <si>
    <t>Nandi Park Apartments Gottigere, Bengaluru, Bangalo Karnataka, Indiare, Bangalore, Karnu0101taka</t>
  </si>
  <si>
    <t>Crowne Plaza Jaipur</t>
  </si>
  <si>
    <t xml:space="preserve">Plot No SP 1, Sitapura Industrial Area, Tonk Road, Jaipur, Rajasthan, 302022 </t>
  </si>
  <si>
    <t>Pendse Garage AC Charging Station</t>
  </si>
  <si>
    <t>Nashik</t>
  </si>
  <si>
    <t>Pendse Garage, At post diveagar tal Shriwardhan dist raigad 402404 Phone: 9423837934</t>
  </si>
  <si>
    <t>Hans Resort DC Charging Station Rewari</t>
  </si>
  <si>
    <t>Hans Resort, 91 Milestone, Delhi-Jaipur Highway, near Kasola Chowk, Rewari, Haryana 123401</t>
  </si>
  <si>
    <t>Saviruchi Veg DC Charging Station Mysore</t>
  </si>
  <si>
    <t>Saviruchi Veg, Sri Venkateshwara Arcade, Malavalli, Karnataka 571430</t>
  </si>
  <si>
    <t>ElectriVA Test Station</t>
  </si>
  <si>
    <t>3409/1, 3rd Floor, Desh Bandhu Gupta Rd, Karol Bagh, New Delhi-110005</t>
  </si>
  <si>
    <t>Sarode Motors Ac EV Charging Station Nashik</t>
  </si>
  <si>
    <t>Sarode Motors | Joy eBike, Shop No.01, Beside of Hotel Happy Foods, Sarode Motors, nearby Balbharati, Lekha Nagar, Nashik, Maharashtra 422010</t>
  </si>
  <si>
    <t>The Nile AdPod</t>
  </si>
  <si>
    <t>The Nile, Sohna, Gurgaon - Delhi Expy, Rosewood City, Ghasola, Sector 49, Gurugram, Haryana 122018</t>
  </si>
  <si>
    <t>Hotel Daulat Nikol Fast Charging Station</t>
  </si>
  <si>
    <t>Hotel Daulat Food Mall, Mumbai Agra Highway, Shirwade (Vani) Tal: Niphad, Dist: Nashik</t>
  </si>
  <si>
    <t>New Udaan Bhawan AdPod 1</t>
  </si>
  <si>
    <t>Indira Gandhi International Airport</t>
  </si>
  <si>
    <t>New Udaan Bhawan AdPod 2</t>
  </si>
  <si>
    <t>TDPL EV Charging Station 1</t>
  </si>
  <si>
    <t>Hotel The Executive Inn AC Charging Station</t>
  </si>
  <si>
    <t>Shirdi</t>
  </si>
  <si>
    <t>Hotel Bliss County DC Charging Station</t>
  </si>
  <si>
    <t>Dhule</t>
  </si>
  <si>
    <t>Savoy Suites Manesar</t>
  </si>
  <si>
    <t>MV EV DC Charging Station</t>
  </si>
  <si>
    <t>Dahanu</t>
  </si>
  <si>
    <t>Jamoliwala AC Charging Station</t>
  </si>
  <si>
    <t>TDPL EV Charging Station 2</t>
  </si>
  <si>
    <t>Bhajan Singh Da Dhabha DC Charging Station</t>
  </si>
  <si>
    <t>Talegaon Dabhade</t>
  </si>
  <si>
    <t>Hotel Prabhat Palace DC Charging Station</t>
  </si>
  <si>
    <t>Jammu and Kashmir</t>
  </si>
  <si>
    <t>Katra</t>
  </si>
  <si>
    <t>TSREDCO Test Charging Station</t>
  </si>
  <si>
    <t>HYDERBAD</t>
  </si>
  <si>
    <t>TSREDCO Test Charging Station 1</t>
  </si>
  <si>
    <t>Mehak Garden Charging Station</t>
  </si>
  <si>
    <t>Sirsa</t>
  </si>
  <si>
    <t>Savoy Suites Noida</t>
  </si>
  <si>
    <t>Noida</t>
  </si>
  <si>
    <t>Savoy Suites Greater Noida</t>
  </si>
  <si>
    <t>Hotel Highway King Shahpura DC Charging Station</t>
  </si>
  <si>
    <t>Shahpura</t>
  </si>
  <si>
    <t>Aman Hotel Kurukshetra DC Charging Station</t>
  </si>
  <si>
    <t>Shabhad</t>
  </si>
  <si>
    <t>Evershine Tower Jaipur DC Charging Station</t>
  </si>
  <si>
    <t>Hotel Shree Veg Solapur DC Charging Station</t>
  </si>
  <si>
    <t>Bhadalwadi</t>
  </si>
  <si>
    <t>Subway Alwar DC Charging Station</t>
  </si>
  <si>
    <t>Alwar</t>
  </si>
  <si>
    <t>Asli Pappu Dhaba Kosi Kalan DC Charging Station</t>
  </si>
  <si>
    <t>Kosi Kalan</t>
  </si>
  <si>
    <t>140% Veg Gulshan Dhaba Kotwan DC Charging Station</t>
  </si>
  <si>
    <t>Kotwan</t>
  </si>
  <si>
    <t>Synrgy Ebikes Charging Station</t>
  </si>
  <si>
    <t>ChargePit eMobility Charging Station</t>
  </si>
  <si>
    <t>MESCOM Shivamogga Charging Station 1</t>
  </si>
  <si>
    <t>Shivamogga</t>
  </si>
  <si>
    <t>MESCOM Mudigere Charging Station</t>
  </si>
  <si>
    <t>Karadagodu</t>
  </si>
  <si>
    <t>Karkala Charging Station</t>
  </si>
  <si>
    <t>Karkala</t>
  </si>
  <si>
    <t>MESCOM Surathkal Charging Station</t>
  </si>
  <si>
    <t>Surathkal</t>
  </si>
  <si>
    <t>Kaup Charging Station</t>
  </si>
  <si>
    <t>Kaup</t>
  </si>
  <si>
    <t>Bramavara Charging Station</t>
  </si>
  <si>
    <t>Bramavara</t>
  </si>
  <si>
    <t>Kundapura Charging Station</t>
  </si>
  <si>
    <t>Kundapura</t>
  </si>
  <si>
    <t>Manipal Charging Station</t>
  </si>
  <si>
    <t>Manipal</t>
  </si>
  <si>
    <t>MESCOM Aldur Charging Station</t>
  </si>
  <si>
    <t>Chikkamagaluru</t>
  </si>
  <si>
    <t>Statiq RnD Centre DC Charging Station</t>
  </si>
  <si>
    <t>Park Plaza Gurgaon DC Charging Station</t>
  </si>
  <si>
    <t>PADMASHREE Charging Station</t>
  </si>
  <si>
    <t>Mudbidri</t>
  </si>
  <si>
    <t>Monsoon Breeze AdPod</t>
  </si>
  <si>
    <t>Decathlon Anubhava</t>
  </si>
  <si>
    <t>bengaluru</t>
  </si>
  <si>
    <t>Survey No 78/10, A2, Bellary Road, Bangalore Airport Road, Chikkajala,</t>
  </si>
  <si>
    <t>Forum Shantiniketan</t>
  </si>
  <si>
    <t xml:space="preserve">Whitefield Main Road, Hoodi, Thigalarapalya, Krishnarajapura, Bengaluru, Karnataka </t>
  </si>
  <si>
    <t>Park Square Mall</t>
  </si>
  <si>
    <t>UB1 Parking.40, ITPB Main Road, International Tech Park, Whitefield Main Rd, Pattandur Agrahara, Whitefield, Bengaluru, Karnataka 560066</t>
  </si>
  <si>
    <t>GT World Mall</t>
  </si>
  <si>
    <t>Magadi Main Rd, next to Prasanna Theatre, Cholourpalya, Bengaluru, Karnataka 560023</t>
  </si>
  <si>
    <t>Orion Mall</t>
  </si>
  <si>
    <t>Dr Rajkumar Road, Rajajinagar,</t>
  </si>
  <si>
    <t>Phoenix Market City</t>
  </si>
  <si>
    <t>pune</t>
  </si>
  <si>
    <t>S No 207, Viman Nagar Road, Phoenix Road, Viman Nagar, Pune, Maharashtra</t>
  </si>
  <si>
    <t>Odisha</t>
  </si>
  <si>
    <t>Whitefield Main Road, Mahadevpura, Bengaluru, Karnataka 560048</t>
  </si>
  <si>
    <t>Patel's Inn</t>
  </si>
  <si>
    <t xml:space="preserve">No 1, 15th Cross, 2nd Block, Govindaraj Garden, R.T Nagar, </t>
  </si>
  <si>
    <t>Coco Jaunt 1728 - Anna Nagar</t>
  </si>
  <si>
    <t>Pondicherry</t>
  </si>
  <si>
    <t>chennai</t>
  </si>
  <si>
    <t xml:space="preserve"> t-2, 4th Main Rd, Anna Nagar West, Anna Nagar, Chennai, Tamil Nadu 600040</t>
  </si>
  <si>
    <t>Infinitea</t>
  </si>
  <si>
    <t>6,ESI Hospital Road HAL 2nd Stage, 100 feet road, Indiranagar, Doopanahalli, Bengaluru, Karnataka</t>
  </si>
  <si>
    <t>The Only Place</t>
  </si>
  <si>
    <t>Siddam Setty Complex, Museum Rd, Next To, Shanthala Nagar, Ashok Nagar, Bengaluru, Karnataka 560001</t>
  </si>
  <si>
    <t>Fab Cafe</t>
  </si>
  <si>
    <t>915, Kenchena Halli Rd, Remco Bhel Layout, Kenchenhalli, RR Nagar,560098</t>
  </si>
  <si>
    <t>The Moonshine Project restaurant Jubilee Hills</t>
  </si>
  <si>
    <t>hyderabad</t>
  </si>
  <si>
    <t xml:space="preserve">385, Road Number 82, Film Nagar, Jubilee Hills, </t>
  </si>
  <si>
    <t>Almond House Banjara Hills</t>
  </si>
  <si>
    <t>TamilNadu</t>
  </si>
  <si>
    <t xml:space="preserve">8-2-350/3/1, Next to Meena Bazar, Rd Number 3, Panchavati Society Colony, AK Enclave, Green Valley, Banjara Hills, Hyderabad, Telangana </t>
  </si>
  <si>
    <t>Go Native</t>
  </si>
  <si>
    <t>#64, 10th Main Rd, 4th Block, 5th Block, Jayanagar, Bengaluru, Karnataka 560041</t>
  </si>
  <si>
    <t>TORQ92</t>
  </si>
  <si>
    <t>15, 5th Cross Road, Shantivana, Next to Sterling Park Apts, Kodigehalli Main Road, Sahakara Nagar, Bengaluru</t>
  </si>
  <si>
    <t>AtherSpace Indiranagar</t>
  </si>
  <si>
    <t>53, - 3rd main, 100th Feet Road, Defence Colony, Indira Nagar</t>
  </si>
  <si>
    <t>Royal Airavatha</t>
  </si>
  <si>
    <t xml:space="preserve"> #749/1, Near R V Engineering College</t>
  </si>
  <si>
    <t>Kriyates - Thoraipakkam</t>
  </si>
  <si>
    <t>No.361,Omr Escapade, Mada Koil Street, Okkiam, Thoraipakkam, Vivekananda Nagar, Thoraipakkam, Chennai, Tamil Nadu 600097</t>
  </si>
  <si>
    <t>Phoenix Market City - Velachery</t>
  </si>
  <si>
    <t>142, Velachery Rd Indira Gandhi Nagar, Velachery Chennai, Tamil Nadu 600042</t>
  </si>
  <si>
    <t>Forum Vijaya Mall - Vadapalani</t>
  </si>
  <si>
    <t xml:space="preserve"> B1 Basement, No. 183, Arcot Road, NSK Salai, Vadapalani, Chennai, Tamil Nadu 600026</t>
  </si>
  <si>
    <t>Ampa Skywalk</t>
  </si>
  <si>
    <t>No:1, Nelson Manickam Road, 627, Poonamalee High Road, Aminjikara</t>
  </si>
  <si>
    <t>AtWorks - Guindy</t>
  </si>
  <si>
    <t xml:space="preserve">39, North Parade Road, Chakrapani Colony, St Thomas Mount, Chennai, Tamil Nadu </t>
  </si>
  <si>
    <t>Cafe Azzure</t>
  </si>
  <si>
    <t>Uttrakhand</t>
  </si>
  <si>
    <t>No 315, CMR Road, 3rd Block, HRBR Layout, Kalyan Nagar,</t>
  </si>
  <si>
    <t>Almond House Kukatpally</t>
  </si>
  <si>
    <t>WestBengal</t>
  </si>
  <si>
    <t>490, JNTU - Hitech City Road, K P H B Phase 3, Kukatpally, Hyderabad, Telangana</t>
  </si>
  <si>
    <t>Sarath City Capital Mall</t>
  </si>
  <si>
    <t>Harayana</t>
  </si>
  <si>
    <t xml:space="preserve">Capital Mall, GF-070 &amp; 071, Sarath City, Gachibowli - Miyapur Rd, Forest Dept Colony, Kondapur, Hyderabad, Telangana </t>
  </si>
  <si>
    <t>Atherspace Chennai</t>
  </si>
  <si>
    <t>Chandigarh</t>
  </si>
  <si>
    <t>No.153, Wallace Garden 2nd St, Thousand Lights West, Nungambakkam, Chennai, Tamil Nadu 600006</t>
  </si>
  <si>
    <t>Athergrid CP</t>
  </si>
  <si>
    <t>delhi</t>
  </si>
  <si>
    <t>A 221 road no 6, D Block, Connaught Place, New Delhi, 110037</t>
  </si>
  <si>
    <t>The Bangalore Bakery</t>
  </si>
  <si>
    <t xml:space="preserve">No 30, Ground Floor, 1st Cross Road, Malleshwaram, </t>
  </si>
  <si>
    <t>Almond House SD Road</t>
  </si>
  <si>
    <t>9-1-109/1B, Regimental Bazaar, Shivaji Nagar,</t>
  </si>
  <si>
    <t>Chai Kahani - Sainikpuri</t>
  </si>
  <si>
    <t>Hyderabadu00a0</t>
  </si>
  <si>
    <t>colony, 1st Cross Vayupuri, Verka Residency, Vayupuri, Sainikpuri</t>
  </si>
  <si>
    <t>Swiss Castle, Vidyanagar</t>
  </si>
  <si>
    <t>2-1-565/F/4, Nallakunta Main Rd, Vidya Nagar, Adikmet, Hyderabad</t>
  </si>
  <si>
    <t>Bliss Bakery &amp; Cafe</t>
  </si>
  <si>
    <t xml:space="preserve">Narayan Tower, near, Narayan Annaji Shinde Rd, Salunkhe Vihar Society, Kondhwa, Pune, Maharashtra </t>
  </si>
  <si>
    <t>Flip Side</t>
  </si>
  <si>
    <t>ISB Rd, Financial District, Nanakramguda, Hyderabad, Telangana</t>
  </si>
  <si>
    <t>Taj Mahal Hotel</t>
  </si>
  <si>
    <t>5-9-502, Gun Foundry Street Number 1, Gun Foundry, Abids</t>
  </si>
  <si>
    <t>Sai Menaka Commercial Complex</t>
  </si>
  <si>
    <t>1599/01, BB Main Road, Nehru Nagar, Next to Old Postoffice, Old Town, Yelahanka</t>
  </si>
  <si>
    <t>IDC Kitchen</t>
  </si>
  <si>
    <t>No 67, 80 Feet Road, KGEHBS Layout, Devasandra, RMV 2nd Stage, Armane Nagar,</t>
  </si>
  <si>
    <t>Kalinga Veg Gourmet Kitchen</t>
  </si>
  <si>
    <t>Kerala</t>
  </si>
  <si>
    <t xml:space="preserve">1st - 3rd Floor, House of Nosh, CTS 1365, Gulawani Maharaj Road, Swaroop Society, Vakil Nagar, Erandwane, Pune, Maharashtra </t>
  </si>
  <si>
    <t>CopaCabana</t>
  </si>
  <si>
    <t>Near, Aundh-Wakad Road, Jagtap Dairy Rd, Vishal Nagar, Pune, Maharashtra 411027</t>
  </si>
  <si>
    <t>TamTree</t>
  </si>
  <si>
    <t>AndhraPradesh</t>
  </si>
  <si>
    <t xml:space="preserve">Shop No.5, Pragati Bhavan, Behind Natural Ice Cream shop, Ghole Rd, near Bal Gandharva Chowk, Shivajinagar, Pune, Maharashtra </t>
  </si>
  <si>
    <t>KB's Woodlands</t>
  </si>
  <si>
    <t>TamiNadu</t>
  </si>
  <si>
    <t>B J Road Railway Station, Sadhu Vaswani Rd, near Pune, Maharashtra,Sadhu Vaswani Chowk</t>
  </si>
  <si>
    <t>Sangeetha Mobiles, Chandra Layout</t>
  </si>
  <si>
    <t>Shop #89/A, G Floor, 9th Cross Rd, Chandra Layout</t>
  </si>
  <si>
    <t>SPR CHENNAI FOOD COURT</t>
  </si>
  <si>
    <t>OLD NO: 76 , NEW NO: 112, VANAGARAM, Poonamallee High Rd, Chennai, Tamil Nadu 600095</t>
  </si>
  <si>
    <t>VMR Squares</t>
  </si>
  <si>
    <t>No. 5 &amp; 6 Next to Tollgate, 200 Feet Radial Rd, Oggiyamduraipakkam, Tamil Nadu</t>
  </si>
  <si>
    <t>Chai Kings, Porur</t>
  </si>
  <si>
    <t>No - 1/128 Ground Floor, Truck Road Iyyappanthangal, Porur</t>
  </si>
  <si>
    <t>Ather Space Hyderabad</t>
  </si>
  <si>
    <t>Jharkhand</t>
  </si>
  <si>
    <t>Plot no. 1 &amp; 2, Survey No - 64P, Rohini Layout Opp Shilparamam, Hitech City, Madhapur</t>
  </si>
  <si>
    <t>M's Street</t>
  </si>
  <si>
    <t>N0, 396/1, Mambakkam - Medavakkam Main Rd, Munusamy Nagar, Vimala Nagar, Medavakkam</t>
  </si>
  <si>
    <t>Noma Talkies</t>
  </si>
  <si>
    <t>3-4-99, Nacharam - Mallapur Rd, May Flower Hights, Vivekananda Nagar, Mallapur, Secunderabad, Telangana</t>
  </si>
  <si>
    <t>Regenta Central Antarim</t>
  </si>
  <si>
    <t>ahmedabad</t>
  </si>
  <si>
    <t xml:space="preserve">Between Girish Coldrink and Xaviers Corner, Chimanlal Girdharlal Rd, Navrangpura, Ahmedabad, Gujarat </t>
  </si>
  <si>
    <t>French toast, Panampilly Nagar</t>
  </si>
  <si>
    <t>kochi</t>
  </si>
  <si>
    <t>8th Cross, Street B, Ambikapuram Rd, Panampilly Nagar, Ernakulam, Kerala</t>
  </si>
  <si>
    <t>French Toast, Kacheripady</t>
  </si>
  <si>
    <t>Bihar</t>
  </si>
  <si>
    <t xml:space="preserve">Chittoor Rd, near Westend Eye Hospital, Kacheripady, Kochi, Kerala </t>
  </si>
  <si>
    <t>Centre square mall</t>
  </si>
  <si>
    <t xml:space="preserve">40/6972, Mahatma Gandhi Rd, Rajaji Junction, Kochi, Kerala </t>
  </si>
  <si>
    <t>The Food Drama</t>
  </si>
  <si>
    <t>Besides Geetanjali Party Plot, near sterling cancer hospital Sindhu bhawan road Bodakdev, Ahmedabad, Bodakdev, West, Thaltej, Ahmedabad, Gujarat</t>
  </si>
  <si>
    <t>Tea Post - The Desi Cafe</t>
  </si>
  <si>
    <t>Nr. Taj Lane Hotel, Sankalp Square Lane Nr. S. P. Ring Road, Sindhu Bhavan Marg, Road, Ahmedabad, Gujarat</t>
  </si>
  <si>
    <t>Smarttron Automations</t>
  </si>
  <si>
    <t>4th Floor, 1031, 24th Main Rd, 1st Sector, HSR Layout, Bengaluru</t>
  </si>
  <si>
    <t>Blue Tokai Coffee</t>
  </si>
  <si>
    <t>mumbai</t>
  </si>
  <si>
    <t>Unit 20-22, Laxmi Woollen Mill, Opposite Blue Loft, Dr E Moses Marg, Off, Shakti Mills Ln, Mahalakshmi, Mumbai</t>
  </si>
  <si>
    <t>VR Chennai</t>
  </si>
  <si>
    <t xml:space="preserve">Jawaharlal Nehru Rd, Thirumangalam, Anna Nagar, Chennai, Tamil Nadu </t>
  </si>
  <si>
    <t>DSL Virtue Mall</t>
  </si>
  <si>
    <t xml:space="preserve">Near Rajiv Gandhi International Cricket Stadium, Survey Colony, Industrial Development Area, Uppal, Hyderabad, Telangana </t>
  </si>
  <si>
    <t>Jogo Infinite</t>
  </si>
  <si>
    <t>Louis Line, 3869a, Pandit Karuppan Rd, Perumanoor</t>
  </si>
  <si>
    <t>Sixth Avenue Cafe</t>
  </si>
  <si>
    <t>calicut</t>
  </si>
  <si>
    <t xml:space="preserve">Ground Floor Baby Arcade, PT Usha Rd, near GatewayHotel, Kozhikode, Kerala </t>
  </si>
  <si>
    <t>Dr. Cafe</t>
  </si>
  <si>
    <t xml:space="preserve">Kozhikode - Mavoor - Areacode Rd, Near Hindustan Petroleum, Velliparamba, Kozhikode, Kerala </t>
  </si>
  <si>
    <t>Cafe Kathaa</t>
  </si>
  <si>
    <t>Unnamed Road, Fergusson college campus Rd, Shivajinagar, Pune, Maharashtra 411004</t>
  </si>
  <si>
    <t>Kumaran Silks, T Nagar</t>
  </si>
  <si>
    <t>12, Nageswaran Road, Parthasarathi Puram, T. Nagar</t>
  </si>
  <si>
    <t>Subway Aundh</t>
  </si>
  <si>
    <t>1 Samar Paradise, DP Rd, Aundh, Pune, Maharashtra 411007</t>
  </si>
  <si>
    <t>Chai Kings, Sai baba colony</t>
  </si>
  <si>
    <t>coimbatore</t>
  </si>
  <si>
    <t xml:space="preserve">No. 546 and 567, NSR Rd, Saibaba Colony, Tamil Nadu </t>
  </si>
  <si>
    <t>Adani Shantigram</t>
  </si>
  <si>
    <t>Adani Shantigram, Gujarat 382421</t>
  </si>
  <si>
    <t>Mugs And Brews - Cafu00e9 Restaurant</t>
  </si>
  <si>
    <t>23A Thudiyalur Road Sivasakthi Nagar, Saravanampatti</t>
  </si>
  <si>
    <t xml:space="preserve">1944 The Hocco Kitchen, Vaishnodevi </t>
  </si>
  <si>
    <t xml:space="preserve">Vaishnodevi Cir, Ahmedabad, Gujarat </t>
  </si>
  <si>
    <t>Benjamin Bangalee</t>
  </si>
  <si>
    <t>kolkata</t>
  </si>
  <si>
    <t xml:space="preserve">P/122, James Long Sarani, Majhipara, Kolkata, West Bengal </t>
  </si>
  <si>
    <t>Richy Rich - Race course</t>
  </si>
  <si>
    <t xml:space="preserve">Race Course Rd, Near Park, Race Course, Coimbatore, Tamil Nadu </t>
  </si>
  <si>
    <t>Suba International</t>
  </si>
  <si>
    <t>West Bengal</t>
  </si>
  <si>
    <t>Plot No. 211, Chakala, Sahar Rd, Opposite Cigarette Factory, Andheri East, Mumbai, Maharashtra</t>
  </si>
  <si>
    <t>MCGM Parking || Runwal Anthurium</t>
  </si>
  <si>
    <t>Runwal Anthurium Rd, opposite Veena Nagar, Vardhman Nagar, Mulund West</t>
  </si>
  <si>
    <t>DLF Chennai</t>
  </si>
  <si>
    <t>Mount Poonamallee Rd, Manapakkam</t>
  </si>
  <si>
    <t>Kabra Metro One</t>
  </si>
  <si>
    <t>14, JP Rd, Aram Nagar, Seven Bunglow, Andheri West</t>
  </si>
  <si>
    <t>Lumber Jack</t>
  </si>
  <si>
    <t>TechKaTech Innovation Hub, Karve road, Opp to Vandevi Temple, above Hotel Marathi Bana, Mavale Basti, Hingne Budrukh, Karve Nagar, Pune, Maharashtra ,Karve Nagar</t>
  </si>
  <si>
    <t>AtherSpace Pune</t>
  </si>
  <si>
    <t xml:space="preserve">805, Bhandarkar Rd, Below Kung Apartments, Deccan Gymkhana, Pune, Maharashtra </t>
  </si>
  <si>
    <t>OMAXE Gurgaon Mall</t>
  </si>
  <si>
    <t>gurugram</t>
  </si>
  <si>
    <t xml:space="preserve">71, Shanti St, Block S, Uppal Southend, Sector 49, Gurugram, Haryana </t>
  </si>
  <si>
    <t>MCGM Parking || Club Aquaria</t>
  </si>
  <si>
    <t>Devidas Lane, Shanti Ashram Borivali West, Near St.Lawrence High School, Mumbai, Maharashtra ,Borivali</t>
  </si>
  <si>
    <t>Focus Mall</t>
  </si>
  <si>
    <t>Rajaji Road, Calicut-  Kerala, India</t>
  </si>
  <si>
    <t>GM Cycle Parking Stand (Opp to sevai maiyyam)</t>
  </si>
  <si>
    <t xml:space="preserve">No 43/G, Station Road, Thirumalairajapuram, Avadi, Chennai, Tamil Nadu </t>
  </si>
  <si>
    <t>Grand Mall, Kochi</t>
  </si>
  <si>
    <t xml:space="preserve">Panvel - Kochi - Kanyakumari Hwy, Toll Junction, Edappally, Kochi, Kerala </t>
  </si>
  <si>
    <t>Hotel House Inn</t>
  </si>
  <si>
    <t>noida</t>
  </si>
  <si>
    <t xml:space="preserve">BS-100, Basai, Sector 70, Noida, Uttar Pradesh </t>
  </si>
  <si>
    <t>Kotak Mahindra Bank</t>
  </si>
  <si>
    <t>Jammu</t>
  </si>
  <si>
    <t>indore</t>
  </si>
  <si>
    <t xml:space="preserve">580, Mahatma Gandhi Rd, near Indraprastha Tower, Infront of, Race Course Road, Indore, Madhya Pradesh </t>
  </si>
  <si>
    <t>Dosa Magic</t>
  </si>
  <si>
    <t>147 B, Moon Palace Colony, Near Annapurna Police Station, Annapurna Road, Indore</t>
  </si>
  <si>
    <t>The blue roof Cafe</t>
  </si>
  <si>
    <t xml:space="preserve">236, Bhawarkua Main Rd, near Anand Super 100, Indrapuri Colony, Bhanwar Kuwa, Indore, Madhya Pradesh </t>
  </si>
  <si>
    <t>Oyo Townhouse 118</t>
  </si>
  <si>
    <t xml:space="preserve">20, Gagan Vihar, Krishna Nagar </t>
  </si>
  <si>
    <t>Oyo Townhouse 381</t>
  </si>
  <si>
    <t>D/59, New Seemapuri Rd, Pocket E, Dilshad Colony New Simapuri, Dilshad Garden</t>
  </si>
  <si>
    <t>Nukkad Tea Cafe</t>
  </si>
  <si>
    <t>Andhra Pradesh</t>
  </si>
  <si>
    <t>raipur</t>
  </si>
  <si>
    <t>75, Jalvihar Colony Rd, Civil Lines, Raipur, Chhattisgarh</t>
  </si>
  <si>
    <t xml:space="preserve">Aaranyam Restaurant &amp; Cafe </t>
  </si>
  <si>
    <t>Chhattisgarh</t>
  </si>
  <si>
    <t xml:space="preserve">near Vedanta Balco Medical Center, Sector 24, Nawagaon Parsatti, Naya Raipur, Chhattisgarh </t>
  </si>
  <si>
    <t>Ather Space Ahmedabad</t>
  </si>
  <si>
    <t xml:space="preserve">Shop No. 01, Ground floor, 3rd Eye Vision Opp. Shivalik Plaza, near AMA, Panjrapole CharRasta, Ahmedabad, Gujarat </t>
  </si>
  <si>
    <t>Cake Bee, Cantonment</t>
  </si>
  <si>
    <t>Madhya Pradesh</t>
  </si>
  <si>
    <t>tiruchirappalli</t>
  </si>
  <si>
    <t>3/A, Bharathidasan Salai, near Campion School, Cantonment, Tamil Nadu, Trichy</t>
  </si>
  <si>
    <t>Cake Bee, Singaram Nagar</t>
  </si>
  <si>
    <t>Ground Floor, No.7, Singaram Nagar, Kattur, Trichy Tamil Nadu, Trichy</t>
  </si>
  <si>
    <t>Aspire - Step Inn Sector 27</t>
  </si>
  <si>
    <t xml:space="preserve"> opposite Jan Pratinidhi Apartments, Sector 27, Gurugram, Haryana 122009</t>
  </si>
  <si>
    <t>Veg Aroma</t>
  </si>
  <si>
    <t>nashik</t>
  </si>
  <si>
    <t>Gangapur Rd, Kale Nagar, Viveka Nand Nagar, Anandvalli, Nashik, Maharashtra ,Gangapur Road</t>
  </si>
  <si>
    <t>The Cobble Street</t>
  </si>
  <si>
    <t xml:space="preserve">Gangapur-Savargaon Rd, Nashik, Maharashtra </t>
  </si>
  <si>
    <t>Brown Bites II</t>
  </si>
  <si>
    <t>jaipur</t>
  </si>
  <si>
    <t xml:space="preserve">B-42, Sarthi Marg, Bhan Nagar, Jaipur, Rajasthan </t>
  </si>
  <si>
    <t>Lodha Florenza</t>
  </si>
  <si>
    <t>On Western Express Highway, adjacent to Hub Mall, Cama Industrial Estate, Goregaon, Mumbai, Maharashtra ,Goregaon</t>
  </si>
  <si>
    <t>Ather Space, Coimbatore</t>
  </si>
  <si>
    <t xml:space="preserve">357, Patel Rd, Ram Nagar, Coimbatore, Tamil Nadu </t>
  </si>
  <si>
    <t>K Star Chembur</t>
  </si>
  <si>
    <t>VN Purav Marg Diamond Garden, Basant Garden, Chembur Mumbai, Maharashtra,Chembur</t>
  </si>
  <si>
    <t>IIT Madras (ICSR)</t>
  </si>
  <si>
    <t xml:space="preserve">Near Gajendra Circle, Opposite to Admin Building, Indian Institute Of Technology, Adyar, Chennai, Tamil Nadu </t>
  </si>
  <si>
    <t>Ather Space, Kochi</t>
  </si>
  <si>
    <t xml:space="preserve">Ponnurunni-Chalikkavattom Rd, Ponnurunni East, Ponnurunni, Vyttila, Ernakulam, Kerala </t>
  </si>
  <si>
    <t>Treehouse Queens Pearl</t>
  </si>
  <si>
    <t>SH 15A, Shanti Nagar, Shivaji Nagar, Sector 11, Gurugram, Haryana ,Gurgaon</t>
  </si>
  <si>
    <t>Kala Ghoda Cafe</t>
  </si>
  <si>
    <t xml:space="preserve">10, Rope Walk Ln, Kala Ghoda, Fort, Mumbai, Maharashtra </t>
  </si>
  <si>
    <t>UB City</t>
  </si>
  <si>
    <t>No 24, Vittal Mallya Road, KG Halli, D' Souza Layout, Ashok Nagar,</t>
  </si>
  <si>
    <t>Trichi Kaveri Foods Private Limited</t>
  </si>
  <si>
    <t>19, Main road, Annamalai Nagar</t>
  </si>
  <si>
    <t>Signature Mall</t>
  </si>
  <si>
    <t>ghaziabad</t>
  </si>
  <si>
    <t xml:space="preserve">Shop No. 2. Ground Floor Signature Street, G-Block, Govindpuram, Ghaziabad, Uttar Pradesh </t>
  </si>
  <si>
    <t xml:space="preserve"> Hotel Noida International</t>
  </si>
  <si>
    <t>Nagar Complex Noida Road Opposite Mercedes Showroom, Sector 11, Noida, Uttar Pradesh ,Noida</t>
  </si>
  <si>
    <t>Carnival Cinemas Imax</t>
  </si>
  <si>
    <t>Carnival Cinemas Imax, Anik Wadala Link Rd, Bhakti Park, Wadala, Mumbai, Maharashtra ,Worli</t>
  </si>
  <si>
    <t xml:space="preserve">Hotel Parktel </t>
  </si>
  <si>
    <t>Omaxe Plaza, 583, Vijay Laxmi Pandit Marg, Near, Shakti Khand 2, Indirapuram, Ghaziabad, Uttar Pradesh</t>
  </si>
  <si>
    <t>Ardas Televentures Pvt Ltd</t>
  </si>
  <si>
    <t>#147, Rathore Nagar, Amrapali Road, Vaishali Nagar</t>
  </si>
  <si>
    <t>Cue Campus</t>
  </si>
  <si>
    <t>hubli</t>
  </si>
  <si>
    <t>B 4 chetan complex opp kims main gate Vidhyagar, PB Rd, Vidya Nagar</t>
  </si>
  <si>
    <t>Sony Center Bellad and Company</t>
  </si>
  <si>
    <t>Sony Center, Lamington Rd, Deshpande Nagar, Hubli</t>
  </si>
  <si>
    <t>Bellad Towers</t>
  </si>
  <si>
    <t xml:space="preserve">Ground Floor Bannigida Stop, Gokul Rd </t>
  </si>
  <si>
    <t>Uma complex</t>
  </si>
  <si>
    <t>No 14, Professors colony extn, Indian airforce road, East Tambaram</t>
  </si>
  <si>
    <t>Coffee King, Adajan</t>
  </si>
  <si>
    <t>surat</t>
  </si>
  <si>
    <t xml:space="preserve">1,2. Abhinandan Heights, Nr.madhuvan circle, LP Savani Rd, Adajan Gam, Adajan, Surat, Gujarat </t>
  </si>
  <si>
    <t>Oyo Townhouse 278 Rohini</t>
  </si>
  <si>
    <t>6-A, Pocket 27, Sector-24, Rohini, Delhi, 110085, New Delhi, Delhi</t>
  </si>
  <si>
    <t>Ather Space Jaipur</t>
  </si>
  <si>
    <t>BL Tower, 2, Tonk Rd, near Sanghi Farm, Durgapura</t>
  </si>
  <si>
    <t>Ather Space, Lajpat Nagar</t>
  </si>
  <si>
    <t xml:space="preserve">A-32, Feroze Gandhi Rd, Lajpat Nagar II, Delhi </t>
  </si>
  <si>
    <t>HiLite Mall</t>
  </si>
  <si>
    <t xml:space="preserve">G1003, NH 66, Kozhikode Bypass, Poovangal, Kozhikode, Kerala </t>
  </si>
  <si>
    <t>Zozoz Pizzeria</t>
  </si>
  <si>
    <t xml:space="preserve">Rd Number 45, opposite Khazana, CBI Colony, Jubilee Hills, Hyderabad, Telangana </t>
  </si>
  <si>
    <t>Heart Cup Coffee, Gachibowli</t>
  </si>
  <si>
    <t xml:space="preserve">Old Mumbai Hwy, next to HP Petrol Pump (Venkatadri Fuel Point, FCI Employees Cooperative Housing Society, Indira Nagar, Gachibowli, Hyderabad, Telangana </t>
  </si>
  <si>
    <t>NAKSHATRA PURE VEG</t>
  </si>
  <si>
    <t>No.93, Bazaar Road, Madipakkam Main Rd, Ram Nagar South, Madipakkam</t>
  </si>
  <si>
    <t>Pepper &amp; Tarragon Club Caffe</t>
  </si>
  <si>
    <t xml:space="preserve">Opposite to Aparna Sarovar, Nalagandla, Telangana </t>
  </si>
  <si>
    <t>Ather Space, Trichy</t>
  </si>
  <si>
    <t>20/C113, 5th Cross, Thillai Nagar,Trichy - 620018</t>
  </si>
  <si>
    <t>Narahari Silk House</t>
  </si>
  <si>
    <t xml:space="preserve">18-6-828, Lal Darwaza Rd, Balagunj, Lal Darwaza South, Lal Darwaza, Hyderabad, Telangana </t>
  </si>
  <si>
    <t>VR Surat</t>
  </si>
  <si>
    <t xml:space="preserve">Dumas Rd, Magdalla, Surat, Gujarat </t>
  </si>
  <si>
    <t>WeFix Automobile</t>
  </si>
  <si>
    <t>Plot no.27(Residential, PCNTDA, Sector 10, Shriram Colony, Bhosari, Pune, Maharashtra ,Bhosari</t>
  </si>
  <si>
    <t>The Vizag Drive In</t>
  </si>
  <si>
    <t>visakhapatnam</t>
  </si>
  <si>
    <t xml:space="preserve">4-72-12, Beach Road, next to BPCL Petrol Bunk, Lawsons Bay Colony, Visakhapatnam, Andhra Pradesh </t>
  </si>
  <si>
    <t>Ather Space, Visakhapatnam</t>
  </si>
  <si>
    <t xml:space="preserve">Railway New Colony Rd, Sri Siddi Enclave, Railway New Colony, Visakhapatnam, Andhra Pradesh </t>
  </si>
  <si>
    <t>Hotel Yogi Midtown</t>
  </si>
  <si>
    <t>Plot No DX 12,Thane - Belapur Road D' Zone Bonsari, Village, TTC Industrial Area, Turbhe, Navi Mumbai, Maharashtra ,Thane</t>
  </si>
  <si>
    <t>Breadworld, Jawahar Nagar</t>
  </si>
  <si>
    <t xml:space="preserve">Subhash Chandra Bose Road,  Jawahar Nagar, Kadavanthra,  Ernakulam, Kerala </t>
  </si>
  <si>
    <t>Host The Hospitality Store (Breadworld, Thykoodam)</t>
  </si>
  <si>
    <t xml:space="preserve">Thykoodam Service Rd, Vyttila,  Thykoodam, Kochi,  Kerala </t>
  </si>
  <si>
    <t>Breadworld, Mavelipuram</t>
  </si>
  <si>
    <t xml:space="preserve">7/5 1 6- 1, 2, 3,  Seaport u2013 Airport Rd, Mavelipuram, Kakkanad, Kerala </t>
  </si>
  <si>
    <t>Breadworld, Petta</t>
  </si>
  <si>
    <t>50/698 pushpamangalam Heritage, petta Maradu Road Near Gandhi Square</t>
  </si>
  <si>
    <t>Ather Space, Kozhikode</t>
  </si>
  <si>
    <t xml:space="preserve">MCC Cross Rd, Vellayil, Kozhikode, Kerala </t>
  </si>
  <si>
    <t>AtherSpace JP Nagar</t>
  </si>
  <si>
    <t>292, Outer Ring Rd, J P Nagar Phase 5</t>
  </si>
  <si>
    <t>Kohinoor MCGM parking</t>
  </si>
  <si>
    <t xml:space="preserve">Kohinoor Square, Kasaravadi, Dadar, Mumbai, Maharashtra </t>
  </si>
  <si>
    <t>AtherGrid - Bhavsar</t>
  </si>
  <si>
    <t>Shop No. 5, ITI Ambad Road Kartikey Nagar Stop, Kamatwade, Nashik, Maharashtra,Kuthwad</t>
  </si>
  <si>
    <t>Bhavsar's AtherGrid 2</t>
  </si>
  <si>
    <t xml:space="preserve">18/08, Rajratna Nagar, Pawan Nagar, Nashik, Maharashtra </t>
  </si>
  <si>
    <t>BMC Parking Runwal Greens</t>
  </si>
  <si>
    <t xml:space="preserve"> Nahur West, Industrial Area, Bhandup West, Mumbai, Maharashtra</t>
  </si>
  <si>
    <t xml:space="preserve">BMC Market Bhandup </t>
  </si>
  <si>
    <t>320, 3rd Floor, BMC Market, Station Road, Bhandup West, next to Dreamz Mall, Bhandup (W, Bhandup East, Mumbai, Maharashtra</t>
  </si>
  <si>
    <t>Trichy Sarathas</t>
  </si>
  <si>
    <t xml:space="preserve">No. 45, NSB Rd, Teppakulam, Tamil Nadu </t>
  </si>
  <si>
    <t>Ather space, Indore</t>
  </si>
  <si>
    <t>TBC Tower, Geeta Bhawan, AB Road</t>
  </si>
  <si>
    <t>DISHKO Eatery</t>
  </si>
  <si>
    <t>trivandrum</t>
  </si>
  <si>
    <t xml:space="preserve">TC 26, Taj Arcade, 860(1, Bakery Jct Rd, Bakery Junction, Panavila, Thycaud, Thiruvananthapuram, Kerala </t>
  </si>
  <si>
    <t>Charminar Chowrasta Cafe</t>
  </si>
  <si>
    <t xml:space="preserve">12-43/4 GF, R K Nagar, Pothinamallayya Palem, Visakhapatnam, Andhra Pradesh </t>
  </si>
  <si>
    <t>Best Western Ramachandra Hotel</t>
  </si>
  <si>
    <t>8-8-36, GNT Rd, Medical Center, Gajuwaka, Visakhapatnam, Andhra Pradesh</t>
  </si>
  <si>
    <t>Cygnett Inn Ramachandra</t>
  </si>
  <si>
    <t xml:space="preserve">31-2-4/5, NH16, opp. All India Radio Station, Kurmannapalem, Visakhapatnam, Andhra Pradesh </t>
  </si>
  <si>
    <t>Moondru Kambam Nellai Muthu Vilas Sweets &amp; Bakes</t>
  </si>
  <si>
    <t xml:space="preserve">#422 A, Palakkad Main Rd, near Cassino Furniture, Kuniyamuthur, Tamil Nadu </t>
  </si>
  <si>
    <t>CakeBee, Sulur</t>
  </si>
  <si>
    <t xml:space="preserve">322/2 DEFENCE COLONY 2nd STREET, KADAMBADI VILLAGE, Sulur, Tamil Nadu </t>
  </si>
  <si>
    <t>Tiruppur Sree Annapoorna</t>
  </si>
  <si>
    <t xml:space="preserve">Road, Rayan Kovil, Avinashi, Tamil Nadu </t>
  </si>
  <si>
    <t>Aastha Talkies</t>
  </si>
  <si>
    <t xml:space="preserve">Near 452010, Patni Pura Rd, Nanda Nagar, Indore, Madhya Pradesh </t>
  </si>
  <si>
    <t>Ather Space Nashik</t>
  </si>
  <si>
    <t>Ather Space - Ather Energy's Experience Centre ( Patwa Auto Drive), Patwa EV Zone, Trimbakeshwar Rd, opp. Sebel Hotel, Nashik, Maharashtra</t>
  </si>
  <si>
    <t>Just Loaf, Kozhikode</t>
  </si>
  <si>
    <t>Beach Rd, opp. Kozhikode Corporation Office, Mananchira, Kozhikode, Kerala , India</t>
  </si>
  <si>
    <t>Just Loaf, Perinthalmanna</t>
  </si>
  <si>
    <t>malappuram</t>
  </si>
  <si>
    <t>Just Loaf, Perinthalmanna Jubilee Bypass, Road, Perintalmanna, Kerala , India</t>
  </si>
  <si>
    <t>Hocco Eatery, Vastral</t>
  </si>
  <si>
    <t xml:space="preserve">MADHAV 99 19, Nirant Cross Rd, Mahadev Nagar Tekra, Ahmedabad, Gujarat </t>
  </si>
  <si>
    <t>Prestige Falcon Towers</t>
  </si>
  <si>
    <t>No 19, Brunton Rd, Craig Park Layout, Ashok Nagar,</t>
  </si>
  <si>
    <t>Reliance Digital Kamlanagar</t>
  </si>
  <si>
    <t>37 Bunglow Road Kamla Nagar, opp. Amitabh Guest House, Civil Lines, New Delhi</t>
  </si>
  <si>
    <t>Food Sixteen Restaurant</t>
  </si>
  <si>
    <t>Metro Station, A-16, Grand Trunk Rd, near Adarsh Nagar, Indira Nagar, Azadpur, New Delhi</t>
  </si>
  <si>
    <t>Abhay Graphics II</t>
  </si>
  <si>
    <t>D-II, Plot no 32, Unit B - Near Kia Showroom, In front of HDFC Colony, Chinchwad</t>
  </si>
  <si>
    <t>Miramar Residency - Blive</t>
  </si>
  <si>
    <t>goa</t>
  </si>
  <si>
    <t>Miramar Beach, Miramar, Panaji, Goa</t>
  </si>
  <si>
    <t>Old Goa Residency- Blive</t>
  </si>
  <si>
    <t>Near Old Goa Fire Brigade, Goa</t>
  </si>
  <si>
    <t>Eham Digital</t>
  </si>
  <si>
    <t xml:space="preserve">2nd Unison Tower, Thondayad Junction Thondayad Bye Pass, near Star Care Hospital, Kozhikode, Kerala </t>
  </si>
  <si>
    <t>Darshan super market</t>
  </si>
  <si>
    <t xml:space="preserve">Chitrakoot Complex,No.91/18A,OMR,Egattur opp to Flsmidth,Chennai-603103,Chengalpattu, District, Chennai, Tamil Nadu </t>
  </si>
  <si>
    <t>Mall of Mysore</t>
  </si>
  <si>
    <t>mysore</t>
  </si>
  <si>
    <t>No.C-1, M.G Road Indira Nagar, Nazarbad Mohalla, Extension</t>
  </si>
  <si>
    <t>Cafe Coffee Day, Gokulam Road</t>
  </si>
  <si>
    <t>6th Main, Gokulam Road, V V Mohalla Ground Floor, C/O Star Wing Building</t>
  </si>
  <si>
    <t>CarTuneZ</t>
  </si>
  <si>
    <t xml:space="preserve">Mount Poonamallee Rd, Swaminatha Nagar, Goparasanallur, Chennai, Tamil Nadu </t>
  </si>
  <si>
    <t>Shree Shanthi's the garment shop</t>
  </si>
  <si>
    <t xml:space="preserve">1, 10th Cross St, near water tank. Customer care: 9940169111, 9789964111, Indira Nagar, Adyar, Chennai, Tamil Nadu </t>
  </si>
  <si>
    <t>The Smith's Cafe &amp; bakery</t>
  </si>
  <si>
    <t xml:space="preserve">Balaji Nagar 2nd Cross St, Balaji Nagar, Ponniammanmedu, Chennai, Tamil Nadu </t>
  </si>
  <si>
    <t>Sri Murugan Stores</t>
  </si>
  <si>
    <t xml:space="preserve">9&amp;10, Tejraj colony, Agaram Main Rd, Selaiyur, Chennai, Tamil Nadu </t>
  </si>
  <si>
    <t>Firewood Restaurant</t>
  </si>
  <si>
    <t>B-136A, RAJENDRA MARG, near JANTA STORE, CROSSING, BapuNagar</t>
  </si>
  <si>
    <t>Oyo Silverkey 42750</t>
  </si>
  <si>
    <t>170, Medicity, Islampur Colony, Sector 38,  Gurugram</t>
  </si>
  <si>
    <t>Amrit Residency</t>
  </si>
  <si>
    <t>Opposite Ayyappa Temple, Dundahera, Surya Vihar, Sector 21, Gurugram</t>
  </si>
  <si>
    <t>Cafe coffee day, Kazhakootam, Trivandrum</t>
  </si>
  <si>
    <t xml:space="preserve">Queen Tower, Kazhakootam, Thiruvananthapuram, Kerala </t>
  </si>
  <si>
    <t xml:space="preserve">Peep Kitchen </t>
  </si>
  <si>
    <t>Risara Luxury , Ground Floor , Taliegao Market Road , Near Taliegao Near Taliegao Community Centre Taliegao, Panaji, Goa</t>
  </si>
  <si>
    <t>Blive HO</t>
  </si>
  <si>
    <t>Plot No. 22-B, GF-1, Happy Home Co-op. Soc, La Campala Colony, Miramar, Panaji, Goa</t>
  </si>
  <si>
    <t>Karkhana - The Food Garage</t>
  </si>
  <si>
    <t xml:space="preserve">SHOP No. 12 JAI SHADARAM MARKET DHAMTARI ROAD, NH30, Raipur, Chhattisgarh </t>
  </si>
  <si>
    <t>Jyoti Guest House</t>
  </si>
  <si>
    <t>8/238, Sector 8, Malviya Nagar, Jaipur</t>
  </si>
  <si>
    <t>Xperia</t>
  </si>
  <si>
    <t>Opposite Radhe Fortune, Bhat Circle, S.P Ring Road, Ah,edabad</t>
  </si>
  <si>
    <t>Ather Space - Gujranwala Town</t>
  </si>
  <si>
    <t>A 11, GT Karnal Rd, near Vinayak Hospital, Block A, Gujranwala Town, Delhi, 110009</t>
  </si>
  <si>
    <t>Navneet Institute</t>
  </si>
  <si>
    <t xml:space="preserve">101-102, Prarthana Complex, nr. Kakadia Hospital, opp. Dinesh Chambers, Bapunagar, Ahmedabad, Gujarat </t>
  </si>
  <si>
    <t>Shri Laxmi Kedar Jewellers</t>
  </si>
  <si>
    <t>Jijamata Rd, Bhandi Bazar, Saraf Bazar, Panchavati, Nashik, Maharashtra</t>
  </si>
  <si>
    <t>The Emerald Resort</t>
  </si>
  <si>
    <t xml:space="preserve">Lonavala Annexe,Somatne, Old Mumbai - Pune Hwy, Near Pioneer Hospital, Tukaram Nagar, Talegaon Dabhade, Maharashtra </t>
  </si>
  <si>
    <t>Inox Bund Garden Road</t>
  </si>
  <si>
    <t>Plot No.D, Bund Garden Rd, Pune, Maharashtra</t>
  </si>
  <si>
    <t>Black Spate</t>
  </si>
  <si>
    <t>G-6, Shreenath Tower, Sector 2, Central Spine, Vidyadhar Nagar</t>
  </si>
  <si>
    <t>Barista</t>
  </si>
  <si>
    <t xml:space="preserve">Shop 1-6,82/2/2a, Sahkarnagar, Parvati, Pune, Maharashtra </t>
  </si>
  <si>
    <t>Precision Path Lab</t>
  </si>
  <si>
    <t>72/2, Shipra Path, Patel Marg, Mansarovar, Jaipur, Rajasthan</t>
  </si>
  <si>
    <t>Ather Space Goa</t>
  </si>
  <si>
    <t>Betim-Pomburpa Rd, Alto- Betim Porvorim, Penha de Franu00e7a, Goa</t>
  </si>
  <si>
    <t>Ather test ride centre</t>
  </si>
  <si>
    <t xml:space="preserve">160/1, Patny Center, Sardar Patel Rd, Hyderabad, Telangana </t>
  </si>
  <si>
    <t>Prestige Khoday Tower</t>
  </si>
  <si>
    <t>No 5, Raj Bhavan Road, Vasanth Nagar</t>
  </si>
  <si>
    <t>Prestige Saleh Ahmed</t>
  </si>
  <si>
    <t>No 24, Lady Curzon Road, Tasker Town, Shivaji Nagar,</t>
  </si>
  <si>
    <t>Mama Panda</t>
  </si>
  <si>
    <t>vijayawada</t>
  </si>
  <si>
    <t xml:space="preserve">Royal arcade, beside sweet magic , opp to dvmanor, MG Rd, Vijayawada, Andhra Pradesh </t>
  </si>
  <si>
    <t>AtherSpace Mysore</t>
  </si>
  <si>
    <t>#1A, A1, Hunsur Main Rd, Hinkal</t>
  </si>
  <si>
    <t>Bamboo &amp; Biryani</t>
  </si>
  <si>
    <t xml:space="preserve">40-3-18, Kalyanam Ramarao St, Venkateswara Puram, Sidhartha Nagar, Labbipet, Vijayawada, Andhra Pradesh </t>
  </si>
  <si>
    <t>Lodha Venezia CPL</t>
  </si>
  <si>
    <t>GD Ambekar Marg, Lal Baug, Parel, Mumbai, Maharashtra</t>
  </si>
  <si>
    <t>Cafe Peter</t>
  </si>
  <si>
    <t>Waman Ganesh Heights, Pashan Rd, Bavdhan, Pune, Maharashtra</t>
  </si>
  <si>
    <t>Throttle Shrottle Moto Cafe</t>
  </si>
  <si>
    <t>Faridabad - Gurgaon Rd, Baliawas, Bandhwari, Haryana 122102</t>
  </si>
  <si>
    <t>Inox R21</t>
  </si>
  <si>
    <t xml:space="preserve">Plot No 145, 2nd Floor, Royal Honda Showroom, Sector 21, Gandhinagar, Gujarat </t>
  </si>
  <si>
    <t>Inox R16</t>
  </si>
  <si>
    <t xml:space="preserve">Cluster_gandhinagar 2 Office, Sector 16, Gandhinagar, Gujarat </t>
  </si>
  <si>
    <t>Acre Bengaluru</t>
  </si>
  <si>
    <t>No 63 , International Airport Road, Meenugunte, Jala Hobli, Yelahanka, Taluk</t>
  </si>
  <si>
    <t>AtherSpace Hubli</t>
  </si>
  <si>
    <t>P. B. Road, Bhairidevarkoppa</t>
  </si>
  <si>
    <t>Antares Restaurant and Beach Club</t>
  </si>
  <si>
    <t xml:space="preserve">Small Vagator, Ozran Beach, Vagator, Goa </t>
  </si>
  <si>
    <t>The Wood Apple Cafe</t>
  </si>
  <si>
    <t>siliguri</t>
  </si>
  <si>
    <t>SONARTORI VILLAGE, Patel Road, Ward 2, Pradhan Nagar, Siliguri, West Bengal 734003</t>
  </si>
  <si>
    <t>The Cindrella Hotel</t>
  </si>
  <si>
    <t>3rd Mile, Sevoke Rd, Chayan Para, Salugara, Siliguri, West Bengal 734008</t>
  </si>
  <si>
    <t>Cafe Cornucopia</t>
  </si>
  <si>
    <t>22nd Cross, 14th Main Rd, C Block, Vijay Nagar 3rd Stage, Garudachar Layout</t>
  </si>
  <si>
    <t>Ather Space Raipur</t>
  </si>
  <si>
    <t>EC Location:  Atherspace Raipur, Shop No.2, Ground Floor, Plot No. 11/5, Block No. 94, Beside Hotel Mayura, Jai Stambh Chowk, Raipur, Chhattisgarh</t>
  </si>
  <si>
    <t>Ather Space - Janakpuri</t>
  </si>
  <si>
    <t xml:space="preserve"> Ground floor, BF-1, Janakpuri, Jail Road, New Delhi 110058</t>
  </si>
  <si>
    <t>Ather Space Surat</t>
  </si>
  <si>
    <t xml:space="preserve">G1 and G2, Milagro Milestone, opposite UM Road, Someshwara Enclave, Vesu, Surat, Gujarat </t>
  </si>
  <si>
    <t>Ather Space - Lalbagh</t>
  </si>
  <si>
    <t>lucknow</t>
  </si>
  <si>
    <t>38 A Foresith Road, Near Novelty Cinema, opp. Daya Nidhan Park, Lalbagh, Lucknow, Uttar Pradesh 226001</t>
  </si>
  <si>
    <t>Magenta House - Mumbai</t>
  </si>
  <si>
    <t>TTC Industrial Area, MIDC Industrial Area, Sanpada, Navi Mumbai</t>
  </si>
  <si>
    <t>Ather Space, Trivandrum</t>
  </si>
  <si>
    <t>Sycamore Complex, Plamoodu Junction, Pattom</t>
  </si>
  <si>
    <t>Ather space, Guindy, Chennai</t>
  </si>
  <si>
    <t xml:space="preserve">Near 111-110, Mount Rd, Guindy Institutional Area, Little Mount, Guindy, Chennai, Tamil Nadu </t>
  </si>
  <si>
    <t>Ranthal Gardens Restaurant</t>
  </si>
  <si>
    <t xml:space="preserve">near post office, Nemom, Kerala </t>
  </si>
  <si>
    <t>Kalikkalam Sports</t>
  </si>
  <si>
    <t>Opposite Infosys/UST, On Road Opposite Infosys Main Gate, behind Al Saj Arena, Poundukadavu</t>
  </si>
  <si>
    <t>Ather Space Nagole</t>
  </si>
  <si>
    <t xml:space="preserve">Near Sunrise cars, Plot no.64/B, Mamatha Nagar, Nagole X Road, near Supraja Hospital, Hyderabad, Telangana </t>
  </si>
  <si>
    <t>MGS Tata Autofab</t>
  </si>
  <si>
    <t>C 52, Tedhi Pulia, Ring Road, Near Jagrani Hospital, Lucknow - 226022, Uttar Pradesh, India</t>
  </si>
  <si>
    <t>The Hazelnut Factory</t>
  </si>
  <si>
    <t>B 192, Niralanagar, Lucknow - 226020</t>
  </si>
  <si>
    <t>The Hazelnut Factory, Alambagh</t>
  </si>
  <si>
    <t>LGF &amp; UGF RB Tower, B-172, Kanpur Rd, Behind iDelta | Phoenix Mall, Lucknow, Lucknow, Uttar Pradesh 226005</t>
  </si>
  <si>
    <t>Woods Cafe Indira Priyadarshani Park</t>
  </si>
  <si>
    <t>Indira Priyadarshani Park, Arthla, Mohan Nagar, Ghaziabad, Uttar Pradesh 201001</t>
  </si>
  <si>
    <t>Ansal Plaza Mall</t>
  </si>
  <si>
    <t>ANSAL PLAZA MALL SHOPPING COMPLEX, Pari Chowk, Greater Noida, Uttar Pradesh 201310</t>
  </si>
  <si>
    <t>MR Hypermarket</t>
  </si>
  <si>
    <t xml:space="preserve">Wayanad Rd, Moozhikkal, Kozhikode, Kerala </t>
  </si>
  <si>
    <t>Ather Space Siliguri</t>
  </si>
  <si>
    <t xml:space="preserve">Sevoke Rd, opposite Vishal Cinema Hall, Ward Number 13, Bankim Nagar, Siliguri, West Bengal </t>
  </si>
  <si>
    <t>Mitraa Super Market</t>
  </si>
  <si>
    <t xml:space="preserve">BRTS Rd, A Zone, Sujatha Nagar, Pendurthi, Visakhapatnam, Andhra Pradesh </t>
  </si>
  <si>
    <t>Patanjali Mega Store Sakkardara</t>
  </si>
  <si>
    <t>nagpur</t>
  </si>
  <si>
    <t>205, Sakkardara Police Chowki Rd, Anand Nagar, Azamshah Layout, Nagpur, Maharashtra</t>
  </si>
  <si>
    <t>Patanjali Store Wardhaman Nagar</t>
  </si>
  <si>
    <t>36-65, Nagpur - Bhandara - Rajnandgaon - Raipur Hwy, Chapru Nagar, Shashtri Nagar</t>
  </si>
  <si>
    <t>Throttle Shrottle Moto Cafe, Noida</t>
  </si>
  <si>
    <t>Village rohillapur. Opposite step by step school sector-132, Noida - 201304</t>
  </si>
  <si>
    <t>Sangeetha Mobiles, HBR Layout</t>
  </si>
  <si>
    <t>No 54, 80 Feet Main Road, Next to Muthoot Finance, HBR Layout,</t>
  </si>
  <si>
    <t>Hyatt Raipur</t>
  </si>
  <si>
    <t xml:space="preserve">National Highway 6, Jivan Vihar, Labhandih, Chhattisgarh </t>
  </si>
  <si>
    <t xml:space="preserve">Vasant oasis </t>
  </si>
  <si>
    <t>Borosil Plot,off, Makwana Rd, Marol, Andheri East, Mumbai, Maharashtra</t>
  </si>
  <si>
    <t>NMR Enclave</t>
  </si>
  <si>
    <t>7/22, NMR enclave, Ejipura main Road , Near Ejipura signal</t>
  </si>
  <si>
    <t>Cafe Labasa Goa</t>
  </si>
  <si>
    <t>590/III-A, Caramorod, Chinchinim, Goa</t>
  </si>
  <si>
    <t>The Coffee Stories</t>
  </si>
  <si>
    <t>Andhra pradesh</t>
  </si>
  <si>
    <t xml:space="preserve">2, Meher classic, shop no:2, opp N.K.Ashiyana society, Marketyard, pune, near unity bakers, Pune, Maharashtra </t>
  </si>
  <si>
    <t>Sulaimani Club, Kottakkal</t>
  </si>
  <si>
    <t xml:space="preserve">XXMX+J2F, Palathara, Kerala </t>
  </si>
  <si>
    <t xml:space="preserve">Shree Purohit Thali </t>
  </si>
  <si>
    <t>bus stop, Andhashala, Nashik - Pune Rd, Nashik, Maharashtra</t>
  </si>
  <si>
    <t>Morning Star Car Accessories</t>
  </si>
  <si>
    <t>Jackni Vaddo, Parra, Goa</t>
  </si>
  <si>
    <t>Magenta, Hosur Road</t>
  </si>
  <si>
    <t xml:space="preserve">Pattalama Layout, Hosur Rd, Singasandra </t>
  </si>
  <si>
    <t>OFFROAD, Motorcycle Accessories Shop</t>
  </si>
  <si>
    <t xml:space="preserve"> Vazhayila - Kallayam Rd, Vazhayila, Padmanabha Nagar, Thiruvananthapuram, Kerala </t>
  </si>
  <si>
    <t>The Chocolate Room, Bangalore</t>
  </si>
  <si>
    <t>No 412, 4th G Main Road, 2nd Block, HRBR Layout, Kalyan Nagar,</t>
  </si>
  <si>
    <t>AtherSpace Nagpur</t>
  </si>
  <si>
    <t>Ojas Building, Beside Batukbhai Jewellers, West High Court Road, Dharampeth</t>
  </si>
  <si>
    <t>Xavier Institute of Engineering</t>
  </si>
  <si>
    <t xml:space="preserve">Opposite S.L.Raheja Hospital, Mahim Causeway, Mahim (West), Raheja Hospital Marg, Mumbai, Maharashtra </t>
  </si>
  <si>
    <t>Purnima Sweet's</t>
  </si>
  <si>
    <t xml:space="preserve">Takli Rd, opp Vishwabharti society, Swanand Society, Dwarka, Nashik, Maharashtra </t>
  </si>
  <si>
    <t>CADD Centre, RK Salai</t>
  </si>
  <si>
    <t>Yellow Pages Building, 25, Dr Radha Krishnan Salai, Dwarka Colony, Mylapore</t>
  </si>
  <si>
    <t>Adyar Ananda Bhavan, Navakari | Zeon</t>
  </si>
  <si>
    <t>285, Palakkad main road, Navakarai</t>
  </si>
  <si>
    <t>Lakshmi Pazhamudir And Supermarket</t>
  </si>
  <si>
    <t xml:space="preserve">post Gas company, Mettupalayam Rd, Ranganayaki Nagar, Dhamu Nagar, Therkkuppalayam, Coimbatore, Tamil Nadu </t>
  </si>
  <si>
    <t>Decathlon Bannerghatta</t>
  </si>
  <si>
    <t>Bannerghatta Main Rd, Kalena Agrahara</t>
  </si>
  <si>
    <t>MR Hyper Market, Wayanad Road</t>
  </si>
  <si>
    <t xml:space="preserve">8V9M+CM3, Kozhikode, Kerala </t>
  </si>
  <si>
    <t>KR Journey Planners</t>
  </si>
  <si>
    <t xml:space="preserve">Beside Sahaj Super Store, Anand Mahal Rd, Honey Park, Adajan Gam, Adajan, Surat, Gujarat </t>
  </si>
  <si>
    <t>KR Journey</t>
  </si>
  <si>
    <t>p767, Ashwini Kumar Road, New GIDC</t>
  </si>
  <si>
    <t>Shiven Satellite Vision</t>
  </si>
  <si>
    <t>Puducherry</t>
  </si>
  <si>
    <t xml:space="preserve">City Plaza, Phase 2, Pedda, Margao, Goa </t>
  </si>
  <si>
    <t>Detailing Bull</t>
  </si>
  <si>
    <t>Jammu &amp; Kashmir</t>
  </si>
  <si>
    <t>F7, Shushant Lok 2 Near Hong Kong Bazar, Sector 57, Gurugram, Haryana 122011</t>
  </si>
  <si>
    <t>SAR Motors</t>
  </si>
  <si>
    <t>guwahati</t>
  </si>
  <si>
    <t>Bora Commercial Complex, opposite ABC Compound, Nalapara, Lokhra, Assam</t>
  </si>
  <si>
    <t>R R Sales</t>
  </si>
  <si>
    <t>Saraf Building, Near Police Reserve RLY gate, no 2, Assam Trunk Rd, Guwahati, Assam</t>
  </si>
  <si>
    <t>Vishnu Tradex, Shreekunj Elegance</t>
  </si>
  <si>
    <t xml:space="preserve">2 SHREEKUNJ ELIGANCE, near SAHAJ PARADISE BANGLOW, Ahmedabad, Gujarat </t>
  </si>
  <si>
    <t>Naksh Auto World</t>
  </si>
  <si>
    <t>Maharaja Agarsain Marg, Mohan Meakin Society, Sector 5, Vasundhara, Ghaziabad, Uttar Pradesh 201012</t>
  </si>
  <si>
    <t>Royal Global University</t>
  </si>
  <si>
    <t>NH-37, opp. Tirupati Balaji Temple</t>
  </si>
  <si>
    <t>Loom Solar Warehouse</t>
  </si>
  <si>
    <t>faridabad</t>
  </si>
  <si>
    <t>Plot No. 21, 1, Mathura Rd, Pocket 3, Rajiv Enclave, Sector 6, Faridabad, Haryana 121006</t>
  </si>
  <si>
    <t>Ather Space, Guwahati</t>
  </si>
  <si>
    <t>2nd Floor, JKON building, opp. Sonaram School, Bharalumukh</t>
  </si>
  <si>
    <t>Guy Car  Steamer</t>
  </si>
  <si>
    <t>No 60 Next to Sobha Classic 83-B Narayanareddy Layout, Haralur Main Rd</t>
  </si>
  <si>
    <t>AtherSpace Belgaum</t>
  </si>
  <si>
    <t>belgaum</t>
  </si>
  <si>
    <t>Bellad Enterprises, Vengurla - Belgaum Rd, Vinayak Nagar, Vijaynagar, Belagavi</t>
  </si>
  <si>
    <t>Ather Service Centre</t>
  </si>
  <si>
    <t>House No 20,Janapath Lane,Ulubari</t>
  </si>
  <si>
    <t>Ather Space Vijayawada</t>
  </si>
  <si>
    <t xml:space="preserve">KP Nagar Main Rd, Gurunanak Nagar, K P Nagar, Benz Circle, Vijayawada, Andhra Pradesh </t>
  </si>
  <si>
    <t>Turf Trident</t>
  </si>
  <si>
    <t>56, Lakeview garden, Korattur</t>
  </si>
  <si>
    <t>Ather Space Tirupati</t>
  </si>
  <si>
    <t>tirupati</t>
  </si>
  <si>
    <t xml:space="preserve">Vedhavyasa Bhavan, AIR Bypass Road, Royal Nagar, Tirupati, Andhra Pradesh </t>
  </si>
  <si>
    <t>Area 51 - The cafu00e9 hideout</t>
  </si>
  <si>
    <t xml:space="preserve">Area 51- The cafu00e9 hideout, Hill view conventions, IT Sez,Hill No.2 Plot-F,on the way to Mouri tech, Andhra Pradesh </t>
  </si>
  <si>
    <t>Ather Space  Aurangabad</t>
  </si>
  <si>
    <t>aurangabad</t>
  </si>
  <si>
    <t xml:space="preserve">Gopinath Chambers, Adalat Rd, near Chunilal Petrol Pump, Konkanwadi, Aurangabad, Maharashtra </t>
  </si>
  <si>
    <t>Ather space, Malappuram</t>
  </si>
  <si>
    <t>SH 72, Kizhakkethala, Down Hill, Malappuram, Kerala 676505</t>
  </si>
  <si>
    <t>Ather Space, Tirur</t>
  </si>
  <si>
    <t>tirur</t>
  </si>
  <si>
    <t xml:space="preserve">Pookkayil, Tirur, Kerala </t>
  </si>
  <si>
    <t>Ather Space Kolhapur</t>
  </si>
  <si>
    <t>kolhapur</t>
  </si>
  <si>
    <t xml:space="preserve">C.S. No. 195K/2K, Kavala Naka, E-Ward, Kolhapur </t>
  </si>
  <si>
    <t>AtherSpace Rajajinagar</t>
  </si>
  <si>
    <t>No. 0025 (Old no.1003), 59th C Cross, 4th M Block, Sriram Mandir, Dr.Rajkumar Road, Rajaji Nagar</t>
  </si>
  <si>
    <t>Radisson Resort, ECR</t>
  </si>
  <si>
    <t>ECR</t>
  </si>
  <si>
    <t>Nikshan Electronics</t>
  </si>
  <si>
    <t>kannur</t>
  </si>
  <si>
    <t xml:space="preserve">Nikshan Arena, Bank Rd, Padanapalam, Kannur, Kerala </t>
  </si>
  <si>
    <t>E Planet, Thalassery</t>
  </si>
  <si>
    <t xml:space="preserve">AVK Nair Road, Pilakool, Thalassery, Kerala </t>
  </si>
  <si>
    <t>Oyo Soho</t>
  </si>
  <si>
    <t>D-141, Block D, Sector 51, Noida, Uttar Pradesh 201301</t>
  </si>
  <si>
    <t>M R A Restaurant</t>
  </si>
  <si>
    <t xml:space="preserve">Kasaragod - Kannur Rd, Trichambaram, Taliparamba, Kerala </t>
  </si>
  <si>
    <t>AIMA Charging Station, Karinganad</t>
  </si>
  <si>
    <t>Karinganad, Vilayur PO, Pattambi Taluk</t>
  </si>
  <si>
    <t>Kekiz Malleswaram</t>
  </si>
  <si>
    <t>No 280, Ira Arcade, 18th Cross, Sampige Road,  Malleswaram,</t>
  </si>
  <si>
    <t>Muthiah Towers</t>
  </si>
  <si>
    <t xml:space="preserve">Muthiah Towers, 1, Royal Rd, Cantonment, Tiruchirappalli, Tamil Nadu </t>
  </si>
  <si>
    <t>Chai Point, Bellandur</t>
  </si>
  <si>
    <t>4, Marathahalli - Sarjapur Outer Ring Rd, Koramangala 6 Block, Bellandur</t>
  </si>
  <si>
    <t>HOTEL REDWINGS CASTLE</t>
  </si>
  <si>
    <t>Near to Orion Mall/ New Panvel Bridge, Old, Mumbai - Pune Expy,</t>
  </si>
  <si>
    <t>Radisson Bengaluru City Center</t>
  </si>
  <si>
    <t>2, Gangadhar Chetty Rd, Yellappa Chetty Layout, Sivanchetti Gardens, Halasuru</t>
  </si>
  <si>
    <t>Ather Space - Dehradun</t>
  </si>
  <si>
    <t>dehradun</t>
  </si>
  <si>
    <t>56, Rajpur Rd, near Hotel Madhuban, IAS Officers Colony, Kairwaan Gaon, Dehradun, Uttarakhand 248009, India</t>
  </si>
  <si>
    <t>Mealodroma</t>
  </si>
  <si>
    <t>A6, 110027, Najafgarh Rd, Vishal Enclave, Rajouri Garden, Delhi, 110027</t>
  </si>
  <si>
    <t>Hotel Om Navratna</t>
  </si>
  <si>
    <t>1/766, Old Mumbai Pune Highway, Near Agarwal Movers &amp; Packers Ltd, at post Chouk</t>
  </si>
  <si>
    <t>Ather Space Mangalore</t>
  </si>
  <si>
    <t>mangalore</t>
  </si>
  <si>
    <t>No 3-30-2399/2, Pound Graden, Kadri Road,  Behind City Hospital</t>
  </si>
  <si>
    <t>Ather Space Kannur</t>
  </si>
  <si>
    <t>Crux Mobility Pvt Ltd, City Tower, Near Har Cars</t>
  </si>
  <si>
    <t>Ather Space, Thrissur</t>
  </si>
  <si>
    <t>trichur</t>
  </si>
  <si>
    <t>Autostarke Energy Pvt Ltd, 14/3 A1, Puzhakkal</t>
  </si>
  <si>
    <t>Hitech Motors</t>
  </si>
  <si>
    <t>Kanigiri - Tirupathi Rd, SV Auto Nagar, Tirupati, Andhra Pradesh</t>
  </si>
  <si>
    <t>Ather Space, Palakkad</t>
  </si>
  <si>
    <t>palakkad</t>
  </si>
  <si>
    <t>KVR Green Energy Pvt Ltd , TS2 Ventures , Mercy College Junction</t>
  </si>
  <si>
    <t xml:space="preserve">Cashew Tree </t>
  </si>
  <si>
    <t>Vaddy, Candolim, Candolim, Goa</t>
  </si>
  <si>
    <t>MMA Matrix Gym</t>
  </si>
  <si>
    <t>MMA Matrix Gym, 1st Floor, Desai House, 7th Ln,</t>
  </si>
  <si>
    <t>Akki's Bistro</t>
  </si>
  <si>
    <t>CS No 1082, Chandrameela Building, Near Krishna temple, Mohite park, Kolhapur, Maharashtra 416012</t>
  </si>
  <si>
    <t>Roy ka rasoi</t>
  </si>
  <si>
    <t>Netaji Subhas Road, Ward 20, Subhas Pally, Siliguri, West Bengal</t>
  </si>
  <si>
    <t>Hotel Kuppana</t>
  </si>
  <si>
    <t>5th Cross Rd, Tirumala Reddy Nagar, Mangalam, Tirupati, Andhra Pradesh 517507</t>
  </si>
  <si>
    <t>Guru Sweets &amp; Snacks</t>
  </si>
  <si>
    <t>Khaprail Bazar Near R.P Trading, Khopalasi, West Bengal</t>
  </si>
  <si>
    <t>Hotel Rasraj Parking Zone</t>
  </si>
  <si>
    <t>Gaurav Automobile Compound, ,Ramnath Rd, opp. BVM Multiplex,</t>
  </si>
  <si>
    <t>Crazy Coffee</t>
  </si>
  <si>
    <t>Shop no. 9, Vardhman Nagar, near PUNO 200ft By Pass, Ajmer Rd, Jaipur</t>
  </si>
  <si>
    <t>Sultan of Flavours Restaurant</t>
  </si>
  <si>
    <t>Stadium Bypass Rd, Sultanpet, Palakkad</t>
  </si>
  <si>
    <t>Kalanthans Cafe</t>
  </si>
  <si>
    <t>Palarivattom, Kochi</t>
  </si>
  <si>
    <t>Devaragam Hotel</t>
  </si>
  <si>
    <t>Outer Ring Road, Opp Railway Station, East Nada, Guruvayur</t>
  </si>
  <si>
    <t>Ather Space Thane</t>
  </si>
  <si>
    <t>Shop No. 4, Mansarovar, Opp. TMC Building, Almeda Rd,</t>
  </si>
  <si>
    <t>Irani Chai</t>
  </si>
  <si>
    <t>294, 15th Cross Rd, Sector 4, HSR Layout, Bengaluru</t>
  </si>
  <si>
    <t>BESCOM,  KR Circle</t>
  </si>
  <si>
    <t>KR circle, Nrupathunga Road, Nunegundlapalli,  Ambedkar Veedhi, Bengaluru</t>
  </si>
  <si>
    <t>Ather Space, Kollam</t>
  </si>
  <si>
    <t>kollam</t>
  </si>
  <si>
    <t xml:space="preserve">Raj Plaza Building, Kilikkolloor P.O, Kollam </t>
  </si>
  <si>
    <t>Naattarasan, Urapakkam</t>
  </si>
  <si>
    <t xml:space="preserve">No: 245, GST Road, Opp to Indian Oil Bunk, Urapakkam, Chennai, Tamil Nadu </t>
  </si>
  <si>
    <t>Hungry Hippo</t>
  </si>
  <si>
    <t>50-49-43/A, TPT Colony, Balayya Sastri Layout, Seethammadara, Visakhapatnam, Andhra Pradesh 530013</t>
  </si>
  <si>
    <t>F3 Drive-in</t>
  </si>
  <si>
    <t>near Fusion International School, Ameenpur, Miyapur, Telangana</t>
  </si>
  <si>
    <t>IOCL - COCO Niti Marg, Chanakyapuri</t>
  </si>
  <si>
    <t>Niti Marg, ChanakyaPuri, New Delhi-110021</t>
  </si>
  <si>
    <t>SNEH DHABA, NH 1 Ganaur</t>
  </si>
  <si>
    <t>Ganaur</t>
  </si>
  <si>
    <t>64th Milestone, NH-1, Ganaur, Sonipat, Haryana 131101</t>
  </si>
  <si>
    <t>Sara Automobile, Dobhi</t>
  </si>
  <si>
    <t>Gaya</t>
  </si>
  <si>
    <t>Sara Automobile Pvt Ltd, Eicher agency,NH-2  Opp:  Punjab National Bank, Suramandal near check post, Dobhi,  Gaya  PIN u00e2u0080u0093 824201</t>
  </si>
  <si>
    <t>GUGNANI AUTOCARS, Pratap Nagari</t>
  </si>
  <si>
    <t>Cuttack</t>
  </si>
  <si>
    <t>PLOT NO- 785, PRATAP NAGARI, CUTTACK. State: ODISHA, Pin: 753011</t>
  </si>
  <si>
    <t>Varenyam Motor Car, Industrial Area</t>
  </si>
  <si>
    <t>Bhopal</t>
  </si>
  <si>
    <t>56-57 JK Road Govindpura, Sector A, Govindpura Industrial Area, Bhopal, Madhya Pradesh 462023</t>
  </si>
  <si>
    <t>Jaika Motors, Civil Lines</t>
  </si>
  <si>
    <t>Nagpur</t>
  </si>
  <si>
    <t>Jaika Motors Pvt Ltd.Post Box No.1 Commercial Road Civil Lines Nagpur 440001</t>
  </si>
  <si>
    <t>IOCL Kini Causway, Bandra</t>
  </si>
  <si>
    <t>36, SV Rd, Santosh Nagar, Bandra West, Mumbai, Maharashtra 400050</t>
  </si>
  <si>
    <t>IOCL Hundred Percent Filling &amp; Service Station, Dwarka</t>
  </si>
  <si>
    <t>Sector 9, Dwarka, New Delhi, Delhi 110073</t>
  </si>
  <si>
    <t>Adisakti Motors, Davangere</t>
  </si>
  <si>
    <t>Davangere</t>
  </si>
  <si>
    <t>No 628/K24, Shramajeevi Building, PB Rd, beside Aradhya Steel Wire Ropes, Avaragere, Davanagere, Karnataka 577003</t>
  </si>
  <si>
    <t>True Sai Motors, Avaragere</t>
  </si>
  <si>
    <t>Krishnagiri</t>
  </si>
  <si>
    <t>No 417A/1A Krishnagiri Chennai Highway, Pethanapalli, opposite to Hotel, Krishnagiri, Tamil Nadu 635001</t>
  </si>
  <si>
    <t>True Sai Motors, Narasothipatti</t>
  </si>
  <si>
    <t>Salem</t>
  </si>
  <si>
    <t>No 73 Salem, Omalur Highway, next to Hotel Grand Estancia, Narasothipatti, Salem, Tamil Nadu 636004,636001</t>
  </si>
  <si>
    <t>Vikarsh Nano technology, Dhangarwadi</t>
  </si>
  <si>
    <t>Satara</t>
  </si>
  <si>
    <t>Vikarsh Nano technology &amp; Alloys pvt ltd, Gat No 273&amp;274, Dhangarwadi village Tal- Khandala, Shirwal Dist- Satara 412801</t>
  </si>
  <si>
    <t>SR Tranzcars, Saibaba Koil</t>
  </si>
  <si>
    <t>1142-A, Mettupalayam Rd, Saibaba Koil, Coimbatore, Tamil Nadu 641043</t>
  </si>
  <si>
    <t>Lakshmi Motors, Ambattur</t>
  </si>
  <si>
    <t>Chennai</t>
  </si>
  <si>
    <t>#79, 80,81, NEAR WAVIN BUS STOP, Ambattur Industrial Estate, Chennai, Tamil Nadu 600058</t>
  </si>
  <si>
    <t>Lakshmi Motors, Velachery</t>
  </si>
  <si>
    <t>No 42, Velachery Main Rd, Guindy National Park, Guindy, Chennai, Tamil Nadu 600032</t>
  </si>
  <si>
    <t>Lilium Park, SH 44</t>
  </si>
  <si>
    <t>Ahmednagar</t>
  </si>
  <si>
    <t>Hotel Lilium Park State Highway 44, Opp. Lemon Tree Hotel, Ahmednagar, Maharashtra 414106</t>
  </si>
  <si>
    <t>Oberai Motors,  ISBT Rd</t>
  </si>
  <si>
    <t>Near, ISBT Chowk, Shimla Bypass Rd, Majra, Dehradun, Uttarakhand 248001</t>
  </si>
  <si>
    <t>Ashok Auto Sales, Civil Lines</t>
  </si>
  <si>
    <t>Agra</t>
  </si>
  <si>
    <t>119-120/8, Sanjay Palace, Sanjay Place, Civil Lines, Agra, Uttar Pradesh 282002</t>
  </si>
  <si>
    <t>IOCL - MC2, Industrial Area II</t>
  </si>
  <si>
    <t>Indian OIL - MC 2 , Industrial area Phase-II MC Site, CHANDIGARH TOZIRAKPUR ROAD AT INDUSTRIAL AREA, PHASE-II, CHANDIGARH (U.T.), Chandigarh, PIN: 160002</t>
  </si>
  <si>
    <t>IOCL - COCO WRD, Agarkar Nagar</t>
  </si>
  <si>
    <t>Agarkar Nagar, Pune, Maharashtra 411001</t>
  </si>
  <si>
    <t>KVR Dream vehicles, Vidya Nagar</t>
  </si>
  <si>
    <t>Kasargod</t>
  </si>
  <si>
    <t>Panalam Nayamar Moola, Alampady Manya Road, Vidya Nagar, PO, Kasaragod, Kerala 671123</t>
  </si>
  <si>
    <t>Sree Auto, BH Road Tumakuru</t>
  </si>
  <si>
    <t>Tumakuru</t>
  </si>
  <si>
    <t>No 1 BH Road Near Gubbi, Gate, Tumakuru, Karnataka 572107</t>
  </si>
  <si>
    <t>IOCL COCO Chengampalli, Salem-Kochi Highway</t>
  </si>
  <si>
    <t>Chengampalli</t>
  </si>
  <si>
    <t>Salem - Kochi Hwy, Vadamugam Kangayapalayam, Tamil Nadu 638812</t>
  </si>
  <si>
    <t>Hotel Vididhi, Kothagudam</t>
  </si>
  <si>
    <t>Madgulapally</t>
  </si>
  <si>
    <t>Survey No. 173/2, 174/6, State Highway 2 NAM Expressway, Miryalaguda Highway Near Madugulapally Toll Plaza Kothagudam, Village, Madgulapally, Telangana 508247</t>
  </si>
  <si>
    <t>Select Cars, Hyderabad Rd - Kothirampur</t>
  </si>
  <si>
    <t>Karimnagar</t>
  </si>
  <si>
    <t>No 8-6-396, Hyderabad Rd, Kothirampur, Karimnagar, Telangana 505001</t>
  </si>
  <si>
    <t>MIDAS, Muzzafarnagar</t>
  </si>
  <si>
    <t>Muzaffarnagar</t>
  </si>
  <si>
    <t>PLOT NO. 77-1 Delhi - Haridwar, Bypass, Hwy, Muzaffarnagar, Uttar Pradesh 251001</t>
  </si>
  <si>
    <t xml:space="preserve">MIDAS Auto, Industrial Area </t>
  </si>
  <si>
    <t>No E17 Old, Industrial Area, Haridwar, Uttarakhand 249401</t>
  </si>
  <si>
    <t>Basudeb Auto Limited, Shanti Nagar</t>
  </si>
  <si>
    <t>Ranchi</t>
  </si>
  <si>
    <t>Basudeb Auto, Shanti Nagar, Plot No 11, Kokar Industrial Area, Shanti Nagar, Ranchi, Jharkhand 834001</t>
  </si>
  <si>
    <t>Matsya Amazon Kitchens, Kurnool Rd</t>
  </si>
  <si>
    <t>Kurnool</t>
  </si>
  <si>
    <t>NH 44; Bangalore - Hyderabad  highway, Kurnool Rd, Andhra Pradesh 518216</t>
  </si>
  <si>
    <t>Utkarsh Mototech, Assam Trunk Rd</t>
  </si>
  <si>
    <t>Assam</t>
  </si>
  <si>
    <t>Guwahati</t>
  </si>
  <si>
    <t>Kamakhya Gate, Swastik Ayodhya Complex, Assam Trunk Rd, Guwahati, Assam 781009</t>
  </si>
  <si>
    <t>Hotel Grand Leela Krishna, Bhimavaram</t>
  </si>
  <si>
    <t>Bhimavaram</t>
  </si>
  <si>
    <t>Undi Rd, Balusumoodi, Bhimavaram, Andhra Pradesh 534202</t>
  </si>
  <si>
    <t>Jadhav Solar &amp; Automotives, Badnera</t>
  </si>
  <si>
    <t>Amravati, MH</t>
  </si>
  <si>
    <t>Jadhav Solar &amp; Automotives Pvt.  Ltd., Jadhav E-Vehicles, Ground floor, Rangoli Pearl Hotel, Nawathe Square, Badnera Road, Amravati, MH- 444607</t>
  </si>
  <si>
    <t>IOCL - SUJIT AUTOMOBILES, Bangalore-Kanyakumari Road</t>
  </si>
  <si>
    <t>Butibori</t>
  </si>
  <si>
    <t>Bangalore - Salem - Madurai - Kanyakumari Road, Butibori, Maharashtra 441108</t>
  </si>
  <si>
    <t>Tata Steel Car Parking, Northern Town</t>
  </si>
  <si>
    <t>Jamshedpur</t>
  </si>
  <si>
    <t>Northern Town, Jamshedpur, Jharkhand 831001</t>
  </si>
  <si>
    <t>Sakchi - Parking, Basant Central</t>
  </si>
  <si>
    <t>Sakchi, Jamshedpur, Jharkhand 831001</t>
  </si>
  <si>
    <t>Ambagan - Parking, Jubliee Park gate</t>
  </si>
  <si>
    <t>Ambagan, Sakchi, Jamshedpur, Jharkhand - 831001</t>
  </si>
  <si>
    <t>IOCL Sahara Hospitality, Vile Parle</t>
  </si>
  <si>
    <t>opp. Domestic Airport, Navpada, Vile Parle East, Vile Parle, Mumbai, Maharashtra 400099</t>
  </si>
  <si>
    <t>Hotel Parivar, Mehkar Buldhana</t>
  </si>
  <si>
    <t>Buldhana</t>
  </si>
  <si>
    <t>SH-207, Mehkar Malegaon Karanja Road, Mehkar, Buldhana Maharashtra - 443301</t>
  </si>
  <si>
    <t>Hotel Sanskruti , Trambakeshwar Rd</t>
  </si>
  <si>
    <t>Trambakeshwar Rd, Belgaon Dhaga, Nashik, Maharashtra 422007</t>
  </si>
  <si>
    <t>IOCL Manjalpur, GIDC Rd Manjalpur</t>
  </si>
  <si>
    <t>312, GIDC Rd, Beside Om Pippadiya Hanumanji Mandir, Ghanshyam Nagar Society 2, Manjalpur, Vadodara, Gujarat 390011</t>
  </si>
  <si>
    <t>RKL TML Showroom, Sec 9 GIDA</t>
  </si>
  <si>
    <t>Gorakhpur</t>
  </si>
  <si>
    <t>AL -4A, Sector 9 GIDA , Gorakhpur, Uttar Pradesh- 273209</t>
  </si>
  <si>
    <t>IOCL - Citi Fuels, Virender Nagar</t>
  </si>
  <si>
    <t>OPP.-VIRENDER NAGAR NEAR BHARATI COLLEGE NEW DELHI</t>
  </si>
  <si>
    <t>SRM Motors, Vikas Nagar</t>
  </si>
  <si>
    <t>Lucknow</t>
  </si>
  <si>
    <t>11/CP-2, Tedhi Pulia Ring Rd, Vikas Nagar, Lucknow, Uttar Pradesh 226022</t>
  </si>
  <si>
    <t>Shree Dev Wheels, Acharya Nagar</t>
  </si>
  <si>
    <t>Ayodhya</t>
  </si>
  <si>
    <t>Plot No 402 and 403 B Sultanpur Road, Acharya Nagar, near Avadh University, Ayodhya, UP 224001</t>
  </si>
  <si>
    <t>IOCL - Gay Service Station, Azadpur</t>
  </si>
  <si>
    <t>Near Azadpur, New Delhi,110033</t>
  </si>
  <si>
    <t>Ace Kudale Cycles, Manjri  Bk</t>
  </si>
  <si>
    <t>Manjri Bk, Pune, Maharashtra 412307</t>
  </si>
  <si>
    <t>Hotel Dreamland, ST Main Market Mahabaleshwar</t>
  </si>
  <si>
    <t>Mahabaleshwar</t>
  </si>
  <si>
    <t>BUS STAND, MAIN MARKET, behind S.T, Mahabaleshwar, Maharashtra 412806</t>
  </si>
  <si>
    <t>ARDEE MALL, Sec 52 Gurgaon</t>
  </si>
  <si>
    <t>Ardee City Road, Sector 52, Gurgaon-122022</t>
  </si>
  <si>
    <t>Hotel Baba Ramdev, Sirohi</t>
  </si>
  <si>
    <t>Sirohi</t>
  </si>
  <si>
    <t>Hotel Baba Ramdev Campus, Nh. 62, near Paladi (m), Vera Vilpur, Sirohi, Rajasthan 307043</t>
  </si>
  <si>
    <t>ABC Autolink, NH 64 Ranoli</t>
  </si>
  <si>
    <t>No 1401, Ranoli GIDC, Vadodara, NH 64, Gujarat 391350</t>
  </si>
  <si>
    <t>Brookfield, Powai</t>
  </si>
  <si>
    <t>Spectra, High St, Hiranandani Gardens, Powai, Mumbai, Maharashtra 400076</t>
  </si>
  <si>
    <t>Pay &amp; Park, Central Ave, Hiranandani Gardens, Powai, Mumbai, Maharashtra 400076</t>
  </si>
  <si>
    <t>MG Ranchi, Line Tank Road</t>
  </si>
  <si>
    <t>Near Firayalals Pulsar Plaza, Line Tank Rd, Ranchi, Jharkhand 834001</t>
  </si>
  <si>
    <t>MG Bhubaneswar, NH 16</t>
  </si>
  <si>
    <t>Bhubaneswar</t>
  </si>
  <si>
    <t>Plot No. 86/88, Near Apex Institute of Technology &amp; Management, Pahala, NH-16, Bhubaneswar, Odisha-752101</t>
  </si>
  <si>
    <t>Ginger Nashik , Satpur Colony</t>
  </si>
  <si>
    <t>Plot No P 20 (Part), Satpur MIDC Near Satpur MIDC Police Station (Near Bank of India, Branch Nashik, Trimbakeshwar Rd, MIDC, Satpur Colony, Nashik, Maharashtra 422007</t>
  </si>
  <si>
    <t>TML- Sterling Motors , Renuka Nagar</t>
  </si>
  <si>
    <t>PB No 033, Old Agra Rd, Gadkari Chowk, Renuka Nagar, Nashik, Maharashtra 422001</t>
  </si>
  <si>
    <t>IOCL Kevadia, Garudeshwar</t>
  </si>
  <si>
    <t>Kevadia</t>
  </si>
  <si>
    <t>Survey No u00e2u0080u0093 422, 423 Village u00e2u0080u0093 Kevadiya, Taluka u00e2u0080u0093 Garudeshwar District u00e2u0080u0093 Narmada, Gujarat, 393151</t>
  </si>
  <si>
    <t>Satish Motors, Wanjarwadi</t>
  </si>
  <si>
    <t>Aurangabad</t>
  </si>
  <si>
    <t>Plot No72/1 Saharanpur, Wanjarwadi Aurangabad 431002</t>
  </si>
  <si>
    <t>Heritage Motors, Ghodbunder</t>
  </si>
  <si>
    <t>Rosa Vista, MH SH 42, opp. Suraj Water Park, Thane, Maharashtra 400607</t>
  </si>
  <si>
    <t>IOCL Karari Fuels, NH 44 Kishangarh</t>
  </si>
  <si>
    <t>Kisangarh</t>
  </si>
  <si>
    <t>NH 44, Kishangarh chownk, Jalandhar - Pathankot Rd, Punjab 144301</t>
  </si>
  <si>
    <t>IOCL Royal Petro, NH 44</t>
  </si>
  <si>
    <t>NH 44, Near The Royal Paradise Resort , Karnal- 132001</t>
  </si>
  <si>
    <t>Sagar Motors, Sector 5 Noida</t>
  </si>
  <si>
    <t>B-123, Udhyog Marg, opp. PayTM building, B Block, Sector 5, Noida, Uttar Pradesh 201301</t>
  </si>
  <si>
    <t>Smile Stone Motels, Kamargaon</t>
  </si>
  <si>
    <t>76/B, Nagar-Pune Road, Kamargaon, Ahmednagar,Maharashtra-411 005</t>
  </si>
  <si>
    <t>One Awadh Centre, Gomti Nagar</t>
  </si>
  <si>
    <t>384, Vibhuti Khand, Gomti Nagar, Lucknow, Uttar Pradesh 226010</t>
  </si>
  <si>
    <t>IOCL COCO u00e2u0080u0093 Central Jail RO, Rambagh</t>
  </si>
  <si>
    <t>Indore</t>
  </si>
  <si>
    <t>Snehlataganj, Indore, Madhya Pradesh 452003</t>
  </si>
  <si>
    <t>IOCL - Vrindavan Fuels, Mangal Nagar,Manikbagh</t>
  </si>
  <si>
    <t>Manikbagh, Mangal Nagar, Indore, Madhya Pradesh 452014</t>
  </si>
  <si>
    <t>Chandrani Enterprises, Bogra</t>
  </si>
  <si>
    <t>Bardhaman</t>
  </si>
  <si>
    <t>N/536 BOGRA CHATTI National Highway 2 Paschim Burdwan. , Bogra, Bardhaman- 713332</t>
  </si>
  <si>
    <t>SS Motogen, Barwadda</t>
  </si>
  <si>
    <t>Dhanbad</t>
  </si>
  <si>
    <t>NH 2 Kashitand, Nag Nagar, Barwadda, Dhanbad, Jharkhand 826004</t>
  </si>
  <si>
    <t>TC Motors, Domjur</t>
  </si>
  <si>
    <t>Howrah</t>
  </si>
  <si>
    <t>NH 16, Salap More, near Kolkata West International City, Domjur, Howrah, West Bengal 711403</t>
  </si>
  <si>
    <t>Rangeet Auto, NH 31</t>
  </si>
  <si>
    <t>Coochbehar</t>
  </si>
  <si>
    <t>31-NH CHOKCHOKA, OPPOSITE PROVA AUTOMOBILE, NEAR CHECK POST, COOCHBEHAR, COOCH BEHAR, WEST BENGAL, 736101</t>
  </si>
  <si>
    <t>Rangeet Auto, Rumtek Road</t>
  </si>
  <si>
    <t>Sikkim</t>
  </si>
  <si>
    <t>Gangtok</t>
  </si>
  <si>
    <t>R.P. ALLEY COMPLEX, ADAMPOOL, RUMTEK ROAD, GANGTOK, EAST SIKKIM, SIKKIM, 737135</t>
  </si>
  <si>
    <t>Rangeet Auto, Sevoke Road</t>
  </si>
  <si>
    <t>Siliguri</t>
  </si>
  <si>
    <t>Shop No 1 And 2, Orchid Building, Sevoke Road, Near Check Post, Near Vega Mall, Siliguri, West Bengal 734001</t>
  </si>
  <si>
    <t>Tata Steel, Park Street</t>
  </si>
  <si>
    <t>Kolkata</t>
  </si>
  <si>
    <t>43, Jawaharlal Nehru Rd, Kankaria Estates, Park Street area, Kolkata, West Bengal 700071</t>
  </si>
  <si>
    <t>Orange Auto, Erragadda</t>
  </si>
  <si>
    <t>Hyderabad</t>
  </si>
  <si>
    <t>8-3-165, Beside Gokul Theatre, Erragadda, Hyderabad u00e2u0080u0093 500018</t>
  </si>
  <si>
    <t>Orange Auto, Karkhana</t>
  </si>
  <si>
    <t>Plot No 54, Gayatri Westend Kakaguda, Karkhana, Secunderabad - 500015</t>
  </si>
  <si>
    <t>Orange Auto, Hafeezpet</t>
  </si>
  <si>
    <t>16ABC, Mini Industrial estate, Hafeezpet, Hyderabad, Telangana 500049</t>
  </si>
  <si>
    <t>KRAFT AUTO, Bokaro Industrial Area</t>
  </si>
  <si>
    <t>Bokaro</t>
  </si>
  <si>
    <t xml:space="preserve">Plot no.- II/A 88, Phase - II,Bokaro Industrial Area,Bokaro - Jharkhand 827014 </t>
  </si>
  <si>
    <t>Lexus Motors, New Town</t>
  </si>
  <si>
    <t>Plot No IID/13, Major Arterial Road (North Extension, 14, Rajarhat Rd, AA II, Newtown, Kolkata, West Bengal 700156</t>
  </si>
  <si>
    <t>Shankar Motors, Patliputra Industrial Area</t>
  </si>
  <si>
    <t>Patna</t>
  </si>
  <si>
    <t>Shankar Motors Patna, C1, behind P &amp; M Mall, Patliputra Industrial Area, Patliputra Colony, Patna, Bihar 800013</t>
  </si>
  <si>
    <t>IOCL Drive-In, Belgachia</t>
  </si>
  <si>
    <t>Khudiram Bose Road (Guchia Rd), Dutta Bagan, Belgachia, Kolkata, West Bengal 700037</t>
  </si>
  <si>
    <t>Four Points By Sheraton, Tonk Road</t>
  </si>
  <si>
    <t>No. 1, City Square, Vasundhara Colony, Tonk Road, Jaipur, Rajasthan, 302016</t>
  </si>
  <si>
    <t>Four Points By Sheraton Hotel, Nagar Road</t>
  </si>
  <si>
    <t>5th Milestone, Nagar Road, Pune - 411014</t>
  </si>
  <si>
    <t>Fairfield by Marriott,Gachibowli</t>
  </si>
  <si>
    <t>Road No. 2, Financial District, Gachibowli, Hyderabad, Telangana - 500032</t>
  </si>
  <si>
    <t>Fairfield by Marriott, Mahindra World City</t>
  </si>
  <si>
    <t>Near Main Entrance, Mahindra World City, Chennai - 603002</t>
  </si>
  <si>
    <t>Four Points by Sheraton, Chennai OMR</t>
  </si>
  <si>
    <t>Survey No 169, Plot 1B and 1A, Rajiv Gandhi Salai, Kumaran Nagar, Sholinganallur, Chennai-600119,Four Points 1, Semmancheri, Chennai, Tamil Nadu 600119</t>
  </si>
  <si>
    <t>Fairfield by Marriott, Ashram Rd</t>
  </si>
  <si>
    <t>Ashram Rd, Satyawadi Society, Usmanpura, Ahmedabad, Gujarat 380013</t>
  </si>
  <si>
    <t>IOCL - Ruchika Service Station, Mayur Vihar</t>
  </si>
  <si>
    <t>KONDLI GHARAOLI,  MAYUR VIHAR PH-III NEW DELHI-110096</t>
  </si>
  <si>
    <t>Sagar Motors, Dilshad Garden</t>
  </si>
  <si>
    <t>No ZB/43 487 &amp; ZB, 44 487, Dilshad Garden, New Delhi, Delhi 110095</t>
  </si>
  <si>
    <t>IOCL Laxmi Narayan Petroleum, Changodar</t>
  </si>
  <si>
    <t>Changodar</t>
  </si>
  <si>
    <t>National Highway 8A, Changodar, Gujarat 382210</t>
  </si>
  <si>
    <t>IOCL Om Petroleum, Kamod</t>
  </si>
  <si>
    <t>Kamod</t>
  </si>
  <si>
    <t>Kamod, Gujarat 382427</t>
  </si>
  <si>
    <t>IOCL Omkar Petroleum, Subhanpura</t>
  </si>
  <si>
    <t>High Tension Rd, Subhanpura, Vadodara, Gujarat 390023</t>
  </si>
  <si>
    <t>Lexican Motors, Matigara</t>
  </si>
  <si>
    <t>Reliance Industrial Consortium Ltd. NH 31 Baniakhari, Kusumnagar Landmark, beside Barsana Hotel, Matigara, Siliguri, West Bengal 734010</t>
  </si>
  <si>
    <t>Panvel Industrial Fastners, Mum-Pune Expressway</t>
  </si>
  <si>
    <t>Navi Mumbai</t>
  </si>
  <si>
    <t>Next MGL CNG Station, 29/37 Jawahar Coop Industrial Estate , On Mumbai - Pune Express Highway, Taluka, Kamothe, Panvel, Navi Mumbai, Maharashtra 410209</t>
  </si>
  <si>
    <t>IOCL Shanthi Social Services, Singanallur</t>
  </si>
  <si>
    <t>128, 2247, Trichy Rd, Krishnapuram Medu, Singanallur, Tamil Nadu 641005</t>
  </si>
  <si>
    <t>Hotel Mamalla Heritage, Fisherman Colony</t>
  </si>
  <si>
    <t>Mahabalipuram</t>
  </si>
  <si>
    <t>104 east raja street, Mahabalipuram, Tamil Nadu 603104</t>
  </si>
  <si>
    <t>Motel Mamalla, SH 49</t>
  </si>
  <si>
    <t>Motel Mamalla No.77, East Coast Road, SH 49, Mahabalipuram, Tamil Nadu 603104</t>
  </si>
  <si>
    <t>Pumpkin Tales, Alwarpet</t>
  </si>
  <si>
    <t>37, 20, Bheemanna Garden St, Alwarpet, Chennai, Tamil Nadu 600018</t>
  </si>
  <si>
    <t>Mahati Industries limited, Shankar Sheth Road</t>
  </si>
  <si>
    <t>32/33, Shankar Sheth Road, B/H S T Workshop, Shankar Sheth Road, Pune, Maharashtra-411037</t>
  </si>
  <si>
    <t>Blue Moon Highway Restaurant, Bangalore-Hyderabad Highway</t>
  </si>
  <si>
    <t>Anantapuram</t>
  </si>
  <si>
    <t>NH 44; Bangalore - Hyderabad  highway, 116/1B, Midthuru, Peddavaduguru, Anantapuram, Andhra Pradesh 515405</t>
  </si>
  <si>
    <t>Dion Automotives, Ankuli Bye Pass Road</t>
  </si>
  <si>
    <t>Berhampur</t>
  </si>
  <si>
    <t>Ankuli Bye Pass Road, Berhampur, Ganjam Dist ODISHA 760010</t>
  </si>
  <si>
    <t>Shyam Automotive, AB Road</t>
  </si>
  <si>
    <t>A B Road, Before Emerald Heights School, Indore, Madhya Pradesh 453331</t>
  </si>
  <si>
    <t>IOCL - Jopadevi Petroleum, Talegaon-Chakan Rd</t>
  </si>
  <si>
    <t>Khalumbre</t>
  </si>
  <si>
    <t>Talegaon-Chakan Rd, Khalumbre, Maharashtra 410501</t>
  </si>
  <si>
    <t>IOCL - Trishul Service Station, Pimpri-Chinchwad</t>
  </si>
  <si>
    <t>T-163, MIDC Bhosari, Pune, MIDC, Bhosari, Pimpri-Chinchwad, Piune-411026</t>
  </si>
  <si>
    <t>Aavas Hotels &amp; Resorts, NH 16 Velampalli</t>
  </si>
  <si>
    <t>Ongole</t>
  </si>
  <si>
    <t>NH 16, Vijayawada - Nellore Hwy, Vellampalli (Maddipadu) Ongole,  Andhra Pradesh u00e2u0080u0093 523211</t>
  </si>
  <si>
    <t>Bahubali Motors, Transport Nagar</t>
  </si>
  <si>
    <t>Raipur</t>
  </si>
  <si>
    <t>Mumbai - Kolkata Hwy, Beside M.P Dhaba, Transport Nagar, Tatibandh, Raipur, Chhattisgarh 492099</t>
  </si>
  <si>
    <t>Malik Cars, Old Bowenpally</t>
  </si>
  <si>
    <t>Adj Service Road Sri Sai Enclave, Old Bowenpally, Secunderabad, Telangana 500011</t>
  </si>
  <si>
    <t>Sairam Automobiles, Krishna Nagar</t>
  </si>
  <si>
    <t>Bhilai</t>
  </si>
  <si>
    <t>Sairam auto G. E Road, Krishna Nagar, Supela, Bhilai, Chhattisgarh 490023</t>
  </si>
  <si>
    <t>Sairam Automobiles, Light Industrial Area</t>
  </si>
  <si>
    <t>Khursipar</t>
  </si>
  <si>
    <t xml:space="preserve"> Zone III, Light Industrial Area, Khursipar, Chhattisgarh 490011</t>
  </si>
  <si>
    <t>Shankar Motors, Prem Nagar</t>
  </si>
  <si>
    <t>Bhagalpur</t>
  </si>
  <si>
    <t>Ground Floor, Sabour Rd, near Engineering College, Prem Nagar, Bhagalpur, Bihar 812002</t>
  </si>
  <si>
    <t>IOCL - NAVABHARAGAVA FILLING STATION, Vijayawada - Hyderabad Hwy</t>
  </si>
  <si>
    <t>Vijayawada</t>
  </si>
  <si>
    <t>Vijayawada - Hyderabad Hwy, Ibrahimpatnam, Andhra Pradesh 521456</t>
  </si>
  <si>
    <t>Pacific Mall, Tagore Garden</t>
  </si>
  <si>
    <t>Najafgarh Rd, Tagore Garden, Tilak Nagar, New Delhi, Delhi 110018</t>
  </si>
  <si>
    <t>Pacific Mall, Netaji Subash Palace</t>
  </si>
  <si>
    <t>Pitam Pura, New Delhi, Delhi 110034</t>
  </si>
  <si>
    <t>Pacific Mall,  Dwarka</t>
  </si>
  <si>
    <t>Dwarka sector 21 metro station, PACIFIC MALL, Sector 22 Rd, Sector 21, Dwarka, New Delhi, Delhi 110077</t>
  </si>
  <si>
    <t>Pacific Mall, Sahibabad</t>
  </si>
  <si>
    <t>Ghaziabad</t>
  </si>
  <si>
    <t>Plot Alpha, Sahibabad Industrial Area Site 4, Sahibabad, Ghaziabad, Uttar Pradesh 201010</t>
  </si>
  <si>
    <t>Pacific Mall, Rajpur Road</t>
  </si>
  <si>
    <t>Pacific mall, Rajpur Rd, Jakhan, Dehradun, Uttarakhand 248001</t>
  </si>
  <si>
    <t>Tristar Auto Agencies, RK Beach Junction</t>
  </si>
  <si>
    <t>Vizag</t>
  </si>
  <si>
    <t>Beside Kali Matha Mandhir, RK Beach Junction, Visakhapatnam-530002</t>
  </si>
  <si>
    <t>Zostel, Dandeghar</t>
  </si>
  <si>
    <t>Panchgani</t>
  </si>
  <si>
    <t>Panchgani, Wai, Main Road, Dandeghar, Maharashtra 412805</t>
  </si>
  <si>
    <t>Rama Automobiles, Patilwada</t>
  </si>
  <si>
    <t>Ground Floor Pune Nasik Highway, Manchar, Shevawadi, behind Morde Food Product Company, Patilwada, Pune, Maharashtra 410503</t>
  </si>
  <si>
    <t>Hotel Temple View, Sai Nagar</t>
  </si>
  <si>
    <t>Sai Murali Complex, Manmad Rd, opp. Sai Temple Nagar, Sai Nagar, Shirdi, Maharashtra 423109</t>
  </si>
  <si>
    <t>Gramps Auto, Bampada</t>
  </si>
  <si>
    <t>Balasore</t>
  </si>
  <si>
    <t>NH 16 (Old NH 5), Bampada, Balasore. State: ODISHA, Pin: 756056</t>
  </si>
  <si>
    <t>Jagdalpur Motors, Geedam Road</t>
  </si>
  <si>
    <t>Jagdalpur</t>
  </si>
  <si>
    <t>Geedam Rd, Pandripan, Chhattisgarh 492099</t>
  </si>
  <si>
    <t>Pragati Trading, NH 37</t>
  </si>
  <si>
    <t>Jorhat</t>
  </si>
  <si>
    <t>NH37, Jorhat, Assam 785006</t>
  </si>
  <si>
    <t>Yaksh The Art People, Delhi-Jaipur Highway</t>
  </si>
  <si>
    <t>Sayri</t>
  </si>
  <si>
    <t>Yaksh, The Art People, Delhi-Jaipur Highway, Syari, Rajasthan 303002</t>
  </si>
  <si>
    <t>Oberoi Mall, Goregaon</t>
  </si>
  <si>
    <t>Western Express Hwy, Yashodham, Goregaon, Mumbai, Maharashtra 400063</t>
  </si>
  <si>
    <t>Parin Motors, NH8 Gondal Highway</t>
  </si>
  <si>
    <t>Rajkot</t>
  </si>
  <si>
    <t>149, Plot No 2, Survey No, NH 8B, Gondal Highway, near Parin Furniture, Rajkot, Gujarat 360004</t>
  </si>
  <si>
    <t>IOCL RO u00e2u0080u0093 Basanti Hwy, Bayarmari</t>
  </si>
  <si>
    <t>Bayamari</t>
  </si>
  <si>
    <t>Plot 392&amp;393 Mouza, Bayarmari, Nazat Dist. North 24 Paraganas - West Bengal 743442</t>
  </si>
  <si>
    <t>Ashutosh Motors, near NHPC Godown</t>
  </si>
  <si>
    <t>Biroh Bebejia Sensowa, near NHPC Godown, Nagaon, Assam 782002</t>
  </si>
  <si>
    <t>Daspalla Hotels, Jubilee Hills</t>
  </si>
  <si>
    <t>Daspalla Hotels u00e2u0080u0093 (Jublee Hill Resorts Pvt Ltd)- Rd Number 37, CBI Colony, Jubilee Hills, Hyderabad, Telangana 500033</t>
  </si>
  <si>
    <t xml:space="preserve">Hotel Greenland Towers, NH 6 &amp; 16 </t>
  </si>
  <si>
    <t>Rupnarayanpur</t>
  </si>
  <si>
    <t>NH 6&amp;16, Industrial Area, Rupnarayanpur, West Bengal 721301</t>
  </si>
  <si>
    <t>Trupti Enterprises, Bhagabanpur Industrial Area</t>
  </si>
  <si>
    <t>IDCO, Plot No 16, 17, 32&amp;33 Bhagabanpur Industrial Area, Bhubaneswar, Odisha 751019</t>
  </si>
  <si>
    <t>Trimurti Petroleum, Panvel</t>
  </si>
  <si>
    <t>GUT NO.151/2, VILLAGE - AJIVALI, TALUKA - PANVEL, RAIGAD, AJIVALI, 410216</t>
  </si>
  <si>
    <t xml:space="preserve">HP Service Center, Sola </t>
  </si>
  <si>
    <t>F.P. No 232/1, Solaroad, Ahmedabad 380061</t>
  </si>
  <si>
    <t>HP Autocare , Bodakdev</t>
  </si>
  <si>
    <t>JUDGES BUNGALOW ROAD, T VILLAGE : BODAKDEV , CITY : AHMEDABAD 380054</t>
  </si>
  <si>
    <t>Daisy Motors, TML - CV, Hisar</t>
  </si>
  <si>
    <t>Hisar</t>
  </si>
  <si>
    <t>Daisy Motors, 12th KM Stone, Delhi-Hisar Bypass, Road, Hisar - 125001</t>
  </si>
  <si>
    <t>Shree Balaji Autowheels, Moradabad</t>
  </si>
  <si>
    <t>Moradabad</t>
  </si>
  <si>
    <t>Ground Floor, Delhi Rd, opposite Circuit House, Majhola, Moradabad, Uttar Pradesh 244001</t>
  </si>
  <si>
    <t>IOCL - Tikri Gas, Delhi</t>
  </si>
  <si>
    <t>Rohtak Road, Block C, Tyagi Vihar, Ghevra, Delhi, 110072</t>
  </si>
  <si>
    <t>Manickbag automobiles, Udyambag</t>
  </si>
  <si>
    <t>Belgaum</t>
  </si>
  <si>
    <t>No 691, Bemciel Industrial Estate Khanapur Road, NH4 A, Udyambag, next to Bemco, Belagavi, Karnataka 590008</t>
  </si>
  <si>
    <t>Manickbag automobiles, Vidya Nagar</t>
  </si>
  <si>
    <t>Hubli</t>
  </si>
  <si>
    <t>VIDYA NAGAR, DIST : Hubli, Karnataka 580031</t>
  </si>
  <si>
    <t>Sonaee Veg Family Restaurant, Pune-Solapur Highway</t>
  </si>
  <si>
    <t>Uruli Kanchan</t>
  </si>
  <si>
    <t>National Highway 65 Yavat, Uruli Kanchan, Maharashtra 412202</t>
  </si>
  <si>
    <t>IOCL - Hemkund, Pasonda</t>
  </si>
  <si>
    <t>Khasra No 1746/2,Village u00e2u0080u0093 Pasonda,Tehsil- Sadar,Dist u00e2u0080u0093 Ghaziabad-201005</t>
  </si>
  <si>
    <t>IOCL Risal Petro Delhi</t>
  </si>
  <si>
    <t>Burari Rd, opposite Sta Tpt Authority, Laldora, Jharoda, Jharoda Majra Burari, New Delhi, Delhi 110084</t>
  </si>
  <si>
    <t>IOCL Paul Motors Delhi</t>
  </si>
  <si>
    <t>Main Road, Sat Guru Ram Singh Rd, MS Block, Block F, Mayapuri Industrial Area Phase II, Mayapuri, New Delhi, Delhi 110064</t>
  </si>
  <si>
    <t>Yash Motors, Chittorgarh</t>
  </si>
  <si>
    <t>Chittorgarh</t>
  </si>
  <si>
    <t>Meera smiriti sansthan gram ochari, nimbahera Road, Ochari,  Chittorgarh, Rajasthan 312001</t>
  </si>
  <si>
    <t>Kaveri Auto Garage, Seelapadi</t>
  </si>
  <si>
    <t>Dindigul</t>
  </si>
  <si>
    <t>478/1A2, Trichy Bypass, Seelapadi, Dindigul, Tamil Nadu, 624005</t>
  </si>
  <si>
    <t>Kaveri Auto Garage, Paravai Bit 1 village</t>
  </si>
  <si>
    <t>Madurai</t>
  </si>
  <si>
    <t>New Survey No 146/2C,148/1A,149/1B2A, Paravai Bit 1 village, Madurai, 625402</t>
  </si>
  <si>
    <t>Key Motors, Bannerghatta Road</t>
  </si>
  <si>
    <t>Bangalore</t>
  </si>
  <si>
    <t>#215/15, Arakere Gate, Bannerghatta Main Rd, Bengaluru, Karnataka 560076</t>
  </si>
  <si>
    <t>The Grand Legacy, Panchgani-Mahabaleshwar Road</t>
  </si>
  <si>
    <t>Panchgani-Mahabaleshwar Road, Post. Met-Gutad, behind Saj Resort by Club Mahindra, Mahabaleshwar, Maharashtra 412806</t>
  </si>
  <si>
    <t>Highway Grand World, Chennai-Tirupati Highway NH 716</t>
  </si>
  <si>
    <t>Tirupati</t>
  </si>
  <si>
    <t>Chennai - Thiruttani - Renigunta Hwy, NH716 - Veerakaverirajupuram, Andhra Pradesh, Nagari, Andhra Pradesh 517590</t>
  </si>
  <si>
    <t>Hotel Sapthagiri Holiday Resorts,Tirupati u00e2u0080u0093 Bangalore  Highway</t>
  </si>
  <si>
    <t>Chittoor</t>
  </si>
  <si>
    <t>NH140, Tirupati u00e2u0080u0093 Bangalore  Highway, Sy No: 1201&amp;1189, B G Mittor Village, Tanepalli, Puthalapattu Mandal, Chittoor, Andhra Pradesh - 517127</t>
  </si>
  <si>
    <t>Gadanki</t>
  </si>
  <si>
    <t>NH140, Gadanki, Andhra Pradesh - 517112</t>
  </si>
  <si>
    <t>Hotel Artland, Old Digha Purba</t>
  </si>
  <si>
    <t>Digha</t>
  </si>
  <si>
    <t>Old digha purba, Digha Barrister Colony Rd, beside seahawk, West Bengal 721428</t>
  </si>
  <si>
    <t>IOCL Sree Devi Prasad Services, Naamavaram</t>
  </si>
  <si>
    <t>Naamavaram</t>
  </si>
  <si>
    <t>Naamavaram, Andhra Pradesh 531126</t>
  </si>
  <si>
    <t>Lankeswari Motors, Hatpada</t>
  </si>
  <si>
    <t>Jeypore</t>
  </si>
  <si>
    <t>Plot No 576, 577 &amp; 580 Hatpada, Jeypore, Odisha 764001</t>
  </si>
  <si>
    <t>Nandi Food Plaza, Nalagam palli</t>
  </si>
  <si>
    <t>NH 69 - 174 Nalagampalli Chittoor-Bangalore Highway Close to Bangarupalem, Village, Nalagam palli, Andhra Pradesh 517416</t>
  </si>
  <si>
    <t>River Bay Resorts, Gautami Ghat</t>
  </si>
  <si>
    <t>Rajahmundry</t>
  </si>
  <si>
    <t>Hotel River Bay Resort, 5-1-36 to 43 Gautami Ghat, Rajahmundry-533101</t>
  </si>
  <si>
    <t>Hotel Vivanta, Patrapada</t>
  </si>
  <si>
    <t>IDCO Plot No1/A,Bhagbanpur Industrial Estate, DN Square, Patrapada, Bhubhaneswar -751019</t>
  </si>
  <si>
    <t>Morya Transport Terminus, MIDC Bhosari</t>
  </si>
  <si>
    <t>Plot no BGP 109 Village MIDC Bhosari Taluka Haveli Pune 411026</t>
  </si>
  <si>
    <t>DN Group Corporate Office, Nayapalli</t>
  </si>
  <si>
    <t>VIP-15, VIP Colony, IRC Village, Nayapalli, Bhubaneswar, Odisha 751015</t>
  </si>
  <si>
    <t>GUGNANI AUTOCARS, Mancheswar Industrial Estate</t>
  </si>
  <si>
    <t>PLOT NO.-S, 3/48, Block C, Sector A, Mancheswar Industrial Estate, Bhubaneswar, Odisha 751010</t>
  </si>
  <si>
    <t>GUGNANI TYRES, Nayapalli</t>
  </si>
  <si>
    <t>uco bank, 1294, CRP - DAV Rd, Nilakantha Nagar, Nayapalli, Bhubaneswar, Odisha 751012</t>
  </si>
  <si>
    <t>DN Regalia Mall, Patrapada</t>
  </si>
  <si>
    <t>IDCO Plot No1/A, Bhagbanpur Industrial Estate, DN Square, Patrapada, Bhubhaneswar 751001</t>
  </si>
  <si>
    <t>Trupti Automotives, Mohammed Jamalpur</t>
  </si>
  <si>
    <t>Keonjhar</t>
  </si>
  <si>
    <t>Keonjhar - Ghatgaon - Panikoili Rd, Mohammed Jamalpur, Odisha 755015</t>
  </si>
  <si>
    <t>Trupti Automotives, Angul</t>
  </si>
  <si>
    <t>Angul</t>
  </si>
  <si>
    <t>NH 55, TELCO CHOWK, NUAHATA, Banarpal, Angul, Odisha 759128</t>
  </si>
  <si>
    <t>Sarawgi Motors, Saukuchi</t>
  </si>
  <si>
    <t>Sarusajai Stadium Garalia NH 37, Basistha, Saukuchi, near National Games Stadium, Assam 781040</t>
  </si>
  <si>
    <t xml:space="preserve">Umaid Lake Resort, Kalakho </t>
  </si>
  <si>
    <t>Dausa</t>
  </si>
  <si>
    <t>Karuna Enterprises kalakho (Umaid Lake Palaceu00c2u00a0 Village post Kalakho, NH 21 District Dausa, Rajasthan-303304</t>
  </si>
  <si>
    <t>Rajshree Resort, Saladwas</t>
  </si>
  <si>
    <t>KHASRA NO.131/1 AND 132/1, VILLAGE SALADWAS, CHANDWAJI, N.H.8 TEHSIL AMER, JAIPUR, Rajasthan - 303113</t>
  </si>
  <si>
    <t>Bravia Hotel, Vaishali Nagar</t>
  </si>
  <si>
    <t>Ajmer</t>
  </si>
  <si>
    <t>Bravia Hotel, Vaishali Nagar, near Urban Haat, Rajasthan 305004</t>
  </si>
  <si>
    <t>Dusk View Resort, near Bisalpur Dam</t>
  </si>
  <si>
    <t>Beesalpur</t>
  </si>
  <si>
    <t>Dusk View Resort Near Fishing Landing Center 1 km from Bisalpur Dam Towards Toda Rai Singh, Beesalpur, Rajasthan 304804</t>
  </si>
  <si>
    <t>Hotel Shemron, Neemrana</t>
  </si>
  <si>
    <t>Shahjahanpur</t>
  </si>
  <si>
    <t>Hotel Shemron, NH-8 Shahjahanpur, Neemrana, Shahjahanpur, Rajasthan 301706</t>
  </si>
  <si>
    <t>Gokulam Park Munnar, Power House Road</t>
  </si>
  <si>
    <t>Munnar</t>
  </si>
  <si>
    <t>South Chithirapuram, Power House Road, Munnar - 685565</t>
  </si>
  <si>
    <t>Dakshin Motors, NH - 4</t>
  </si>
  <si>
    <t>Hiriyur</t>
  </si>
  <si>
    <t>NH-4 , Pattrehalli adivala village, Hiriyur- 577598</t>
  </si>
  <si>
    <t>IOCL - KOORAPATI SERVICE STATION, Tirupati</t>
  </si>
  <si>
    <t>TIRUPATI URBAN AND MANDAL Air bye-pass road. Tirupati, Chittoor Dist ANDHRA PRADESH</t>
  </si>
  <si>
    <t>IOCL - Sai Krupa Filling Station, SH 26</t>
  </si>
  <si>
    <t>Anantapur</t>
  </si>
  <si>
    <t>SH 26, Vajrakarur to Guntakal Road SURVEY No.401-AIu00e2u0080u008b, Anantapur Dist. ANDHRA PRADESH,515722</t>
  </si>
  <si>
    <t>IOCL - PIONEER AUTO SERVICE, Bagdogara</t>
  </si>
  <si>
    <t>Darjeeling</t>
  </si>
  <si>
    <t>BAGDOGRA PO: BAGDOGRA DT: DARJEELING; West Bengal PIN: 734422</t>
  </si>
  <si>
    <t>Goyal Coal Sizing, Pendridih</t>
  </si>
  <si>
    <t>Bilaspur</t>
  </si>
  <si>
    <t>Village: Sara Pendridih Seepat, Bilaspur By-Pass, Chhattisgarh 495330</t>
  </si>
  <si>
    <t>Mr. Lalit Jenau00e2u0080u0098s Site, Panikoili</t>
  </si>
  <si>
    <t>Jajpur</t>
  </si>
  <si>
    <t>Beside Prasanta Filling Station(BPCL), Plot 1632, Mouza, Baliposi, PO: Baliposi, PS: Sathipur, Panikoili District, Jajpur 755025</t>
  </si>
  <si>
    <t>Prince Guest House &amp; Restaurant, Transport Nagar</t>
  </si>
  <si>
    <t>In front of Parking No 6 Transport Nagar, Rawa bata, Raipur, Chhattisgarh 492003</t>
  </si>
  <si>
    <t>Sasya Auto Cars, Bellari X Roads - NH 44</t>
  </si>
  <si>
    <t>Renault Showroom, 45/142-70-5-B, NH44 Near APSP 2nd Battallion, Bellari X Roads, Kurnool, Andhra Pradesh 518003</t>
  </si>
  <si>
    <t>Sasya Automotives, Near EENADU Office - NH 44</t>
  </si>
  <si>
    <t>Isuzu Showroom, Survey No-131-1 &amp; 133-1A NH44 Near EENADU Office, Kurnool, Andhra Pradesh 518003</t>
  </si>
  <si>
    <t>HPCL - Badarpur Service Station, Gazipur</t>
  </si>
  <si>
    <t>Integrated Freight Complex, Mayur Vihar Phase III, Gharoli, Delhi, Uttar Pradesh 110096</t>
  </si>
  <si>
    <t>Sree Gokulam Motors, Kattuppakkam</t>
  </si>
  <si>
    <t>no 2/232, Mount ponamalle road,Swaminatha nagar, Pushpa Nagar, Kattupakkam, Chennai - 600056</t>
  </si>
  <si>
    <t>Malayalam Vehicles, Aluva</t>
  </si>
  <si>
    <t>Aluva</t>
  </si>
  <si>
    <t>Building No 18/615/1, 615/2 Sy No 176/2, 176/3, Aluva West, near Pulichode Signal, Kerala 683101</t>
  </si>
  <si>
    <t>Malayalam Vehicles, Vytila</t>
  </si>
  <si>
    <t>Kochi</t>
  </si>
  <si>
    <t>Sharon Tower, No 52/3171, 3172, opposite Salafi Masjid, Vyttila, Ernakulam, Kerala 682019</t>
  </si>
  <si>
    <t>Taj Hotels Chikmagalur, KM Road</t>
  </si>
  <si>
    <t>Chikmagalur</t>
  </si>
  <si>
    <t>KM Road - Jyothi Nagar post, Chikmagalur- 577102</t>
  </si>
  <si>
    <t>PNR Function Hall, Chennai-Ballary Highway</t>
  </si>
  <si>
    <t>Proddatur</t>
  </si>
  <si>
    <t xml:space="preserve">D No 7/3109 Sy No 622, Beside IOCL petrol pump, Korrapadu Road, Andhrakesari Nagar, Proddatur Municipality, Andhra Pradesh 516360 </t>
  </si>
  <si>
    <t>DLF - The Crest, Sec 43</t>
  </si>
  <si>
    <t>DLF Phase 5, Sector 43, Gurugram, Haryana 122002</t>
  </si>
  <si>
    <t>The Gateway Hotel, Ambad</t>
  </si>
  <si>
    <t>Ambad, Nashik, Maharashtra-422010</t>
  </si>
  <si>
    <t>AB Infra Limited, old MIDC</t>
  </si>
  <si>
    <t>Latur</t>
  </si>
  <si>
    <t>Plot No- F-54, old MIDC, Latur- 413531</t>
  </si>
  <si>
    <t>Hansa Motors, Buttibori</t>
  </si>
  <si>
    <t>NH 07, Plot no-X-273, Near Rajnayan Petrol Pump, Buttibori, Nagpur-441122</t>
  </si>
  <si>
    <t>IOCL - Tyagi Brothers Service Station</t>
  </si>
  <si>
    <t>IOCL on Ghaziabad bulandshahar Road, Stone No 26. 850 Vill Chhapraula Distt GB Nagar</t>
  </si>
  <si>
    <t>IOCL - Vibhor S Station</t>
  </si>
  <si>
    <t>IOCL on Ghaziabad - Hapur  Road (NH-24) At Mauza Garhmukhteshwar Near KM Stone No. 87 Dist Ghaziabad (UP)</t>
  </si>
  <si>
    <t xml:space="preserve">IOCL - AAUI Service Station </t>
  </si>
  <si>
    <t>IOCL at Plot No 1 I P Estate Ring Road New Delhi</t>
  </si>
  <si>
    <t>IOCL - Agarwal  Service Station</t>
  </si>
  <si>
    <t>IOCL on Khatauli Near KM Stone NO 15.5  On NH -58 Meerut/ Delhi  Muzzaffarnagar Road, Khasra No 1745/0752, Dist Muzaffarnagar, State UP</t>
  </si>
  <si>
    <t>Hotel Suba International, Andheri East</t>
  </si>
  <si>
    <t>Saharu00c2u00a0 Road, Near Cigarret Factory, Chakala, Andheri East Mumbai 400099</t>
  </si>
  <si>
    <t>Hotel Suba Galaxy, Andheri East</t>
  </si>
  <si>
    <t>NS Phadake Marg, Opp Teli galli,Near Eastern expres Highway, Andheri East Mumbai 400069u00c2u00a0</t>
  </si>
  <si>
    <t>Hotel Suba Palace, Fort</t>
  </si>
  <si>
    <t>Apppllo Bunder Road, Near Gate way of India, fortu00c2u00a0 Mumbai 400039</t>
  </si>
  <si>
    <t>Hotel Suba Grand, Dahej</t>
  </si>
  <si>
    <t>Bharuch</t>
  </si>
  <si>
    <t>jolva village , dahej, bharuch ,State u00e2u0080u0093 24 Gujarat 392135</t>
  </si>
  <si>
    <t>Hotel Suba Elite, Fatehganj Main Road</t>
  </si>
  <si>
    <t>near Parsi Agiyari , Fatehganj Main Road, Vadodara u00e2u0080u0093 390 002 Gujarat 390002</t>
  </si>
  <si>
    <t>Click Hotel, Rane Nagar</t>
  </si>
  <si>
    <t>904, Mumbai - Agra National Hwy, opposite Orchid International, Rane Nagar, Nashik, Maharashtra 422009, India</t>
  </si>
  <si>
    <t>Click Hotel, Raja Park</t>
  </si>
  <si>
    <t>Udai Marg, Raja Park, Jaipur, Rajasthan 302007</t>
  </si>
  <si>
    <t>Click Hotel, Cidco</t>
  </si>
  <si>
    <t>Phulambri - Sillod Rd, Hudco, Yadav Nagar, N 11, Cidco, Aurangabad, Maharashtra 431003</t>
  </si>
  <si>
    <t>Click Hotel, Junagadh</t>
  </si>
  <si>
    <t>Junagadh</t>
  </si>
  <si>
    <t>Near Railway Station,Junagadh, Gujratu00c2u00a0u00c2u00a0 362001</t>
  </si>
  <si>
    <t>Click Hotel, Bhuj</t>
  </si>
  <si>
    <t>Bhuj</t>
  </si>
  <si>
    <t>opp. Bhuj railway compound,Bhuj, Gujarat 370001</t>
  </si>
  <si>
    <t>Devarana, Delhi-Dehradun Highway</t>
  </si>
  <si>
    <t>Devrana, Delhi Dehradun Highway NH58, Muzaffarnagar, UP 251203</t>
  </si>
  <si>
    <t>Roshan Motors, Shahpura</t>
  </si>
  <si>
    <t>Roshan Motors, NH-8 Neelka, district, Shahpura, Rajasthan, Pin-303119</t>
  </si>
  <si>
    <t>Gardenia SPA &amp; Resort, Sec 11</t>
  </si>
  <si>
    <t xml:space="preserve">Uttarakhand </t>
  </si>
  <si>
    <t>Plot No 1 Sector 11 SIDCUL Haridwar Uttarakhand -249403</t>
  </si>
  <si>
    <t>Hotel Flora, Shivalik Nagar</t>
  </si>
  <si>
    <t>M3, M4  Shivalik Nagar Haridwar Uttarakhand -249403</t>
  </si>
  <si>
    <t>Misty Mountain Teyla, Peermade</t>
  </si>
  <si>
    <t>Kuttikkanam</t>
  </si>
  <si>
    <t>HXJC+526, Peermade, Kuttikkanam, Kerala 685531</t>
  </si>
  <si>
    <t>Click Collection, Sindhi Camp</t>
  </si>
  <si>
    <t>Plot No 1, 2, opposite Polovictory Cinema, Sindhi Camp, Jaipur, Rajasthan 302001</t>
  </si>
  <si>
    <t>Sree Venkateswara Motors, Dasnapur</t>
  </si>
  <si>
    <t>Adilabad</t>
  </si>
  <si>
    <t>Plot No 8, Survey no - 21/4, industrial area, Dasnapur, Adilabad u00e2u0080u0093 504001</t>
  </si>
  <si>
    <t>Volltic DCS06</t>
  </si>
  <si>
    <t>GF, 11F Salarpuria GR Tech Park, Khatha No 69/3, Mahadevapura CMC Ground-8 &amp;10 FL, Whitefield Road, Bengaluru, Karnataka 560066</t>
  </si>
  <si>
    <t>Volltic DCS01</t>
  </si>
  <si>
    <t>infosys limited, Konappana Agrahara, Electronic City, Bengaluru, Karnataka 560100</t>
  </si>
  <si>
    <t>Volltic DCS012</t>
  </si>
  <si>
    <t>Tesco Campus Rd, Nallurhalli, Whitefield, Bengaluru, Karnataka 560066</t>
  </si>
  <si>
    <t>Volltic DCS015</t>
  </si>
  <si>
    <t>E-Zone Club, No, 23/24, Outer Ring Rd, Chinnapannahalli, Marathahalli, Bengaluru, Karnataka 560037</t>
  </si>
  <si>
    <t>Volltic DCS017</t>
  </si>
  <si>
    <t>117 &amp; 118, Divyasree Technopark Main Rd, EPIP Zone, Whitefield, Bengaluru, Karnataka 560066</t>
  </si>
  <si>
    <t>Volltic DCS02</t>
  </si>
  <si>
    <t>Prestige Tech Park, 8th Floor, Etamin Block, Marathahalli - Sarjapur Outer Ring Rd, 2, Kadubeesanahalli, Bengaluru, Karnataka 560103</t>
  </si>
  <si>
    <t>Volltic DCS09</t>
  </si>
  <si>
    <t>Embassy Golf Links Business Park, Challaghatta, Bengaluru, Karnataka 560071</t>
  </si>
  <si>
    <t>Volltic DCS018</t>
  </si>
  <si>
    <t>Bellary</t>
  </si>
  <si>
    <t>Siri enterprises,Post Box No. 9, District Bellary, Toranagallu, Karnataka 583275</t>
  </si>
  <si>
    <t>Volltic DCS03</t>
  </si>
  <si>
    <t>Baba mallah plot, near lakshya tent house, village wazirabad, sector 52, gurgaon, haryana</t>
  </si>
  <si>
    <t>Volltic PCS01</t>
  </si>
  <si>
    <t>285, Baharampur Naya Marg, Baharampur Naya, Sector 61, Gurugram, Haryana 122011</t>
  </si>
  <si>
    <t>Volltic DCS04</t>
  </si>
  <si>
    <t>Vatika City, Block W, sector 49, gurgaon, Haryana</t>
  </si>
  <si>
    <t>Volltic DCS05</t>
  </si>
  <si>
    <t>Building no. 9, Candor TechSpace, IT/ITES SEZ, Tikri, Sector 48, Gurugram, Haryana 122018</t>
  </si>
  <si>
    <t>Volltic DCS011</t>
  </si>
  <si>
    <t>Institutional Area, Sector 32, Gurugram, Haryana 122018</t>
  </si>
  <si>
    <t>Volltic HR001</t>
  </si>
  <si>
    <t>Plot No u0096 283, Sector u0096 7, IMT Manesar, Gurugram, Haryana 122050</t>
  </si>
  <si>
    <t>Volltic DCS016</t>
  </si>
  <si>
    <t>Waverock, Virtusa Polaris, Financial District, Nanakaramguda, Telangana 500032</t>
  </si>
  <si>
    <t>Volltic PCS03</t>
  </si>
  <si>
    <t>Paschim vidyut vitran co Ltd, GPH compound, Indore, Pologround,madhya pradesh</t>
  </si>
  <si>
    <t>Volltic PCS04</t>
  </si>
  <si>
    <t>Gala No14 A, KBM compound, military road, raje shivaji nagar, marol, andheri east, 400072</t>
  </si>
  <si>
    <t>Volltic DCS08</t>
  </si>
  <si>
    <t>Golden Ikon Fleet Management, Iffco chowk delhi</t>
  </si>
  <si>
    <t>Volltic DCS014</t>
  </si>
  <si>
    <t>139,140 Noida special economic zone, A block, Phase 2, Noida, Uttar pradesh</t>
  </si>
  <si>
    <t>Volltic UJ001</t>
  </si>
  <si>
    <t>Ujjain</t>
  </si>
  <si>
    <t>8 Ghatkarpar Marg, above Mayank Traders, Madhav Nagar, Ujjain, Madhya Pradesh 456001</t>
  </si>
  <si>
    <t>BYPL Patparganj</t>
  </si>
  <si>
    <t>Near Swati Apartment, Mother Dairy Marg, I.P.Extension, Mandawali, New Delhi, Delhi 110092</t>
  </si>
  <si>
    <t>DLF Gateway Charging Station</t>
  </si>
  <si>
    <t>IndusInd Metro Station, DLF Cyber City, DLF Phase 2, Sector 24, Gurugram, Haryana 122022</t>
  </si>
  <si>
    <t>Shree Siddhi Vinayak Indian Oil Petrol Pump</t>
  </si>
  <si>
    <t>Shree Siddhi Vinayak Indian Oil Petroleum Judges Bangla, Satya Marg, Bodakdev, Ahmedabad, Gujrat</t>
  </si>
  <si>
    <t>COCO Vejalpur Ahmedabad</t>
  </si>
  <si>
    <t>Next to Sachin Towers, shyamal Cross Roads, Anand nagar Cross Roads, Ahmedabad, Gujrat</t>
  </si>
  <si>
    <t>EESL yelahanka</t>
  </si>
  <si>
    <t>Singanayakanahalli, Bangalore, State Highway 9, Yelahanka Rd, Yelahanka, Karnataka 560064</t>
  </si>
  <si>
    <t>BESCOM HSR Layout</t>
  </si>
  <si>
    <t>HSR Layout Bengaluru, Karnataka - 560001</t>
  </si>
  <si>
    <t>BESCOM BTM Layout</t>
  </si>
  <si>
    <t>BTM Layout Bengaluru, Karnataka - 560001</t>
  </si>
  <si>
    <t>BESCOM Murugeshpalya</t>
  </si>
  <si>
    <t>Murugeshpalya Bengaluru, Karnataka - 560001</t>
  </si>
  <si>
    <t>BESCOM Indiranagar</t>
  </si>
  <si>
    <t xml:space="preserve"> Bengaluru, Karnataka 560001</t>
  </si>
  <si>
    <t>BESCOM Katriguppe</t>
  </si>
  <si>
    <t>Katriguppe, Bengaluru, Karnataka - 560001</t>
  </si>
  <si>
    <t>BESCOM Byatarayanapura</t>
  </si>
  <si>
    <t>Byatarayanapura, Bengaluru, Karnataka - 560001</t>
  </si>
  <si>
    <t>BESCOM Corporate Office</t>
  </si>
  <si>
    <t>Nunegundlapalli, Ambedkar Veedhi, Bengaluru, Karnataka 560001</t>
  </si>
  <si>
    <t>BESCOM Mahadevpura</t>
  </si>
  <si>
    <t>Mahadevpura, Bengaluru, Karnataka - 560001</t>
  </si>
  <si>
    <t>BESCOM Banaswadi</t>
  </si>
  <si>
    <t>Banaswadi, Bengaluru, Karnataka - 560001</t>
  </si>
  <si>
    <t>Jai Hanuman Indian Oil Petrol Pump</t>
  </si>
  <si>
    <t>Jai Hanuman Service Station, Indian Oil Petrol Pump, No 82/1, Nagawara Main Road, Nagawara</t>
  </si>
  <si>
    <t>BESCOM Mathikere</t>
  </si>
  <si>
    <t>Mathikere  Bengaluru, Karnataka - 560001</t>
  </si>
  <si>
    <t>BESCOM Yalhanka</t>
  </si>
  <si>
    <t xml:space="preserve"> Yalhanka Bengaluru, Karnataka - 560001</t>
  </si>
  <si>
    <t>Fuel Zone -Indian Oil Petrol Pump</t>
  </si>
  <si>
    <t>Fuel Zone RO, Bharti Nagar, Hunasamaranahalli, Bengalurum Karnataka - 560045</t>
  </si>
  <si>
    <t>IOCL AB Enterprises</t>
  </si>
  <si>
    <t>Old Mahabalipuram Rd, Semmancheri, Chennai, Tamil Nadu 600119</t>
  </si>
  <si>
    <t>IOCL Ms Immanuel Agencies</t>
  </si>
  <si>
    <t>1, Kamarajar Salai, K P Nagar, Ramapuram, Chennai, Tamil Nadu 600089</t>
  </si>
  <si>
    <t>IOCL Ms SRI SAI Balaji Agencies</t>
  </si>
  <si>
    <t>Ayyavoo Colony, Nelson Manickam Rd, Aminjikarai, Collectorate Colony, Balavinayagar Nagar, Chennai, Tamil Nadu 600029</t>
  </si>
  <si>
    <t>EESL Chennai Metrol Alandur Station</t>
  </si>
  <si>
    <t>Alandur, Metro Car Parking Chennai, Tamil Nadu 600016</t>
  </si>
  <si>
    <t>EESL Saidapet Metro</t>
  </si>
  <si>
    <t>C/20-C/19, NH 45, Todd Hunter Nagar, Nandanam, Chennai, Tamil Nadu 600015</t>
  </si>
  <si>
    <t>EESL Chennai Metro Nandanam station</t>
  </si>
  <si>
    <t>Anna Salai, CIT Nagar West, CIT Nagar, Chennai, Tamil Nadu 600035</t>
  </si>
  <si>
    <t>EESL Koyambedu</t>
  </si>
  <si>
    <t>Koyambedu, Chennai, Tamil Nadu 600107</t>
  </si>
  <si>
    <t>EESL Thirumangalam Metro</t>
  </si>
  <si>
    <t>2nd Ave, L Block, Kurinji Colony, Anna Nagar, Chennai, Tamil Nadu 600040</t>
  </si>
  <si>
    <t>EESL Anna Nagar East station</t>
  </si>
  <si>
    <t>A Block, Annanagar East, Chennai, Tamil Nadu 600102</t>
  </si>
  <si>
    <t>EESL Chennai Egmore Metro</t>
  </si>
  <si>
    <t>Egmore, Chennai, Tamil Nadu 600008</t>
  </si>
  <si>
    <t>EESL High Court station</t>
  </si>
  <si>
    <t>Esplanade Rd, Parrys, George Town, Chennai, Tamil Nadu 600104</t>
  </si>
  <si>
    <t>EESL SDA Market</t>
  </si>
  <si>
    <t>Unnamed Road, Block C 5, Hauz Khas Enclave, Hauz Khas, New Delhi, Delhi 110016</t>
  </si>
  <si>
    <t>EESL R block GK1</t>
  </si>
  <si>
    <t>Hansraj Gupta Rd, Greater Kailash I, Greater Kailash, New Delhi, Delhi 110048</t>
  </si>
  <si>
    <t>KSEBL Palarivattom</t>
  </si>
  <si>
    <t>Ernakulam</t>
  </si>
  <si>
    <t>Executive Enginer, Electrical Division, Ernakulam</t>
  </si>
  <si>
    <t xml:space="preserve">Mahindra first choice </t>
  </si>
  <si>
    <t>PLOT NO-21,SECTOR-61, near HBR CHOWK, Gurugram, Haryana 122005</t>
  </si>
  <si>
    <t>HAREDA EESL Panchkula</t>
  </si>
  <si>
    <t>Panchkula</t>
  </si>
  <si>
    <t>Akshay Urja Bhawan, Plot No-1, Sector 17, Opp Agarwal Bhavan, Panchkula, Haryana 134109</t>
  </si>
  <si>
    <t>Nagole Metro staff Parking</t>
  </si>
  <si>
    <t>Inner Ring Rd, Opp. Uppal RTO office, Uppal Main Road, Hyderabad</t>
  </si>
  <si>
    <t>Punjagutta Next Galleria Mall Parking</t>
  </si>
  <si>
    <t>Level B1, Next Galleria Mall, Puynjagutta, Hyderabad, Telangana 5600082</t>
  </si>
  <si>
    <t>Hitech City Next Galleria Mall Parking</t>
  </si>
  <si>
    <t>Level B1, Hitech City Next Galleria Mall, Puynjagutta, Hyderabad, Telangana 5600082</t>
  </si>
  <si>
    <t>Miyapur Metro Parking</t>
  </si>
  <si>
    <t>Nadigada Tanda, Miyapur, Hyderabad, Telangana - 500049</t>
  </si>
  <si>
    <t>ChargeNest Bank of Baroda</t>
  </si>
  <si>
    <t>Bank of Baroda Parking Site, Jamshedpur</t>
  </si>
  <si>
    <t>TSUISL N Town Substation</t>
  </si>
  <si>
    <t>N Town Substation, Jamshedpur</t>
  </si>
  <si>
    <t>ANERT-EESL Ernakulam Kerala</t>
  </si>
  <si>
    <t>Shanmugham Road, Ernakulam, Marine Drive, Kochi, Kerala 682031</t>
  </si>
  <si>
    <t>Masstech Controls Pvt Ltd</t>
  </si>
  <si>
    <t>Indian Oil Bhavan 2, Gariahat Road, Jodhpur Park, Kolkata, West Bengal - 700068</t>
  </si>
  <si>
    <t>EESL Shapoorji Bus Terminus Newtown</t>
  </si>
  <si>
    <t>Action Area III, Newtown, New Town, West Bengal 700135</t>
  </si>
  <si>
    <t>EESL Tata Memorial Cancer Hospital</t>
  </si>
  <si>
    <t>14, MAR(E-W), DH Block(Newtown), Action Area I, Newtown, Kolkata, West Bengal 700160</t>
  </si>
  <si>
    <t>EESL Axis Mall</t>
  </si>
  <si>
    <t>CF Block(Newtown), Action Area I, Newtown, New Town, West Bengal 700156</t>
  </si>
  <si>
    <t>EESL New Town</t>
  </si>
  <si>
    <t>Near Tank, No 3, Street Number 24, Action Area 1A, Newtown, West Bengal 700156</t>
  </si>
  <si>
    <t>EESL Business Club New Town</t>
  </si>
  <si>
    <t>AE Block(Newtown), Newtown, New Town, West Bengal 700059</t>
  </si>
  <si>
    <t>EESL ECO Park Gate no 1 New Town</t>
  </si>
  <si>
    <t>Major Arterial Road(South-East, Biswa Bangla Sarani, AA II, Newtown, Kolkata, West Bengal 700156</t>
  </si>
  <si>
    <t>EESL Gate no 6 Eco Park New Town</t>
  </si>
  <si>
    <t>Ghuni Rd, AA II, Deshbandhu Nagar, Newtown, New Town, West Bengal 700156</t>
  </si>
  <si>
    <t>EESL Gate no 4 Eco Park New Town</t>
  </si>
  <si>
    <t>Jatragachhi, Deshbandhu Nagar, Rekjuani, New Town, West Bengal 700157</t>
  </si>
  <si>
    <t>EESL Adhoc New Central , HPCL, New town</t>
  </si>
  <si>
    <t>Akhankha ho petrol pump, Newtown, Kolkata, West Bengal 700056</t>
  </si>
  <si>
    <t>KSEB electrical section Olayil</t>
  </si>
  <si>
    <t>Kollam</t>
  </si>
  <si>
    <t>Salem - Kochi Hwy, Olayil, High School Jun, Kollam, Kerala 691009</t>
  </si>
  <si>
    <t xml:space="preserve">Vijay Securities </t>
  </si>
  <si>
    <t>35, Chandivali, Off, Saki Vihar Rd, Andheri (E, Mumbai, 400072</t>
  </si>
  <si>
    <t>Masstech controls Pvt ltd</t>
  </si>
  <si>
    <t xml:space="preserve">Mumbai </t>
  </si>
  <si>
    <t>2/7 Meghal Industrial Estate, Devidayal Road, Mulund West, Mumbai, Maharashtra 400080</t>
  </si>
  <si>
    <t>EESL Nagpur</t>
  </si>
  <si>
    <t>Nagpur Songaon, Maharashtra, Songaon Nagpur India - 440019</t>
  </si>
  <si>
    <t>KSEB Nemom</t>
  </si>
  <si>
    <t>Nemom</t>
  </si>
  <si>
    <t>Karamana to Nagercoil Main Road, Nemom, Kerala 695020</t>
  </si>
  <si>
    <t>PTC  IGI Airport</t>
  </si>
  <si>
    <t>GI Airport, T3 Road, Indira Gandhi International Airport, New Delhi, Delhi - 110037</t>
  </si>
  <si>
    <t>Atul Automobile Vasant Kunj</t>
  </si>
  <si>
    <t>Vasant Kunj Mall Road, Pocket 5, Sector C, Vasant Kunj, New Delhi, Delhi 110070</t>
  </si>
  <si>
    <t>EV Plugin Charge Vasant Square Mall</t>
  </si>
  <si>
    <t>Vasant Kunj Marg, Pocket 5, Sector B, Vasant Kunj, New Delhi, Delhi 110070</t>
  </si>
  <si>
    <t>EESL Malviya Nagar Delhi</t>
  </si>
  <si>
    <t>Guru Gobind Singh Marg, Old Market, Block C, Malviya Nagar, New Delhi, Delhi 110017</t>
  </si>
  <si>
    <t>EESL PVR Priya Delhi</t>
  </si>
  <si>
    <t>61, Community Center, Basant Nagar, Basant Lok, Vasant Vihar, New Delhi, Delhi 110027</t>
  </si>
  <si>
    <t>BRPL Nehru Place</t>
  </si>
  <si>
    <t>BSES Bhawan, near Kalkaji Mandir metro station, Nehru Place, New Delhi, Delhi 110019</t>
  </si>
  <si>
    <t>EESL Aurbindo Market Place</t>
  </si>
  <si>
    <t>Block C 2, Bhim Nagri, Hauz Khas, New Delhi, Delhi 110016</t>
  </si>
  <si>
    <t>EESL Safderjung Enclave</t>
  </si>
  <si>
    <t>Block B6, Humayunpur, Safdarjung Enclave, New Delhi, Delhi 110016</t>
  </si>
  <si>
    <t>EESL N Block GK1</t>
  </si>
  <si>
    <t>N Block, Greater Kailash I, Greater Kailash, New Delhi, Delhi 110048</t>
  </si>
  <si>
    <t>NDSE Grid BRPL</t>
  </si>
  <si>
    <t>South Extension, Block E, South Extension II, New Delhi, Delhi 110049</t>
  </si>
  <si>
    <t>EESL Dilli Haat</t>
  </si>
  <si>
    <t>NDMC Parking, Dilli Haat, West Kidwai Nagar, New Delhi - 110023</t>
  </si>
  <si>
    <t>EESL Sarojini Nagar Market</t>
  </si>
  <si>
    <t>Lal. Sai Hanuman mandir, Sarojini Nagar Market, Sarojini Nagar, New Delhi, Delhi 110023</t>
  </si>
  <si>
    <t>EESL Laxmi Bai Market</t>
  </si>
  <si>
    <t>26B, Sri Aurobindo Marg, Aviation Colony, INA Colony, New Delhi, Delhi 110003</t>
  </si>
  <si>
    <t>Indraprastha Gas Limited Shantipath</t>
  </si>
  <si>
    <t>Shantipath Road, Shantipath, near Rail Museum, Moti Bagh, New Delhi, Delhi 110021</t>
  </si>
  <si>
    <t>EESL Charak Palika Hospital</t>
  </si>
  <si>
    <t>F 203, Moti Bagh 1, Block F, North West Moti Bagh, New Delhi, Delhi 110021</t>
  </si>
  <si>
    <t>EESL Yashwant Place Market</t>
  </si>
  <si>
    <t>Yashwant Place, Satya Marg, Chanakyapuri, New Delhi, Delhi 110021</t>
  </si>
  <si>
    <t>EESL PSOI Club</t>
  </si>
  <si>
    <t>PSOI Club Chanakyapuri, New Delhi, Delhi 110021</t>
  </si>
  <si>
    <t>EESL Khanna Market 1</t>
  </si>
  <si>
    <t>NDMC Parking, Opposite Goel Opticals, Khanna Market, Aliganj, Lodhi Colony, New Delhi -110003</t>
  </si>
  <si>
    <t>EESL Palika Maternity Hospital</t>
  </si>
  <si>
    <t>Palika Maternity Hospital, block 11, Lodhi Colony, Near Khanna Market, New Delhi - 110003</t>
  </si>
  <si>
    <t>EESL Khanna Market 2</t>
  </si>
  <si>
    <t>NDMC Parking, Opposite Dory Pharmacy, Khanna Market, Aliganj Lodhi colony, New Delhi - 110003</t>
  </si>
  <si>
    <t>EESL Maherchand market Delhi</t>
  </si>
  <si>
    <t>Double story Market, Maherchand Lodhi Road , New Delhi - 110003</t>
  </si>
  <si>
    <t>EESL Jor Bagh Market</t>
  </si>
  <si>
    <t>NMDC Parking, Outside RWA Park, Jor Bagh Market, Jor Bagh Colony Road, New Delhi - 110003</t>
  </si>
  <si>
    <t>EESL Lodhi Garden</t>
  </si>
  <si>
    <t>NMDC Parking, Gate no 1, Lodhi Gardens, Lodhi Estate, Lodhi Road New Delhi - 110003</t>
  </si>
  <si>
    <t>BSES Hazrat Nizamuddin</t>
  </si>
  <si>
    <t>Nizamuddin Railway Station, Nizamuddin East, New Delhi -110013</t>
  </si>
  <si>
    <t>EESL Malcha Marg Market</t>
  </si>
  <si>
    <t>NDMC Parking, Dharma Marg, block- Y, Diplomatic Enclave, Malcha Market, New Delhi - 110021</t>
  </si>
  <si>
    <t>EESL Khan Market</t>
  </si>
  <si>
    <t>NDMC Parking, Khan Market, New Delhi - 110003</t>
  </si>
  <si>
    <t>EESL Prithviraj Market</t>
  </si>
  <si>
    <t>NDMC Parking, Prithviraj Market, Prithviraj Ln, New Delhi - 110003</t>
  </si>
  <si>
    <t>EESL Hotel Claridges</t>
  </si>
  <si>
    <t>NDMC Parking, Side of Hotel Claridges, Tees January Marg, Dr. APJ Abdul Kalam Road, New Delhi -110011</t>
  </si>
  <si>
    <t>EESL Talkatora Stadium</t>
  </si>
  <si>
    <t>Talkatora stadium Presidents Estate, New Delhi - 110004</t>
  </si>
  <si>
    <t>EESL Talkatora Garden</t>
  </si>
  <si>
    <t>Rashtrapati Bhawan, President's Estate, New Delhi, Delhi 110004</t>
  </si>
  <si>
    <t>EESL Press Club</t>
  </si>
  <si>
    <t>1, Raisina Road, Near Central Secretariat Metro, Windsor Place, New Delhi, Delhi 110001</t>
  </si>
  <si>
    <t>EESL Chelmsford Club</t>
  </si>
  <si>
    <t>Opposite CSIR Building, Rafi Marg, Sansad Marg Area, New Delhi, Delhi 110001</t>
  </si>
  <si>
    <t>EESL Akashwani Bhawan</t>
  </si>
  <si>
    <t>Sansad Marg, Pandit Pant Marg Area, Sansad Marg Area, New Delhi, Delhi 110001</t>
  </si>
  <si>
    <t>EESL Sansad Marg</t>
  </si>
  <si>
    <t>NDMC Parking, Outside Standard Chartered Bank, Sardar Patel Bhawan, Sansad Marg, New Delhi - 110001</t>
  </si>
  <si>
    <t>EESL Bharat Sanchar Bhawan</t>
  </si>
  <si>
    <t>Outside Bharat Sanchar Bhawan, Ashoke Road, Janpath, New Delhi - 110001</t>
  </si>
  <si>
    <t>EESL Fab India</t>
  </si>
  <si>
    <t>62, Janpath Rd, Atul Grove Road, Janpath, Connaught Place, New Delhi, Delhi 110001</t>
  </si>
  <si>
    <t>EESL ICICI Bank Janpath</t>
  </si>
  <si>
    <t>No 82, Janpath Rd, Janpath, Connaught Place, New Delhi, Delhi 110001</t>
  </si>
  <si>
    <t>EESL FICCI Chowk</t>
  </si>
  <si>
    <t>FICCI Chowk, Todermal Road Area, Mandi House, New Delhi, Delhi 110001</t>
  </si>
  <si>
    <t>EESL Jain Bhawan</t>
  </si>
  <si>
    <t>Jain Bhawan, 12, Shaheed Bhagat Singh Marg, Gole Market, New Delhi, Delhi 110001</t>
  </si>
  <si>
    <t>EESL Barakhamba</t>
  </si>
  <si>
    <t>Fire Brigade Lane, Barakhamba, New Delhi, Delhi 110001</t>
  </si>
  <si>
    <t>EESL Gopal Das Building</t>
  </si>
  <si>
    <t>New Barakhamba Rd, Connaught Lane, Barakhamba, New Delhi, Delhi 110001</t>
  </si>
  <si>
    <t>EESL HP Petrol Pump</t>
  </si>
  <si>
    <t>Radial Rd Number 7, Block E, Connaught Place, New Delhi, Delhi 110001</t>
  </si>
  <si>
    <t>EESL Block M, CP</t>
  </si>
  <si>
    <t>K-11, Connaught Cir, Connaught Lane, Barakhamba, New Delhi, Delhi 110001</t>
  </si>
  <si>
    <t>EESL Shanker Market</t>
  </si>
  <si>
    <t>11, Shankar Market, Connaught Lane, Barakhamba, New Delhi, Delhi 110001</t>
  </si>
  <si>
    <t>EESL KTM</t>
  </si>
  <si>
    <t>NDMC Parking, Opp South Indian Bank, Block - E , RR6, Middle Circle, connaught Place, New Delhi - 110001</t>
  </si>
  <si>
    <t>EESL M Block</t>
  </si>
  <si>
    <t>NDMC Parking, Outside Westebd Vedi Tailors, Block M, Middle Circle, Connaught Place, New Delhi - 110001</t>
  </si>
  <si>
    <t>EESL Snow White</t>
  </si>
  <si>
    <t>D-8, D Block, Connaught Place, New Delhi, Delhi 110001</t>
  </si>
  <si>
    <t>EESL Croma</t>
  </si>
  <si>
    <t>Ground Floor, Odeon Cine Complex, Middle Cir, D Block, Connaught Place, New Delhi, Delhi 110001</t>
  </si>
  <si>
    <t>EESL Ferns n Petal</t>
  </si>
  <si>
    <t>C-17.Inner Circle Opp.Odean Cinema, Rajiv Chowk, Connaught Place, New Delhi, Delhi 110001</t>
  </si>
  <si>
    <t>EESL Van Heusen</t>
  </si>
  <si>
    <t>Ground &amp; Mazanine Floor, Rajiv Chowk, Block A, Connaught Place, New Delhi, Delhi 110001</t>
  </si>
  <si>
    <t>EESL Block B</t>
  </si>
  <si>
    <t>Shop No. B-29, Inner Circle, New Delhi, Delhi 110001</t>
  </si>
  <si>
    <t>EESL PVR Plaza</t>
  </si>
  <si>
    <t>Plaza Mall, Connaught Cir, Block H, Connaught Place, New Delhi, Delhi 110001</t>
  </si>
  <si>
    <t>EESL Block H</t>
  </si>
  <si>
    <t>Connaught Cir, Block H, Connaught Place, New Delhi, Delhi 110001</t>
  </si>
  <si>
    <t>EESL Iqbal Bros</t>
  </si>
  <si>
    <t>Marina Arcade, Middle Cir, Sector 1, Block G, Connaught Place, New Delhi, Delhi 110001</t>
  </si>
  <si>
    <t>EESL Block A</t>
  </si>
  <si>
    <t>9 A, Phelps Building, Inner Circle, Connaught Place, New Delhi, Delhi 110001</t>
  </si>
  <si>
    <t>EV Plugin Charge Cross River Mall</t>
  </si>
  <si>
    <t>Cross River Mall, Plot No - 9B &amp; 9C, Basement, 2, CBD Ground, Shahdara, New Delhi, Delhi 110032</t>
  </si>
  <si>
    <t>EESL Adwant Chowk Noida</t>
  </si>
  <si>
    <t>Noida-Greater Noida Expy, Sector 142, Noida, Uttar Pradesh 201305</t>
  </si>
  <si>
    <t>ESSL SPCI Noida</t>
  </si>
  <si>
    <t>Road Between sector 124 &amp; 125 &amp; Beside SPCI Sector Road, Noida UP - 201313</t>
  </si>
  <si>
    <t>ESSL Sector 50 Market</t>
  </si>
  <si>
    <t>B Block, Sector 50, Noida, Uttar Pradesh 201303</t>
  </si>
  <si>
    <t>EESL Sector 51 Noida Afinity Salon</t>
  </si>
  <si>
    <t>Shop No 2, 1st Floor, Block B1-A, Sector 51, Above IDBI Bank, Noida, Uttar Pradesh 201301</t>
  </si>
  <si>
    <t>EESL Ganga Shopping Complex Noida</t>
  </si>
  <si>
    <t>29, Sector 50 Block, A Block Rd, A-Block, Sector 50, Noida, Uttar Pradesh 201303</t>
  </si>
  <si>
    <t>EESL Kirti Mann Plaza Noida</t>
  </si>
  <si>
    <t>16-C Indian Bank, Block E, Sector 30, Noida, Uttar Pradesh 201303</t>
  </si>
  <si>
    <t>EESL RTO Office Noida</t>
  </si>
  <si>
    <t>opposite NTPC, Block A, Sector 32, Noida, Uttar Pradesh 201301</t>
  </si>
  <si>
    <t>EESL Shopprix Mall Noida</t>
  </si>
  <si>
    <t>Maharaja Agrasen Marg, A-Block, Sector 61, Noida, Uttar Pradesh 201307</t>
  </si>
  <si>
    <t>EESL Opp Sasta Sundar Hospital Sector 58 Noida</t>
  </si>
  <si>
    <t>A 94/7, A Block, Sector 58, Noida, Uttar Pradesh 201301</t>
  </si>
  <si>
    <t>EESL HCL Sector 8 Noida</t>
  </si>
  <si>
    <t>B-26, B Block, Sector 8, Noida, Uttar Pradesh 201301</t>
  </si>
  <si>
    <t>EESL Tata Advance Systems Noida</t>
  </si>
  <si>
    <t>Near Tata Advance Systems Sector - 59, Noida , UP- 201301</t>
  </si>
  <si>
    <t>EESL Jain air Travels Sector 2 Noida</t>
  </si>
  <si>
    <t>Opp C-101 Jain Air Travels, Sector 2 , Noida</t>
  </si>
  <si>
    <t>EESL Alka Cinema Noida</t>
  </si>
  <si>
    <t>Noida Authority Parking, Sector 15, Nithari, Noida Dadri, Gautam Buddha Nagar, UP -201301</t>
  </si>
  <si>
    <t>EESL Electronic City Metro Station</t>
  </si>
  <si>
    <t>Electronic city Metro Station, Gate no 2, Sector 63, Noida UP - 201301</t>
  </si>
  <si>
    <t>EESL H- Block Market, Haldiram</t>
  </si>
  <si>
    <t>H- Block Market, Haldiram Car Parking, Sector 63, Noida 201301</t>
  </si>
  <si>
    <t>EESL Prayas Bhawan Naya Raipur</t>
  </si>
  <si>
    <t>Public Parking, Prayas Bhawan, Sec -19, Atal Nagar, Nava Raipur</t>
  </si>
  <si>
    <t>Anert -EESL Sangamukham Kerala</t>
  </si>
  <si>
    <t>Thiruvananthapuram</t>
  </si>
  <si>
    <t>Thiruvananthapuram, Shangumukham, Kannanthura, Thiruvananthapuram, Kerala 695008</t>
  </si>
  <si>
    <t>KSEBL Viyyur</t>
  </si>
  <si>
    <t>Thrissur</t>
  </si>
  <si>
    <t>Padukad, Keltron Nagar, Kolazhy, Thrissur, Kerala 680010</t>
  </si>
  <si>
    <t xml:space="preserve">ANERT EESL thycaucd </t>
  </si>
  <si>
    <t>State Council For Child Welfare, CV Raman Pillai Rd, Near Kerala, Housing Board, Thycaud, Thiruvananthapuram, Kerala 695014</t>
  </si>
  <si>
    <t>ANERT Zivah EV charger</t>
  </si>
  <si>
    <t>Vikas Bhavan P. O, Law College Rd, PMG, Thiruvananthapuram, Kerala 695033</t>
  </si>
  <si>
    <t>EESL Mantralaya Naya Raipur</t>
  </si>
  <si>
    <t>Sector 19, Kotara Bhantha, Naya Raipur, Chhattisgarh 492101</t>
  </si>
  <si>
    <t>TS Transco Vidyut soudha</t>
  </si>
  <si>
    <t>6-3-643, second floor, khairatabad rd, raj bhavan quarters colony, somajiguda, hyderabad,500004</t>
  </si>
  <si>
    <t xml:space="preserve">TSIPARD </t>
  </si>
  <si>
    <t>Telnagana state institute of rural development - Police Quaters, Rajendranagar mandal, Hyderabad, Telangana 500030</t>
  </si>
  <si>
    <t>HPCL Autocare Sajgaon</t>
  </si>
  <si>
    <t>lonavala</t>
  </si>
  <si>
    <t>Dahivati Tarf Boreti, Maharashtra 410203</t>
  </si>
  <si>
    <t>Lifeon Industries</t>
  </si>
  <si>
    <t>navi mumbai</t>
  </si>
  <si>
    <t>D298, TTC Industrial area, turbhe</t>
  </si>
  <si>
    <t>Relux Experience Centre (ABS e-auto &amp; Charger)</t>
  </si>
  <si>
    <t>NO: 16/8, PRV Towers, GST Road, Guindy, Chennai, Tamil Nadu - 600 032</t>
  </si>
  <si>
    <t>Hotel Aishwarya Bhavan (Safa Electric)</t>
  </si>
  <si>
    <t>Villupuram</t>
  </si>
  <si>
    <t>Chennai - Trichy Highway, Tindivanam, Tamil Nadu - 604001</t>
  </si>
  <si>
    <t>Sihla Energy Sihla Energy</t>
  </si>
  <si>
    <t>Malappuram</t>
  </si>
  <si>
    <t>Thrissur-Kunnakulam SH 69, Valayankulam, Kerala - 679591</t>
  </si>
  <si>
    <t>Ammayii Hotel &amp; Resorts (PKS Charging Station)</t>
  </si>
  <si>
    <t>Tiruvannamalai</t>
  </si>
  <si>
    <t>Old No: 80, New No: 40, Sannathi Street, Opp Karur Vysya Bank, Thiruvanamalai, Tamil Nadu - 606601</t>
  </si>
  <si>
    <t>AARGO CSC MINTO ROAD</t>
  </si>
  <si>
    <t>NEW DELHI</t>
  </si>
  <si>
    <t>AARGO GOLDEN GALAXY HOTEL</t>
  </si>
  <si>
    <t>FARIDABAD</t>
  </si>
  <si>
    <t>AARGO ASLI PAPPU DHABA</t>
  </si>
  <si>
    <t>KOSI KALAN</t>
  </si>
  <si>
    <t>Hemank Auto Parts</t>
  </si>
  <si>
    <t>B-5 Electronic Estate,MIDC,Bhosari,Pune</t>
  </si>
  <si>
    <t>HPCL autocare,Sajgaon</t>
  </si>
  <si>
    <t>Sajgaon</t>
  </si>
  <si>
    <t>Autocare centre,COCO VIII,Mumbai-Pune express.Khalapur Toll Naka Sajgaon</t>
  </si>
  <si>
    <t>Hotel swagat INN</t>
  </si>
  <si>
    <t>Amboli</t>
  </si>
  <si>
    <t>94, NH 48, opp. Tata Motors, Amboli, Gujarat 394150</t>
  </si>
  <si>
    <t>MH|MUMBAI|POWAI#HIRANANDANI GARDENS</t>
  </si>
  <si>
    <t>MUMBAI</t>
  </si>
  <si>
    <t>TECHNOLOGY ST,HIRANANADANI GARDENS,SAINATH NAGAR,POWAI,MUMBAI,MAHARASHTARA 400076</t>
  </si>
  <si>
    <t>MH|TALASARI|HOTEL SAHYADRI</t>
  </si>
  <si>
    <t>HOTEL SAHYADRI,TALASARI,AJMER ROAD,ACHAD,MAHARASHTRA 401606</t>
  </si>
  <si>
    <t>GJ|NAVSARI|NH 8,GRID ROAD</t>
  </si>
  <si>
    <t>NAVSARI</t>
  </si>
  <si>
    <t>HOTEL  FUN CITY(PURE VEG),NH 8,GRID ROAD,BESIDE PEEDEE ELECTRONCS,KABILPORE,NAVSARI</t>
  </si>
  <si>
    <t>HONEST RESTAURANT NH8,MIYAGAM,MIYAGAM KARJAN,GUJARAT</t>
  </si>
  <si>
    <t>KARJAN</t>
  </si>
  <si>
    <t>opposite bharthana village, near elentic tolnaka between baroda to bharuch, NH8, miyagam, Karjan, Gujarat 391240</t>
  </si>
  <si>
    <t>BESCOM HSR LAYOUT</t>
  </si>
  <si>
    <t>BANGALORE</t>
  </si>
  <si>
    <t>HSR LAYOUT,BENGALURU,KARNATAKA 560001</t>
  </si>
  <si>
    <t>BESCOM BTM LAYOUT</t>
  </si>
  <si>
    <t>u00a016th Main, 100ft Ring Road, BTM 1st stage, Opp. Advitha Petrol Bunk, Bengaluru, Karnataka 560076</t>
  </si>
  <si>
    <t>BESCOM KATRIGUPPE</t>
  </si>
  <si>
    <t>KATRIGUPPE,BENGALURU,KARNATAKA 560001</t>
  </si>
  <si>
    <t>BESCOM BYATARAYANAPURA</t>
  </si>
  <si>
    <t>BYATARAYANAPURA,BENGALURU,KARNATAKA 560001</t>
  </si>
  <si>
    <t>BESCOM MURUGESHPALAYA</t>
  </si>
  <si>
    <t>MURUGESHPALYA,ENGALURU,KARNATAKA 560001</t>
  </si>
  <si>
    <t>BESCOM INDIRANAGAR</t>
  </si>
  <si>
    <t xml:space="preserve"> HAL 2nd Stage, Kodihalli, Bengaluru, Karnataka 560008</t>
  </si>
  <si>
    <t>BBMP CORPORATION OFFICE</t>
  </si>
  <si>
    <t>29, Temple Rd, M S K Nagar, Yesvantpur Industrial Suburb, Yeswanthpur, Bengaluru, Karnataka 560022</t>
  </si>
  <si>
    <t>SHIVAJINAGAR TTMC</t>
  </si>
  <si>
    <t xml:space="preserve"> Bengaluru, Karnataka 562123</t>
  </si>
  <si>
    <t>BESCOM BANASWADI</t>
  </si>
  <si>
    <t>301-305, 5th D Main Rd, HRBR Layout 2nd Block, HRBR Layout, Kalyan Nagar, Bengaluru, Karnataka 560043</t>
  </si>
  <si>
    <t>BESCOM MAHADEVAPURA</t>
  </si>
  <si>
    <t>ITPL Main Rd, Vigneshwar Nagar, Devasandra Industrial Estate, Krishnarajapura, Bengaluru, Karnataka 560048</t>
  </si>
  <si>
    <t>BESCOM YALHANKA</t>
  </si>
  <si>
    <t>SUGAPPA LAYOUT,EAST COLONY,YELAHANKA</t>
  </si>
  <si>
    <t>BESCOM JALAHALLI</t>
  </si>
  <si>
    <t>JALAHALLI O &amp;M ,NEAR POLICE STATION,HMT GROUND,BANGALORE</t>
  </si>
  <si>
    <t>BESCOM MATHIKERE</t>
  </si>
  <si>
    <t>MATHIKERE,BENGALURU,KARNATAKA 560001</t>
  </si>
  <si>
    <t>BESCOM -PEENYA SRS O&amp;M</t>
  </si>
  <si>
    <t>SRS Rd, Yeshwanthpur Suburb II Stage, Yesvanpur Surburb, Peenya, Bengaluru, Karnataka 560058</t>
  </si>
  <si>
    <t>EESL High court station</t>
  </si>
  <si>
    <t>High Court Metro Station Chennai (CMRL)</t>
  </si>
  <si>
    <t>EESL Chennai Egmore metro</t>
  </si>
  <si>
    <t xml:space="preserve"> Chennai Egmore metro, Chennai (CMRL)</t>
  </si>
  <si>
    <t>EESL Saidapet Metro station</t>
  </si>
  <si>
    <t>Saidapet Metro station</t>
  </si>
  <si>
    <t>EESL Tirumangalam Metro station</t>
  </si>
  <si>
    <t>Tirumangalam Metro station</t>
  </si>
  <si>
    <t>Outside Chelmsford Club/ Opposite CSIR Building, Rafi Marg, Sansad Marg Area, New Delhi 110001</t>
  </si>
  <si>
    <t>u00a0EESL Sushma Swaraj Bhawan</t>
  </si>
  <si>
    <t>Susma swaraj Bhawan, MEA, New Delhi</t>
  </si>
  <si>
    <t>EESL Delhi Haat</t>
  </si>
  <si>
    <t>NMDC Parking, Dilli Haat, West Kidwai Nagar, New Delhi 110023</t>
  </si>
  <si>
    <t>Back of Hotel Claridges Near NDMC Power Sub nStation, Tees January Marg, nDr. APJ Abdul Kalam Road, New Delhi- 110003</t>
  </si>
  <si>
    <t>EESL Legislative Assembly Goa</t>
  </si>
  <si>
    <t>GDA, Goa</t>
  </si>
  <si>
    <t>KTDC Tourist Reception Centre Shanmugham road, Ernakulam, Marine drive, Kochi Kerala-682031</t>
  </si>
  <si>
    <t>HAREDA, Akshay Urja Bhawan , Institutional plot No.1 Sector-17 Panchkula , 134109 Haryana</t>
  </si>
  <si>
    <t>ANERT-EESL AUTOKAST Kerala</t>
  </si>
  <si>
    <t>Perunnermangalam</t>
  </si>
  <si>
    <t>AUTOKAST premises, South East End adjacent to NH 66, Mararikulam North Village, Perunnermangalam, Muriyil.</t>
  </si>
  <si>
    <t>ANERT-EESL Sangamukham Kerala</t>
  </si>
  <si>
    <t>Thiruvanthapuram</t>
  </si>
  <si>
    <t>Sanghumukham DTPC office, Shanghumukham beach, thiruvananthapuram,Kerala- 605007</t>
  </si>
  <si>
    <t>ANERT-EESL Thycaud Kerala</t>
  </si>
  <si>
    <t>KSEB NEMOM</t>
  </si>
  <si>
    <t>THIRUVANANTHAPURAM</t>
  </si>
  <si>
    <t>NEYYATTINKARA</t>
  </si>
  <si>
    <t>KSEBL OLAI</t>
  </si>
  <si>
    <t>NH 66, T D Nagar, Olayil, High School Jun, Kollam, Kerala 691009</t>
  </si>
  <si>
    <t>KSEBL PALARIVATTOM</t>
  </si>
  <si>
    <t>Palarivattom - Edappally Rd, Sonia Nagar, Palarivattom, Ernakulam, Kerala 682565</t>
  </si>
  <si>
    <t>KSEBL VIYYUR</t>
  </si>
  <si>
    <t>H668+2VH, Padukad, Keltron Nagar, Kolazhy, Thrissur, Kerala 680010</t>
  </si>
  <si>
    <t>KSEBL NALLALAM</t>
  </si>
  <si>
    <t>Modern Bazar, Nallalam, Kozhikode, Kerala 673018</t>
  </si>
  <si>
    <t>KSEBL CHOVVA</t>
  </si>
  <si>
    <t>Kannur - Kuthuparamba Rd, Elayavoor, Kerala 670331</t>
  </si>
  <si>
    <t>MG AHMEDABAD MAKARBA</t>
  </si>
  <si>
    <t>AHMEDABAD</t>
  </si>
  <si>
    <t>PLOT NO 2,GROUND FLOOR,SURVEY NO 841/1 AND 2,10,SIGNATURE 1 ,NEAR OLD RAILWAY LINE,SG HIGHWAY,MAKARBA,GUJARAT 3850051 AHMEDABAD</t>
  </si>
  <si>
    <t>MG BENGALURU</t>
  </si>
  <si>
    <t>ELECTRONIC CITY</t>
  </si>
  <si>
    <t>195/6/2,WARD NO 192,BHARATENA AGRAHARA,LAVA KUSHA NAGAR,HOSUR ROAD,KARNATAKA 560100 BENGALURU</t>
  </si>
  <si>
    <t>MG GURGAON SECTOR 15</t>
  </si>
  <si>
    <t>GURUGRAM</t>
  </si>
  <si>
    <t>32,MILESTONE,EXPERION CENTER,SECTOR 1,NH-8,HARYANA 122001 GURUGRAM</t>
  </si>
  <si>
    <t>IOC MADINAGUDA</t>
  </si>
  <si>
    <t>HYDERABAD</t>
  </si>
  <si>
    <t>SURVEY NO 98 MIYAPUR MAIN ROAD,MADINAGUDA HAFEEZPET,TELENGANA 500050 HYDERABAD</t>
  </si>
  <si>
    <t>HMR MADHAPUR</t>
  </si>
  <si>
    <t>PLOT NO 735 ROAD NO 37 AND 38LEFT LANE AFTER CROMA,CBI COLONY JUBLI HILLS,HYDERABAD.TELENGANA 500033</t>
  </si>
  <si>
    <t>MG HYDERABAD JUBILEE HILLS</t>
  </si>
  <si>
    <t>8-2-120/86, 10A, opposite Hotel park hyatt, Rd no2, Banjara hills, hyderabad, 500033</t>
  </si>
  <si>
    <t>HMR BEGUMPET</t>
  </si>
  <si>
    <t>7-1-22/A Begumpet flyover, Leelanagar, Ameerpet, Telanagana 500016</t>
  </si>
  <si>
    <t>IOC BEGUMPET</t>
  </si>
  <si>
    <t>BEGUMPET,HYDERABAD,TELENGANA,INDIA,TELENGANA,500016,HYDERABAD</t>
  </si>
  <si>
    <t>MG MOHALI SECTOR 82</t>
  </si>
  <si>
    <t xml:space="preserve">MOHALI </t>
  </si>
  <si>
    <t>MG MOHALI,PLOT NO 3,JANATA INDUSTRIAL ESTATE SECTOR 82,SAS NAGAR,MOHALI,PUNAB,PUNJAB,160082 MOHALI</t>
  </si>
  <si>
    <t>MG DELHI SHIVAJI MARG</t>
  </si>
  <si>
    <t>PLOT NO 13 SHIVAJI MARG DELHI 110015 NEW DELHI</t>
  </si>
  <si>
    <t>MG DELHI LAJPAT NAGAR</t>
  </si>
  <si>
    <t>A-14, Ring Road, Lajpat nagar, Delhi 110024</t>
  </si>
  <si>
    <t>McDonalds</t>
  </si>
  <si>
    <t>Kolhapur</t>
  </si>
  <si>
    <t>Shop No 1C, Hissa No 1, Plot No 1/K1, next to Klin Fuel Technology, Sarnobatwadi Kolhapur Maharashtra 416004</t>
  </si>
  <si>
    <t>Hotel Marigold</t>
  </si>
  <si>
    <t>Ameerpet Rd, Leela Nagar, Begumpet, Hyderabad, Telangana 500016</t>
  </si>
  <si>
    <t>BSES RAPID CHARGING ZONE</t>
  </si>
  <si>
    <t>Patparkang</t>
  </si>
  <si>
    <t>Narwana,Patparkang road,I-P Extension</t>
  </si>
  <si>
    <t>RR Charging Station (RR Charging Station)</t>
  </si>
  <si>
    <t>Ambur</t>
  </si>
  <si>
    <t>No: 19,IELC Complex, MC Road, Ambur, Tamil Nadu - 635802</t>
  </si>
  <si>
    <t>Hotel Sangeetha (Duriyam Charging Station)</t>
  </si>
  <si>
    <t>Namakkal</t>
  </si>
  <si>
    <t>NH 44, Namakkal - Karur Tollgate, Tamil Nadu - 637207</t>
  </si>
  <si>
    <t>Hotel Temple City Lake (Inn KSN Charging Station)</t>
  </si>
  <si>
    <t>Trichy - Madurai Highway, Valaichcherippatti, Tamil Nadu - 625104</t>
  </si>
  <si>
    <t>Alps Residency - A Bergamont Group of Hotel-</t>
  </si>
  <si>
    <t>Bangalore Bye Pass Road Near Toll Plaza, Krishnagiri, Tamil Nadu-635001</t>
  </si>
  <si>
    <t>Sri Durga Bhavan Elite (Devika Yogaraajan Charging Station)</t>
  </si>
  <si>
    <t>Vellore</t>
  </si>
  <si>
    <t>Near HP Petrol Pump, Pallikonda, Tamil Nadu, 635809</t>
  </si>
  <si>
    <t xml:space="preserve">AIMA Charging Station </t>
  </si>
  <si>
    <t>Palakkad</t>
  </si>
  <si>
    <t xml:space="preserve">Naduvattam, Kringanad Rd, VIlayur </t>
  </si>
  <si>
    <t xml:space="preserve">Bhimas Residency Hotel </t>
  </si>
  <si>
    <t>19-3-41 Renigunta Road, near Ramanuja Circle</t>
  </si>
  <si>
    <t>RMS Towers (Ero_G Electric Charging Station)</t>
  </si>
  <si>
    <t>Erode</t>
  </si>
  <si>
    <t xml:space="preserve">NH544, Kovai to Salem Road, Solipalayam, </t>
  </si>
  <si>
    <t>Hotel JAS</t>
  </si>
  <si>
    <t>Visakhapatnam</t>
  </si>
  <si>
    <t>NH45 Kagitha Village Near Vempadu Toll Gate Nakkapalli, Mandalam, Visakhapatnam</t>
  </si>
  <si>
    <t>Unger India pvt India</t>
  </si>
  <si>
    <t>71, Udyog Vihar Phase 1, Udyog Vihar, Sector 19, Gurugram, Haryana 122016</t>
  </si>
  <si>
    <t>Paschim Vidyut Vitaran Pologround</t>
  </si>
  <si>
    <t>UJJAIN</t>
  </si>
  <si>
    <t>GPH Compound, Polo Ground, Indore, Madhya Pradesh 452003</t>
  </si>
  <si>
    <t>ADYAR ANANDA BHAVAN</t>
  </si>
  <si>
    <t>ATTUR</t>
  </si>
  <si>
    <t>NH9,Thulakanoor Village,Salem District,Attur,TamilNadu</t>
  </si>
  <si>
    <t>SREE ANNAPOORNA HOTEL</t>
  </si>
  <si>
    <t>AVINASHI</t>
  </si>
  <si>
    <t>NH544,AVINASHI BYE PASS ROAD,AVINASHI,TAMILNADU 641654</t>
  </si>
  <si>
    <t>VR MALL WHITEFIELD</t>
  </si>
  <si>
    <t>Whitefield Main Road,Mahadevapura,Bengaluru,Karnataka 560048</t>
  </si>
  <si>
    <t>THE FORUM MALL</t>
  </si>
  <si>
    <t>B1-12,Parking,Hosur road,Koramangala,Bengaluru,Karnataka 560095</t>
  </si>
  <si>
    <t>Kanthari Restaurants &amp; Banquets</t>
  </si>
  <si>
    <t>Changanassery</t>
  </si>
  <si>
    <t>Bypass Road, near AKM school, Changanassery, Kerala 686101</t>
  </si>
  <si>
    <t xml:space="preserve">BROOKFIELDS MALL </t>
  </si>
  <si>
    <t>COIMBATORE</t>
  </si>
  <si>
    <t>Dr Krishnasamy Mudaliyar Rd, Brookefields, Sukrawar Pettai, R S Puram West, Coimbatore, Tamil Nadu 641001</t>
  </si>
  <si>
    <t>HiLITE Mall</t>
  </si>
  <si>
    <t>Kozhikode</t>
  </si>
  <si>
    <t>G1003, NH 66, Kozhikode Bypass, Poovangal, Kozhikode, Kerala 673014</t>
  </si>
  <si>
    <t>HOTEL SURYA COMPLEX</t>
  </si>
  <si>
    <t>KRISHNAGIRI</t>
  </si>
  <si>
    <t>NH44,Bangalore Highway,Pollupalli,Krishnagiri,TamilNadu 635115</t>
  </si>
  <si>
    <t>MALL OF MYSORE</t>
  </si>
  <si>
    <t>MYSURU</t>
  </si>
  <si>
    <t>MG Road,Indira Nagar Extension,Nazarbad Mohalla,Mysuru,Karnataka 570010</t>
  </si>
  <si>
    <t>SHREE SARAVANA BHAVAN</t>
  </si>
  <si>
    <t>SANKAGIRI</t>
  </si>
  <si>
    <t>Near Sankagiri Toll Gate, NH-47 Salem-Kanyakumari Hwy, Vaikundam, Sankari, Tamil Nadu 637103</t>
  </si>
  <si>
    <t>Aswins Veg Restaurant</t>
  </si>
  <si>
    <t>Perambalur</t>
  </si>
  <si>
    <t>NH 45, Kalpady Road, Eraiyasamuthiram, Perambalur, Tamil Nadu 621113</t>
  </si>
  <si>
    <t>Cafu00e9 Udupi Ruchi</t>
  </si>
  <si>
    <t>Ulundurpet</t>
  </si>
  <si>
    <t>102/19, Chennai Trichy NH Sengurichi, Village, Ulundurpet, Tamil Nadu 606115</t>
  </si>
  <si>
    <t>Grand mall</t>
  </si>
  <si>
    <t xml:space="preserve">Kochi </t>
  </si>
  <si>
    <t>Panvel - Kochi - Kanyakumari Hwy, Toll Junction, Edappally, Kochi, Kerala 682024</t>
  </si>
  <si>
    <t>Hotel Kodai International</t>
  </si>
  <si>
    <t>Kodaikanal</t>
  </si>
  <si>
    <t>17/328, Laws Ghat Rd, Kodaikanal, Tamil Nadu 624101</t>
  </si>
  <si>
    <t xml:space="preserve">Hotel Kadamba </t>
  </si>
  <si>
    <t>Banglore</t>
  </si>
  <si>
    <t>Hotel Kadamba Veg, 272/2, Nice Road Junction, Bangalore, SH17, Bengaluru, Karnataka 560060</t>
  </si>
  <si>
    <t>Annapoorna Cafe</t>
  </si>
  <si>
    <t>Angamali</t>
  </si>
  <si>
    <t>69FG+56H, Karukutty, Kerala 683572</t>
  </si>
  <si>
    <t>D square Mall</t>
  </si>
  <si>
    <t>Shoolagiri</t>
  </si>
  <si>
    <t>Dhiviyam Square Food Court, NH - 7 Hosur - Krishnagiri Highway, Sundagiri, Shool, Tamil Nadu 635117</t>
  </si>
  <si>
    <t>Hotel Devaragam</t>
  </si>
  <si>
    <t>Guruvayur</t>
  </si>
  <si>
    <t>Outer Ring Road, Opp Railway Station, East Nada, Guruvayur, Kerala 680101</t>
  </si>
  <si>
    <t>Gokul Oottupura NH 47 Veetarian Restaurant</t>
  </si>
  <si>
    <t>NH bypass, near Modern Lights, Padivattom, Edappally, Ernakulam, Kerala 682024</t>
  </si>
  <si>
    <t>ADAYAR ANANDA BHAVAN</t>
  </si>
  <si>
    <t>THINDIVANAM</t>
  </si>
  <si>
    <t>Swastiks enterpreneurs,NH45,Chennai-Trichy highway,NallathurThindivanam,Tamilnadu 604307</t>
  </si>
  <si>
    <t>Adyar Ananda Bhavan I Navakkarai</t>
  </si>
  <si>
    <t>Walayar</t>
  </si>
  <si>
    <t>Adyar Ananda Bhavan Restaurant, 285, Palakkad Main Rd, MahendraMedu, Navakarai, Coimbatore, Tamil Nadu 641105</t>
  </si>
  <si>
    <t>Adyar Ananda Bhavan I Rasipuram</t>
  </si>
  <si>
    <t>Rasipuram</t>
  </si>
  <si>
    <t>Adyar Ananda Bhavan Restaurant, NH44, Brindavan Garden, Salem-Madurai Rd, Athanur, Tamil Nadu 637401</t>
  </si>
  <si>
    <t>Ganpat Grand I Palani</t>
  </si>
  <si>
    <t>Palani</t>
  </si>
  <si>
    <t>Circle, 167/1, Adivaram Itteri Road Near Balaji Bhavan, Palani, Tamil Nadu 624601</t>
  </si>
  <si>
    <t>Aasai Aasai Anandha Bhavan | Omalur</t>
  </si>
  <si>
    <t>Omalur</t>
  </si>
  <si>
    <t>Aasai Aasai Anandha Bhavan Delight, A/C Pure Veg Restaurant, NH - 44, Bangalore, to, Salem Highway, Omalur, Tamil Nadu 636455</t>
  </si>
  <si>
    <t>Hotel Temple City I Thirumangalam</t>
  </si>
  <si>
    <t>Thirumangalam</t>
  </si>
  <si>
    <t>Hotel Temple City, NH 44, Madurai to Virudhunagar Highways Melanesaneri Sivarakottaim, Madurai, Tamil Nadu 625706</t>
  </si>
  <si>
    <t>Hotel Temple City I vadippatti</t>
  </si>
  <si>
    <t>Vadippatti</t>
  </si>
  <si>
    <t>Hotel Temple City, NH 44, Chellakulam, Thathampatti, Tamil Nadu 625020</t>
  </si>
  <si>
    <t>10.0804337,</t>
  </si>
  <si>
    <t>Hotel Paakashala I Yediyur</t>
  </si>
  <si>
    <t>Yediyur</t>
  </si>
  <si>
    <t>Paakashala @ Yediyur, Koppa Bangalore Mangalore Highway, NH75, Kunigal, Karnataka 572142</t>
  </si>
  <si>
    <t>A S M ABDUL CADER AND CO</t>
  </si>
  <si>
    <t>TAMIL NADU</t>
  </si>
  <si>
    <t>CHENNAI</t>
  </si>
  <si>
    <t>A S M ABDUL CADER AND CO, DOOR NO 355 CEMENT ROAD, ALANDUR, MEENAMBAKKAM,CHENNAI, TAMIL NADU, 600016</t>
  </si>
  <si>
    <t>BP,GHAR-MARAIMALAI NAGAR</t>
  </si>
  <si>
    <t>CHENGALPATTU</t>
  </si>
  <si>
    <t>BP,GHAR-MARAIMALAI NAGAR, SY NO 336/6 ( PART ), NH-45, GST RO, MARAIMALAI NAGAR, CHENGALPATTU, TAMILNADU, 603209</t>
  </si>
  <si>
    <t>SAKTHI MADUMALAR AGENCIES</t>
  </si>
  <si>
    <t>SAKTHI MADHUMALAR AGENCIES, NH-45 CHENNAI-TRICHY HIGHWAY, MELMARUVATHUR, CHENGALPATTU, TAMIL NADU, 603319</t>
  </si>
  <si>
    <t>SRI VENNI AGENCIES</t>
  </si>
  <si>
    <t>VILLUPURAM</t>
  </si>
  <si>
    <t>Bharat Petroleum Dealers, SY NO 52/6B1 &amp; 52/7A1, NH38, Chennai Trichy Highway, CHINNAVALAVANUR, VILLUPURAM, TN-604302</t>
  </si>
  <si>
    <t>RAVIE AGENCIES</t>
  </si>
  <si>
    <t>Bharat Petroleum Dealers, SY NO 148/1, NH38, Chennai Trichy Highway, V. SALAI, VIKRAVANDI, VILLUPURAM, TN-605652</t>
  </si>
  <si>
    <t>BP-ULUNDURPET</t>
  </si>
  <si>
    <t>KALLAKURICHI</t>
  </si>
  <si>
    <t>Bharat Petroleum Companyu00a0Owner retail outlet, Next to Ulundurpet Toll, NH38, CHENNAI-TRICHY HIGHWAY, SENGURICHI VILLAGE, KALLAKURICHI Dt, TN-606115</t>
  </si>
  <si>
    <t>BP-TRICHY</t>
  </si>
  <si>
    <t>TRICHY</t>
  </si>
  <si>
    <t>Bharat Petroleum Company owner retail outlet, S.No-489/5B, NH38, CHENNAI-TRICHY HIGHWAY, SANNAMANGALAM, Trichy, TN-621104</t>
  </si>
  <si>
    <t>KARTHIK AGENCIES</t>
  </si>
  <si>
    <t>Bharat Petroleum Dealers, S.No-456/6, 5B, NH38, CHENNAI-TRICHY HIGHWAY, SIRUGANUR, LALGUDI TK, Trichy, TN-621105</t>
  </si>
  <si>
    <t>SRI RAJAN ENTERPRISES</t>
  </si>
  <si>
    <t>MADURAI</t>
  </si>
  <si>
    <t>Sri Rajan Enterprises, BPCL Dealers, Surakundu village, Melur - Madurai road, NH 38, Melur, Madurai 625106</t>
  </si>
  <si>
    <t>BP-OTHAKKADAI</t>
  </si>
  <si>
    <t>BP Othakadai, BPCL Retail Outlet, Kodikulam Village, Madurai - Melur NH 38, Madurai 625104</t>
  </si>
  <si>
    <t>GJ | Ahmedabad | Abhinav Girls Hostel Bodakdev</t>
  </si>
  <si>
    <t>Bodakdev, Ahmedabad, Gujarat 380054</t>
  </si>
  <si>
    <t>Hotel Bliss | Tirupati</t>
  </si>
  <si>
    <t>Tirupathi</t>
  </si>
  <si>
    <t>Hotel Bliss, 19-3-45, Near Ramanuja Circle, Renigunta Rd, Tirupati, Andhra Pradesh 517501</t>
  </si>
  <si>
    <t>Jayalakshmi Auto, Gudavalli</t>
  </si>
  <si>
    <t>Jayalakshmi Auto Enterprises Pvt Ltd, Survey no 3/142 , Gudavalli Junction, Vijayawada rural, Krishna District ,521104</t>
  </si>
  <si>
    <t>Garuda Food Court, Komirepalle</t>
  </si>
  <si>
    <t>Komirepalle</t>
  </si>
  <si>
    <t>NH 16 Gundugolanu, Komirepalle, Andhra Pradesh 534427</t>
  </si>
  <si>
    <t>Shiv Shanker Motors, Gajuwaka</t>
  </si>
  <si>
    <t>Sobha Square, Vishwaswaraya Nagar, Gajuwaka, Vishakhapatanam-530012</t>
  </si>
  <si>
    <t>Shiv Shanker Motors, Kancharpalem</t>
  </si>
  <si>
    <t>C 24, Industrail Estate, Kancharapalem, Vishakhapatnam u00e2u0080u0093 530010</t>
  </si>
  <si>
    <t>Croma u00e2u0080u0093 MVR Complex, Waltair Uplands</t>
  </si>
  <si>
    <t>Ground &amp; First floor, MVR # 10-1-39/B&amp;C, Siripuram Cir, opp. Rock Park, Waltair Uplands, Visakhapatnam, Andhra Pradesh 530003</t>
  </si>
  <si>
    <t>TIRUPATI URBAN AND MANDAL Air bye-pass road. Tirupati, Chittoor-517502</t>
  </si>
  <si>
    <t>IOCL - TIRUMALA AGENCIES</t>
  </si>
  <si>
    <t>Peddapuram</t>
  </si>
  <si>
    <t>Sy No 164, Peddapuram Bye-Pass Village/Mandal, East Godavari-533437</t>
  </si>
  <si>
    <t xml:space="preserve">Andhra Pradesh </t>
  </si>
  <si>
    <t>Ashutosh Motors, Lokhra</t>
  </si>
  <si>
    <t>NH-37, Chariali, Lokhra, Guwahati, Assam 781028</t>
  </si>
  <si>
    <t>Bhubhaneswar</t>
  </si>
  <si>
    <t>Chattisgarh</t>
  </si>
  <si>
    <t>chattisgarh</t>
  </si>
  <si>
    <t>BHASIN VENTURES, Telibandha</t>
  </si>
  <si>
    <t>NH-6, NEAR CHOKRA NALA, Labhandi Rd, opp. M.S. PETROL PUMP P.O, Ravigram, Telibandha, Raipur, Chhattisgarh 492006</t>
  </si>
  <si>
    <t>GJ | Chikhali | Chikhli - Hotel Empire</t>
  </si>
  <si>
    <t>Chikhali</t>
  </si>
  <si>
    <t>Hotel Empire, PO- Rola, Via- Dungri, NH-8, Gujarat 396375</t>
  </si>
  <si>
    <t>Live Box Hyphen, Sahastradhara Road</t>
  </si>
  <si>
    <t xml:space="preserve">LivBox Dehradun, Plot No-13,14&amp;15, IT PARK, Sahastradhara Road, Dehradun uttrakhand 248001 </t>
  </si>
  <si>
    <t>Delhi NCR</t>
  </si>
  <si>
    <t>u00c2u00a0EESL Sushma Swaraj Bhawan</t>
  </si>
  <si>
    <t>GO AUTO/ Treo Tata, Safdargunj</t>
  </si>
  <si>
    <t>A-2/14, Safdarjung Enclave, , Delhi, Delhi - 110029</t>
  </si>
  <si>
    <t>Autovikas, Motinagar</t>
  </si>
  <si>
    <t>Block B, No. 57, Rama Rd, Moti Nagar, Block B, Najafgarh Road Industrial Area, New Delhi, Delhi 110015</t>
  </si>
  <si>
    <t>Westside, Lajpat Nagar</t>
  </si>
  <si>
    <t>A-15, Alankar Cinema Building, Feroze Gandhi Marg, Lajpat Nagar III, New Delhi 110024</t>
  </si>
  <si>
    <t>IOCL - WELCOME MOTORS, Saket</t>
  </si>
  <si>
    <t>SAKET DISST. CENTRE SAKET N.DELHI - 110017</t>
  </si>
  <si>
    <t>Malwa Automobiles, Rohini</t>
  </si>
  <si>
    <t>Showroom, No. A1, 16, Prashant Vihar Sector 14 Rohini, New Delhi - 110085</t>
  </si>
  <si>
    <t>IOCL - Nineteenth Hole Service Station, Dr Zakir Hussain Ro</t>
  </si>
  <si>
    <t>DR. ZAKIR HUSSAIN ROAD NEAR GOLF COURSEN DELHI LOCK ID NO. I 343,110003</t>
  </si>
  <si>
    <t>IOCL - Sabarwal Service Station, RK Puram</t>
  </si>
  <si>
    <t>Tamil Sangam Marg, Sector 5, Rama Krishna Puram, New Delhi-110022</t>
  </si>
  <si>
    <t>AIRIA MALL, Sec 68 Sohna Road</t>
  </si>
  <si>
    <t>Sector 68, Sohna Road, Gurgaon 122018n</t>
  </si>
  <si>
    <t>IOCL - Jai Sai Motors, Okhla Phase 1</t>
  </si>
  <si>
    <t>Okhla Phase - 1, near Hotel Crown Plaza, New Delhi, Delhi 110020</t>
  </si>
  <si>
    <t>IOCL - COCO, Jungpura</t>
  </si>
  <si>
    <t>Lala Lajpat Rai Marg, Jangpura, Nizamuddin West, New Delhi- 110014</t>
  </si>
  <si>
    <t>IOCL - Irwin Petrol Pump, Connaught Place</t>
  </si>
  <si>
    <t>Baba Kharak Singh Marg, Connaught Place, Hanuman Road Area, Connaught Place, New Delhi, Delhi 110001</t>
  </si>
  <si>
    <t>IOCL - RK Service Station, ChanakyaPuri</t>
  </si>
  <si>
    <t>Vinay Marg, ChanakyaPuri, New Delhi - 110021</t>
  </si>
  <si>
    <t>IOCL - Intimate Filling Station, Soami Nagar</t>
  </si>
  <si>
    <t>Panchsheel Marg, Soami Nagar North, New Delhi- 110049</t>
  </si>
  <si>
    <t>True North, Mayapuri</t>
  </si>
  <si>
    <t>A1/1 Mayapuri, Industrial Area, Phase 1, New Delhi 110064</t>
  </si>
  <si>
    <t>IOCL Bedi Saxena Delhi</t>
  </si>
  <si>
    <t>B-88-5, 86-5, Sat Guru Ram Singh Rd, Block B, Mayapuri Industrial Area Phase I, Mayapuri, New Delhi, Delhi 110064</t>
  </si>
  <si>
    <t>CSC NDMC CENTER MINTO ROAD OPPOSITE K BLOCK, NEW DELHI,NEW DELHI,110001</t>
  </si>
  <si>
    <t>OPP.-VIRENDER NAGAR NEAR BHARATI COLLEGE NEW DELHI-110058</t>
  </si>
  <si>
    <t>Vardhaman Times Plaza, Pitampura</t>
  </si>
  <si>
    <t>LG 1, Vardhaman Times Plaza, Plot No. 13, Saint Nagar Delhi, Pitampura, Delhi - 110034</t>
  </si>
  <si>
    <t>HPCL - Delhi Punjab Fuel Station, Singhu Border</t>
  </si>
  <si>
    <t>15/1 Gt.karnal RD. Singhu Border, Po, Narela, Delhi, 110040</t>
  </si>
  <si>
    <t>DLF - The Camellias, Golf Course Road</t>
  </si>
  <si>
    <t>The Camellias, Golf Course Road , Gurgaon - 122009</t>
  </si>
  <si>
    <t>IOCL at Plot No 1 I P Estate Ring Road New Delhi-110002</t>
  </si>
  <si>
    <t>Ginger Hotel, Sector- 63</t>
  </si>
  <si>
    <t>Ginger Hotel Noida East East - Block-H, Sector- 63, Noida 201301</t>
  </si>
  <si>
    <t>Vatika Market Place I, Sector 84</t>
  </si>
  <si>
    <t>Sector 84, Gurugram, Haryana 122004</t>
  </si>
  <si>
    <t>Vatika Market Place II, Sector 83</t>
  </si>
  <si>
    <t>Sector 83, Gurugram, Haryana - 122004</t>
  </si>
  <si>
    <t>Worldmark 2, Aerocity</t>
  </si>
  <si>
    <t>Worldmark Aerocity, New Delhi  - 110037</t>
  </si>
  <si>
    <t>Worldmark 3, Aerocity</t>
  </si>
  <si>
    <t>Worldmark Gurgaon, Sector 65</t>
  </si>
  <si>
    <t>Worldmark Gurgaon Maidawas Rd, Sector 65, Gurugram, Haryana 122001</t>
  </si>
  <si>
    <t>Sree Gokulam Motors, Kolancherry</t>
  </si>
  <si>
    <t>NO - S-375 2-2, Block no 43, Puthupanam,puthrikka panchayat, puthen cruz PO, Ernakulam,682311</t>
  </si>
  <si>
    <t>Terry's Super Market, Porvorim</t>
  </si>
  <si>
    <t>H.No. B 50 Bardez, Alto- Betim Porvorim, Goa 403521</t>
  </si>
  <si>
    <t>Priority Auto lincs, Taleiga</t>
  </si>
  <si>
    <t>Survey no.166/1, New Taleigao bypass road, Opp.Taleigao Community Centre. Taleiga- Goa-403002</t>
  </si>
  <si>
    <t>Ginger Vastrapur, Drive In Road</t>
  </si>
  <si>
    <t>Behind Himalaya Mall, Drive In Road, Ahmedabad - 380015</t>
  </si>
  <si>
    <t>Westside, Ellisbridge</t>
  </si>
  <si>
    <t>Ground Floor, Abhijeet V, Netaji Rd Ellisbridge Opp. Mayor Bungalow, Ellisbridge, Ahmedabad, Gujarat 380006</t>
  </si>
  <si>
    <t>Progressive Cars, SG Highway</t>
  </si>
  <si>
    <t>G-9, Shapath V, Beside Hotel Crowne Plaza, Near Karnavati Club , SG Highway, Ahmedabad, Gujarat  - 380015</t>
  </si>
  <si>
    <t>Riya Autolink, Ambli BRTS Bus Stand</t>
  </si>
  <si>
    <t>Near Devkutir Bunglow, Opp Bopal Ambli BRTS Bus Stand, Iscon-Bopal Road, Ahmedabad, Gujarat - 380058</t>
  </si>
  <si>
    <t>Pramukh Auto, Umiya Nagar</t>
  </si>
  <si>
    <t>Surat</t>
  </si>
  <si>
    <t>Plot No. 409/27-A, Umiya Nagar Society,Near Chosath Jogni Mata Temple,Udhna Magdalla Road,Surat-394210</t>
  </si>
  <si>
    <t>Jai Ganesh, Kothariya</t>
  </si>
  <si>
    <t>Jai Ganesh MG. Opp Krishna Park , Rajkot-Gondal Highway ,Kothariya, Rajkot-360003</t>
  </si>
  <si>
    <t>Shreeji Automart, Piplod</t>
  </si>
  <si>
    <t>04 A/B, Shreeji House,Opp. Big Bazar,Dumas Road, Piplod,Surat-395002</t>
  </si>
  <si>
    <t>Ahmedabad One Mall, Vastrapur</t>
  </si>
  <si>
    <t xml:space="preserve">Plot No. 216, T. P. Scheme 1, Near Vastrapur Lake, Vastrapur, Ahmedabad u00e2u0080u0093 380054 </t>
  </si>
  <si>
    <t>IOCL - Sardar Petro Station, Bakrol</t>
  </si>
  <si>
    <t>M/s Sardar Petrol Station, Near Toll Plaza Ring Road, Bakrol-Bardrabad, Daskroi, Ahmedabad-382433</t>
  </si>
  <si>
    <t>Comfort Inn Legacy By One Earth</t>
  </si>
  <si>
    <t>Comfort Inn Legacy By One Earth Panchnath Road, Limda Chowk, Rajkot Gujrat-360001</t>
  </si>
  <si>
    <t>Vatika City Point, Sec 25</t>
  </si>
  <si>
    <t>Mehrauli-Gurgaon Rd, Heritage City, Sector 25, Gurugram, Haryana 122002</t>
  </si>
  <si>
    <t>IOCL - Tapan Auto, NH 22</t>
  </si>
  <si>
    <t>Barog</t>
  </si>
  <si>
    <t>National Highway 22, Beside Tapan, Barog, Himachal Pradesh 173211</t>
  </si>
  <si>
    <t>Croma, Ramanthapur</t>
  </si>
  <si>
    <t>Croma, Unit No. 2 &amp; 3, Ground Floor, Plot Survey No. 46, Pragathi Nagar, Ramanthapur Main Road, Ramanthapur, Telangana, Hyderabad - 500013</t>
  </si>
  <si>
    <t>Arise Autoz, Narwal Byepass</t>
  </si>
  <si>
    <t>Arise Autoz Pvt Ltd, Mailk Market , Narwal Byepass Jammu-180016</t>
  </si>
  <si>
    <t>Asia One Earth, Jammu Tawi</t>
  </si>
  <si>
    <t>Asia One Earth, Jammu Tawi, Nehru Market, Jammu tawi, Jammu &amp; Kashmir-180004</t>
  </si>
  <si>
    <t>ASL Motors, Industrial Area</t>
  </si>
  <si>
    <t>A-7, 2nd Phase, Industrial Area, Adityapur, Jamshedpur u00e2u0080u0093 832109</t>
  </si>
  <si>
    <t>Ginger Hotel, Bistupur Main Road</t>
  </si>
  <si>
    <t>Ginger Hotel Jamshedpur Opp. Voltas Building, Bistupur Main Road, Jamshedpur - 831001 Tel: 0657 666 3333</t>
  </si>
  <si>
    <t>u00c2u00a016th Main, 100ft Ring Road, BTM 1st stage, Opp. Advitha Petrol Bunk, Bengaluru, Karnataka 560076</t>
  </si>
  <si>
    <t>Hotel Mayura Veg I Yediyur</t>
  </si>
  <si>
    <t>Hotel Mayur, Chakenahalli, Nh 75, Bangalore - Mangalore Hwy, Jaladagere, Karnataka 572142</t>
  </si>
  <si>
    <t>HOTEL SKY BIRDS I HASSAN</t>
  </si>
  <si>
    <t>Hassan</t>
  </si>
  <si>
    <t>HOTEL SKY BIRDS, railway station, opp. Ranganathapura, Shanthigrama, Karnataka 573201</t>
  </si>
  <si>
    <t>Indradhanush Restaurant I Mudagere</t>
  </si>
  <si>
    <t>Mudagere</t>
  </si>
  <si>
    <t>Indradhanush Restaurant, Bangalore, SH17, Channapatna, Karnataka 571501</t>
  </si>
  <si>
    <t>Adishakti, Veeranpalya</t>
  </si>
  <si>
    <t>#56, Opposite Lumbini Gardens, Veeranna Palya Ring Road , Veeranna Palya, Arabic College Post, Bengaluru, Karnataka - 560045</t>
  </si>
  <si>
    <t>No.46, 10th Cross Rd, West of Chord Road 2nd Stage, West of Chord Road, IInd Stage, Basaveshwar Nagar, Bengaluru, Karnataka 560079</t>
  </si>
  <si>
    <t>Key Motors, Kanakapura</t>
  </si>
  <si>
    <t>No 71/1A &amp; 71/7, Jaraganahalli Village Opp Temple Tree Apartment, Kanakapura Rd, Manjunath Garden, JP Nagar Phase 6, J. P. Nagar, Bengaluru, Karnataka 560078</t>
  </si>
  <si>
    <t>Ginger Whitefield, SAP Labs Rd</t>
  </si>
  <si>
    <t>128, EPIP Phase II, &amp;, SAP Labs Rd, Opp. KTPO, EPIP Zone, Whitefield, Bengaluru, Karnataka 560066</t>
  </si>
  <si>
    <t>Ginger Koramangala, Domlur</t>
  </si>
  <si>
    <t>Inner Ring Road, Opp. Maruthi Infotech Koramangala, 100 Feet Rd, Krishna Reddy Layout, Amarjyoti Layout, Domlur, Bengaluru, Karnataka 560071</t>
  </si>
  <si>
    <t>Prerna Motors, Kudlugate</t>
  </si>
  <si>
    <t>NO.55, HOSUR MAIN ROAD, KUDLUGATE, HONGASANDRA, NEXT TO OZONE TECH PARK, Kudlu Gate, Garebhavipalya, Garvebhavi Palya, Bengaluru, Karnataka 560068</t>
  </si>
  <si>
    <t>KHT, Whitefield</t>
  </si>
  <si>
    <t>No. 736, Vijayalakshmi Square, Kundalahalli Main Road, , Bengaluru, Karnataka - 560 066</t>
  </si>
  <si>
    <t>Kropex, Electronics City</t>
  </si>
  <si>
    <t>No 49/1, Hosur Main Road, Singasandra, Bangalore Urban, Bengaluru, Karnataka - 560068</t>
  </si>
  <si>
    <t>Dyuthi Automobiles, Hunsur Road</t>
  </si>
  <si>
    <t>Mysuru</t>
  </si>
  <si>
    <t>Plot No. 201/1&amp;2, Hunsur Road,Mysore, Karnataka, 570017</t>
  </si>
  <si>
    <t>Jubilant Autoworks, Padukodi</t>
  </si>
  <si>
    <t>Mangalore</t>
  </si>
  <si>
    <t>Survey No. 38, Village, 2, Kuloor - Kavoor Rd, Kuloor, Padukodi, Mangalore, Karnataka 575013</t>
  </si>
  <si>
    <t>Urs Kar motors, New Kantharaj Road</t>
  </si>
  <si>
    <t>Urs Kar, CH 11, New Kantharaj Urs Rd, Mysuru, Karnataka 570004</t>
  </si>
  <si>
    <t>Kalinga Tavern Residency, Hatna</t>
  </si>
  <si>
    <t>Hatna</t>
  </si>
  <si>
    <t>Bandadka - Bengaluru Rd, Hatna, Karnataka 571432</t>
  </si>
  <si>
    <t>Automatrix - Hassan, Bangalore-Mangalore Highway</t>
  </si>
  <si>
    <t>Bangalore - Mangalore Hwy, NH 8, Thanniruhalla, Hassan Rural, Karnataka 573201</t>
  </si>
  <si>
    <t>Click Hotel, Sadahalli</t>
  </si>
  <si>
    <t>35, Down Town Park 1. Sadahalli Main Gate. Shittigere Village. Bangalore North Taluka, 562157</t>
  </si>
  <si>
    <t>Ginger Hotel, Near Kottara Chowki Junction</t>
  </si>
  <si>
    <t>Ginger Hotel Mangalore Near Kottara Chowki Junction, Mangalore 575006 Tel: 0824 666 3333</t>
  </si>
  <si>
    <t>SVS Tyres, sastapur - NH 65</t>
  </si>
  <si>
    <t>Basavakalyan</t>
  </si>
  <si>
    <t>KIADB Industrial Area, Near Fire Station, NH 65 Sastapur, Bangla Basawakalyan 585327</t>
  </si>
  <si>
    <t>CoastLine Garages, NH 47 Muttom</t>
  </si>
  <si>
    <t>Opposite Metro Pillar no 155 , NH 47, Muttom , Near Aluva , Cochin-683106</t>
  </si>
  <si>
    <t>CoastLine Garages, Kannur Road</t>
  </si>
  <si>
    <t>Opposite West Hill Post Office, Kannur Road , West Hill P.O , Kozhikode-673005</t>
  </si>
  <si>
    <t>Marina Motors, Pantheerankavu</t>
  </si>
  <si>
    <t>Bye Pass Road, Pantheerankavu, Kozhikode-673019</t>
  </si>
  <si>
    <t>IOCL - JRO Pongam, Thrissur</t>
  </si>
  <si>
    <t>Kizhakkummuri</t>
  </si>
  <si>
    <t>JUBILEE RETAIL OUTLET KORATTY SOUTH POST THRISSUR DISTRICT-680308</t>
  </si>
  <si>
    <t>Sree Gokulam Motors, Nettoor</t>
  </si>
  <si>
    <t>No. 10, 256/C, Survey No 1562/1, NH47, Bye Pass Road, Nettoor, Kochi-682040</t>
  </si>
  <si>
    <t>Hyson Motors, Punkunnam</t>
  </si>
  <si>
    <t>Guruvayur Rd, Puzhakkal, Punkunnam, Thrissur, Kerala 680002</t>
  </si>
  <si>
    <t>KVR Dream vehicles, Nadal</t>
  </si>
  <si>
    <t>Kannur</t>
  </si>
  <si>
    <t>Ground Floor, Kizhunna - Kadappuram Rd, Chirakku Thazhe, Nadal, Kerala 670007</t>
  </si>
  <si>
    <t>Muthoot Automotive, Mevaram</t>
  </si>
  <si>
    <t>Machoos Properties, Bypass, near Medicity Hospital, Mevaram, Kollam, Kerala 691020</t>
  </si>
  <si>
    <t>IOCL - SR Adhoc u00e2u0080u0093 COCO, Vytilla</t>
  </si>
  <si>
    <t>Bus Stop, Janatha, Sahodaran Ayyappan Rd, Janatha Junction, Vyttila, Ernakulam, Kerala 682019</t>
  </si>
  <si>
    <t>Gokulam Grand, Kovalam</t>
  </si>
  <si>
    <t>Trivandrum</t>
  </si>
  <si>
    <t>TC 63, 512 TO 523, Beach Rd, Kovalam, Kerala 695527</t>
  </si>
  <si>
    <t>Gokulam Sabari, Guruvayur</t>
  </si>
  <si>
    <t>North, Outer Ring Rd, Kuppaayil, Guruvayur, Kerala 680101</t>
  </si>
  <si>
    <t>Sree Gokulam Motors, Edapally</t>
  </si>
  <si>
    <t>Skyline Gateway Apartments, Pathadipalam, Edappally, Ernakulam, Kerala 682033</t>
  </si>
  <si>
    <t>Misty Mountain Teyla, Mundakayam</t>
  </si>
  <si>
    <t>Kottayam</t>
  </si>
  <si>
    <t>Mundakayam Glenrock office, Mundakayam, Kottayam, 686512</t>
  </si>
  <si>
    <t>Ginger Hotel, Kazakuttom</t>
  </si>
  <si>
    <t>Ginger Hotel Trivandrum Electronics Technology Park, Technopark Campus, Club House, Kazakuttom, Trivandrum - 695581 Tel: 0471 666 3333</t>
  </si>
  <si>
    <t xml:space="preserve">GJ | Limbdi | HFM (Highway Food Mall) </t>
  </si>
  <si>
    <t>Limbdi</t>
  </si>
  <si>
    <t>Highway Food Mall, Nr. Limbdi Over Bridge, National Highway No.8A, Limbdi u00e2u0080u0093 363421.</t>
  </si>
  <si>
    <t>Hriday Cars, AB Road</t>
  </si>
  <si>
    <t>1/2-Anoop Nagar,AB Road Indore-452001</t>
  </si>
  <si>
    <t>IOCL COCO u00e2u0080u0093 Extoll College Br., Bhawadita Kalan</t>
  </si>
  <si>
    <t>80/2/1/1/2 Bhawadiya Kalan, Bhopal 462026</t>
  </si>
  <si>
    <t>CR - Bhandup Station, Bhandup East</t>
  </si>
  <si>
    <t>Maharashra</t>
  </si>
  <si>
    <t>Bhandup Station East, near Kotak Mahindra ATM, Bhandup, Bhandup East, Mumbai, Maharashtra 400042</t>
  </si>
  <si>
    <t>NS Phadake Marg, Opp Teli galli,Near Eastern expres Highway, Andheri East Mumbai 400069</t>
  </si>
  <si>
    <t>Select Cars, Sanath Nagar</t>
  </si>
  <si>
    <t>B-51, APIIC Rd, IDA Kukatpally, Sanath Nagar, Hyderabad, Telangana 500018</t>
  </si>
  <si>
    <t>Select Cars, Alkapuri</t>
  </si>
  <si>
    <t>ALKAPURI X ROADS, Nagole, Hyderabad, Telangana 500068</t>
  </si>
  <si>
    <t>Ginger Mumbai, Andheri East</t>
  </si>
  <si>
    <t>Teli - Gali Road, Andheri (East), Mumbai - 400069</t>
  </si>
  <si>
    <t>Tata Power RS, Versova</t>
  </si>
  <si>
    <t>KL Walawalkar Marg, Sahayog Nagar, Bhudargarh Colony, Andheri West, Mumbai, Maharashtra 400102</t>
  </si>
  <si>
    <t>Inderjit Cars, Andheri West</t>
  </si>
  <si>
    <t>1059/1060, Adarsh nagar, near infinity mall, Off New Link Road, Andheri West, Mumbai, Maharashtra 400053</t>
  </si>
  <si>
    <t>Heritage Motors, Panchpakhadi</t>
  </si>
  <si>
    <t>3/4, Meena Apartment, Panchpakhadi, Eastern Exp Highway, Thane West u00e2u0080u0093 Pokran Upvan, Thane - 400606</t>
  </si>
  <si>
    <t>Tata Power, Vikhroli</t>
  </si>
  <si>
    <t>The Tata Power Company Limited, 400 kV Project, Vikhroli Sub Station, Godrej Soap Premises, Vikhroli (East), Mumbai 400079</t>
  </si>
  <si>
    <t>SAB Motors, Patel Nagar</t>
  </si>
  <si>
    <t>G-94, Patel Nagar - III, Ghaziabad, Uttar Pradesh - 201001</t>
  </si>
  <si>
    <t>Multitech Motors, Sec 27 Faridabad</t>
  </si>
  <si>
    <t>Faridabad</t>
  </si>
  <si>
    <t>Sector 19, Faridabad, Haryana 121002</t>
  </si>
  <si>
    <t>Sparsh , Garg Plaza - Dwarka</t>
  </si>
  <si>
    <t>RZ A- 70, Garg Plaza, Dabri - Palam Road, Dwarka, Delhi, Delhi - 110043</t>
  </si>
  <si>
    <t>Rudra Motors, Wagholi</t>
  </si>
  <si>
    <t>Gat No.1343/A, Near Ubale Nagar Bus Stop, Wagholi-412207</t>
  </si>
  <si>
    <t>Bafna, Tathawade</t>
  </si>
  <si>
    <t>Gate No. 129/2B/1, Mumbai Bangalore Express Highway,Ashok Nagar, Tathawade, Pune-411033</t>
  </si>
  <si>
    <t>Croma Pune, Aundh</t>
  </si>
  <si>
    <t>Survey No.127/2B/1A Nanasaheb Gaikwad Information Technology Park ITI Road, Near, Sarjaa Rd, Aundh, Pune,411007</t>
  </si>
  <si>
    <t>Godrej One, Vikhroli</t>
  </si>
  <si>
    <t>4 Wheeler Parking area Godrej One Pirojshanagar, Eastern Express Highway, Vikhroli u00e2u0080u0093 East, Mumbai u00e2u0080u0093 400079</t>
  </si>
  <si>
    <t>Inderjit Cars, Mira Road</t>
  </si>
  <si>
    <t>Platinum Building, Ground Floor,Opp. Pleasant Park,Next To Brand Factory Showroom,Mira Road-401107</t>
  </si>
  <si>
    <t>IOCL, Breach Candy</t>
  </si>
  <si>
    <t>Bhulabhai Desai Road, Breach Candy, near Tata Garden, Mumbai, Maharashtra 400026</t>
  </si>
  <si>
    <t>Puneet, Prabadevi</t>
  </si>
  <si>
    <t>Lloyds Centre Point, Appasaheb Marathe Marg, Dadar West, Prabhadevi, Mumbai, Maharashtra 400025</t>
  </si>
  <si>
    <t>SAB Motors, Loni Road - Industrial Area</t>
  </si>
  <si>
    <t>CF 1-1/1 to 1/5 Harsha Compound, Site II, Loni Road Industrial Area, Mohan Nagar, Ghaziabad, Uttar Pradesh - 201007</t>
  </si>
  <si>
    <t>Croma, L.B. Nagar</t>
  </si>
  <si>
    <t>CROMA, Ground Floor,D.V.Cascade,Plot 59A,59/B,59/C,59/D In Survey 9/9,Saroornagar Village,L.B.Nagar - 500074</t>
  </si>
  <si>
    <t>Sai Baba, Theregaon</t>
  </si>
  <si>
    <t>5/4, Nakhate Nagar,Kalewadi Main Road,Theregaon,Pune-411033</t>
  </si>
  <si>
    <t>Sridha Motors, Chakan</t>
  </si>
  <si>
    <t>Chakan</t>
  </si>
  <si>
    <t>GAT NO. 143/3, PUNE-NASHIK HIGHWAY WAKI (KH), Maharashtra 410501</t>
  </si>
  <si>
    <t>Bikanerwala, NH 48 Panchgaon</t>
  </si>
  <si>
    <t>Panchgaon</t>
  </si>
  <si>
    <t>55th Mile Stone, NH 48, Kukrola, Panchgaon, Gurugram, Pin-122001</t>
  </si>
  <si>
    <t>IOCL - COCO, Prabhadevi</t>
  </si>
  <si>
    <t>Plot No, P. N. 1207, CADELL RD. MUMBAI, PRABHADEVI CADEL RD., MUMBAI - 400022</t>
  </si>
  <si>
    <t>Nangia Cars, Hinghna</t>
  </si>
  <si>
    <t xml:space="preserve">33B 1/4 Hinghna MIDC Opp Nangia Speciality Hospital Nagpur 440028 </t>
  </si>
  <si>
    <t>Jitendra Wheels, Ambad</t>
  </si>
  <si>
    <t>B-88 MIDC AMBAD, Mumbai Agra highway,Next to Hotel gateway Nashik-  422010</t>
  </si>
  <si>
    <t>Tata Power, Dharavi Colony</t>
  </si>
  <si>
    <t>Tata Power Dharavi Colony labour camp dharavi ,Matunga ,Mumbai 400019</t>
  </si>
  <si>
    <t>Unique Automobiles, MIDC Shiroli</t>
  </si>
  <si>
    <t>S.No 592,H.No 4481 1st Stop MIDC Shiroli(P) Tal-Hatkanangale, Dist-Kolhapur-416122</t>
  </si>
  <si>
    <t>Dhoot Motors, Adalat Road</t>
  </si>
  <si>
    <t>ABC Complex, Adalat Road, Aurangabad, Maharashtra 431005Second location for survey : Adalat Road, Next to High Court, Aurangabad, Maharashtra 431005</t>
  </si>
  <si>
    <t>Nathani Heights, Mumbai Central</t>
  </si>
  <si>
    <t>Junction of Bellasis Road and Dr D.B. Marg , Mumbai Central, Mumbai 400008</t>
  </si>
  <si>
    <t>Amanora Mall Big Bazar Parking, Hadapsar</t>
  </si>
  <si>
    <t>Crescent Rd, Amanora Park Town, Hadapsar, Pune, Maharashtra 411028</t>
  </si>
  <si>
    <t>Amnora Sport Arena, Hadapsar</t>
  </si>
  <si>
    <t>Amanora Township , Hadpasar , Pune 411028</t>
  </si>
  <si>
    <t>CSMT Station, Fort</t>
  </si>
  <si>
    <t>Chhatrapati Shivaji Maharaj Terminus, Fort, Mumbai, Maharashtra 400001</t>
  </si>
  <si>
    <t>Mahanagar Gas Limited, Wadala</t>
  </si>
  <si>
    <t>MGL Terminal, opposite Anik Depot, Wadala, Mumbai, Maharashtra 400022</t>
  </si>
  <si>
    <t>IOCL COCO, BKC</t>
  </si>
  <si>
    <t>Bandra Kurla Complex, New Coco At, C-67, Bharat Nagar Rd, G Block BKC, Bandra Kurla Complex, Bandra East, Mumbai, Maharashtra 400051</t>
  </si>
  <si>
    <t>Vivera Hotels &amp; Resorts, Loc 1, Narketpally</t>
  </si>
  <si>
    <t>Suryapet</t>
  </si>
  <si>
    <t>NH 65, Narketpally, Telangana - 508254</t>
  </si>
  <si>
    <t>Highway Hospitality, Rajugari Thota</t>
  </si>
  <si>
    <t>NH 65, Rayangudem Village, Suryapet, Telangana-508213</t>
  </si>
  <si>
    <t>Zenith Chemical Works Pvt Ltd, Andheri East</t>
  </si>
  <si>
    <t>Zenith Chemical Works Pvt Ltd. Plot No. B.6, Cross Road B, MIDC Marol, Andheri East residing at Mumbai-400093</t>
  </si>
  <si>
    <t>Panchjanya Motors, Bhosari</t>
  </si>
  <si>
    <t>Wakad - Bhosari BRTS Road, Century Enka Colony, Bhosari, Pimpri-Chinchwad,Maharashtra 411039</t>
  </si>
  <si>
    <t>Panchjanya Motors, Chinchwad</t>
  </si>
  <si>
    <t>No 49, Block D2, MIDC Ador Power Station, Chinchwad, Ram Nagar, Chinchwad, Pune,Maharashtra 411039</t>
  </si>
  <si>
    <t>Hotel Sai International Yelur, Sangali</t>
  </si>
  <si>
    <t>Yelur</t>
  </si>
  <si>
    <t>Pune Bangalore Highway (NH-4, Vasant Park Chougle Plot, Yelur, Maharashtra 415411</t>
  </si>
  <si>
    <t>Sangam Hotel, Pune- Bangalore Road</t>
  </si>
  <si>
    <t>Karad</t>
  </si>
  <si>
    <t>NH 4, Pune-Bangalore Road, Near Kolhapur Naka, Karad, Maharashtra 415110</t>
  </si>
  <si>
    <t>Amrai Hotel &amp; Resort , NH 4 Shendre</t>
  </si>
  <si>
    <t>KG.NO 207/B, Plot No-1&amp;2, Near National Highway No-4, Shendre, Satara, Maharashtra 415002</t>
  </si>
  <si>
    <t>AH Group, Hinjewadi Phase I</t>
  </si>
  <si>
    <t>Aditya Infotech Park ,SBI Bank ,Phase I , Hinjewadi Pune 411057</t>
  </si>
  <si>
    <t>IOCL Kini Causway, Bandra West</t>
  </si>
  <si>
    <t>IOCL - COCO ALE 101, Mohabbatpur</t>
  </si>
  <si>
    <t>Mainpuri</t>
  </si>
  <si>
    <t>IndianOil Petrol pump at Km Stone 101.2 LHS Village Mohabbatpur Tehsil karhal Distt Mainpuri - 205268</t>
  </si>
  <si>
    <t>Uniworld City, New Town</t>
  </si>
  <si>
    <t>Uniworld City, Newtown, New Town, West Bengal 700156</t>
  </si>
  <si>
    <t>Amravati</t>
  </si>
  <si>
    <t>Datson Electronics, Gorhe</t>
  </si>
  <si>
    <t>M/s. Datson Electronics pvt ltd Gat.No.30. Sinhagad Road , Gorhe Budruk .Tal- Haveli Next To Savali Resort , Off Sinhagad Road . Village Gorhe . Pune - 411025</t>
  </si>
  <si>
    <t>Hare Krishna Mahindra, Mulund West</t>
  </si>
  <si>
    <t>Building, Plot 1, Udyog Kshtra, Mulund Goregaon Link Rd, near D Mart Mulund, Salpa Devi Pada, Mulund West, Mumbai, Maharashtra 400080</t>
  </si>
  <si>
    <t>PUNJAB</t>
  </si>
  <si>
    <t>76/B, Nagar-Pune Road, Kamargaon, Ahmednagar,Maharashtra-411005</t>
  </si>
  <si>
    <t>IOCL COCO Palayamputhur, Palyampudur</t>
  </si>
  <si>
    <t>Palyampudur</t>
  </si>
  <si>
    <t>Dharmapuri Main Road, Palayampudur, Tamil Nadu 636807</t>
  </si>
  <si>
    <t>Hotel Mamalla</t>
  </si>
  <si>
    <t>Daspalla Hotels, Suryabagh</t>
  </si>
  <si>
    <t>Hotel Daspalla Visakhapatnam, 28-2-48, Suryabagh, Jagadamba Junction,A P 530020</t>
  </si>
  <si>
    <t>TDI Business Centre, Mohali</t>
  </si>
  <si>
    <t>Mohali</t>
  </si>
  <si>
    <t>TDI Business Centre, Sector 118, TDI City, Mohali - 160055</t>
  </si>
  <si>
    <t>904, Mumbai - Agra National Hwy, opposite Orchid International, Rane Nagar, Nashik, Maharashtra 422009</t>
  </si>
  <si>
    <t>Aurangabad Smart City, Himayat Bagh</t>
  </si>
  <si>
    <t>V8VH+HMJ, Himayat Bagh, Aurangabad, Maharashtra 431004</t>
  </si>
  <si>
    <t>Navagauri Tyres, MIDC</t>
  </si>
  <si>
    <t>Baramati</t>
  </si>
  <si>
    <t>MIDC Baramati Plot No. 237, near Hindustan Cattle feed Baramati- 413133</t>
  </si>
  <si>
    <t>MH | Nashik | Nashik | Car mall</t>
  </si>
  <si>
    <t>CAR MALL, Buddha Vihar, Pathardi Phata, Nashik, Maharashtra 422010</t>
  </si>
  <si>
    <t>Dion Automotives,Samantarpur</t>
  </si>
  <si>
    <t>Plot No 2175, 3766, Lewis Road, Samantarapur, Old Town, Bhubaneswar, Odisha 751002</t>
  </si>
  <si>
    <t>Lankeswari Motors, NH 6 - Gopalpalli Chowk</t>
  </si>
  <si>
    <t>Sambalpur</t>
  </si>
  <si>
    <t>National Hwy, 06, Near Gopalpalli Chowk, Sambalpur, Odisha 768006</t>
  </si>
  <si>
    <t>Trupti Automotives, NH 16 - Manguli Chowk</t>
  </si>
  <si>
    <t>NH16, Manguli Chowk, Odisha 754025</t>
  </si>
  <si>
    <t>Trupti Automotives, NH 53 - Duburi</t>
  </si>
  <si>
    <t>Kalinganagar</t>
  </si>
  <si>
    <t>Duburi, Kalinga Nagar Tata Steel Area, Odisha- 755026</t>
  </si>
  <si>
    <t>CSM Technologies, Khorda</t>
  </si>
  <si>
    <t>E/56, Infocity, Chandrasekharpur Industrial Area, Khorda, Bhubaneswar, Odisha-751024</t>
  </si>
  <si>
    <t>CSM Technologies, Acharya Vihar</t>
  </si>
  <si>
    <t>OCAC(Odisha Computer Application Centre) Building, Plot No N-1/7-D, Acharya Vihar, Khorda, Bhubaneswar, Odisha-751013</t>
  </si>
  <si>
    <t>Samal Equip, Nuahata</t>
  </si>
  <si>
    <t>Nuahata, Odisha 759128</t>
  </si>
  <si>
    <t>Ginger Hotel, Nayapalli</t>
  </si>
  <si>
    <t>Ginger Hotel Bhubaneshwar Opp. Nalco Headquarter,Jayadev Vihar, Nayapalli, Bhubaneshwar 751013</t>
  </si>
  <si>
    <t>Holiday Villa, Poladpur Road</t>
  </si>
  <si>
    <t>FPL Vehicles, Ariyankuppam</t>
  </si>
  <si>
    <t>No.1 Cuddalore, Puducherry ECR Main Road , Ariyankuppam , Puducherry-605007</t>
  </si>
  <si>
    <t>Gitansh Motors, GT Road Jugiana</t>
  </si>
  <si>
    <t>Ludhiana</t>
  </si>
  <si>
    <t>GT Road Jugiana,adjoining indian oil petrol pump,ludhiana-141010</t>
  </si>
  <si>
    <t>RSA Motors, Industrial Area II</t>
  </si>
  <si>
    <t>Plot No.40, Industrial Area, Phase II, chandigarh - 160002</t>
  </si>
  <si>
    <t>IOCL - COCO IT Park, Bhagwanpura</t>
  </si>
  <si>
    <t>IT HABITAT, Rajiv Gandhi Chandigarh Technology Park, Bhagwanpura, Chandigarh- 160101</t>
  </si>
  <si>
    <t>IOCL - COCO 65, Sec -65</t>
  </si>
  <si>
    <t>631 A, Sector 65, Sahibzada Ajit Singh Nagar, Punjab-160062</t>
  </si>
  <si>
    <t>Dada Motors, Heera Singh Nagar</t>
  </si>
  <si>
    <t>Heera Singh Nagar, Jalandhar Bye Pass, Ludhiana-141008</t>
  </si>
  <si>
    <t>One Earth Avaas, Amritsar</t>
  </si>
  <si>
    <t>Amritsar</t>
  </si>
  <si>
    <t>One Earth Avaas, BBK DAV College,12 Lawrence Road, Dayanand Nagar, Amritsar, Punjab -143001</t>
  </si>
  <si>
    <t>Shiv Shanker Motors, Hukumpet</t>
  </si>
  <si>
    <t>110-4-7, NH 16 Hukumpet, Aditya Nagar, Bommuru, Rajahmundry-533103</t>
  </si>
  <si>
    <t>GPS Automobiles, Tonk Road</t>
  </si>
  <si>
    <t>Plot No. 2&amp; 3/4, Choudhary Charan Singh Colony, Tonk Road, Jaipur, 302029</t>
  </si>
  <si>
    <t>Chambal Motors, Madri Industrial Area</t>
  </si>
  <si>
    <t>Udaipur</t>
  </si>
  <si>
    <t>CP-6/CP-7, Madri Industrial Area - 313001</t>
  </si>
  <si>
    <t>GPS Automobile, Parbatpura</t>
  </si>
  <si>
    <t>G.P.S. Automobiles pvt. Ltd. ; Jaipur Ajmer express highway near municipal trenching ground Parbatpura Ajmer- 305002</t>
  </si>
  <si>
    <t>Shree Shyam Motors, VKI Area</t>
  </si>
  <si>
    <t>E(5) B, Road no 1C, VKI area, Jaipur - 302013</t>
  </si>
  <si>
    <t>First Mobital, Tonk Road</t>
  </si>
  <si>
    <t>G1-211, Sitapura Industrial Area, behind genpect Tonk Road, Jaipur - 302022</t>
  </si>
  <si>
    <t>Roshan Motors, Adarsh Nagar</t>
  </si>
  <si>
    <t>No B, 7, Govind Marg, Saket Colony, Adarsh Nagar, Jaipur, Rajasthan 302004</t>
  </si>
  <si>
    <t>Chambal MotoCorp, Surajpole</t>
  </si>
  <si>
    <t>Plot No 3 and, 4, Panchsheel Marg, Surajpole, Udaipur, Rajasthan 313001</t>
  </si>
  <si>
    <t>Yash Motors, Subhash Nagar</t>
  </si>
  <si>
    <t>Bhilwara</t>
  </si>
  <si>
    <t>3, Ajmer Rd, Subhash Nagar, Bhilwara, Rajasthan 311001</t>
  </si>
  <si>
    <t>JhalamandGarh Jodhpur</t>
  </si>
  <si>
    <t>Jodhpur</t>
  </si>
  <si>
    <t>Post Office Jhalamand, Jodhpur, Rajasthan 342005</t>
  </si>
  <si>
    <t>RnB Shanti Seva Niketan</t>
  </si>
  <si>
    <t>Salasar</t>
  </si>
  <si>
    <t>MDR2, Salasar , Rajasthan 332318</t>
  </si>
  <si>
    <t>Ginger Hotel, Civil Lines</t>
  </si>
  <si>
    <t>Ginger Hotel Jaipur Geejgarh House, Civil Lines, Hawa Sadak, Jaipur 302006 Tel: 0141 4666 333</t>
  </si>
  <si>
    <t>Sp Motors, Madri</t>
  </si>
  <si>
    <t>E-110 Main Bypass Road, Mewar Industrial Area, Madri, Udaipur-313003</t>
  </si>
  <si>
    <t>Visvakarma Hotel, Jhunhunnu</t>
  </si>
  <si>
    <t>Sikar</t>
  </si>
  <si>
    <t>Visvakarma Hotel, NH 11 NH52, Near Ganpati Dham, Sargoth, Sargoth Via Reengus, Sikar Rajasthan 332404</t>
  </si>
  <si>
    <t xml:space="preserve">GJ | Surat | Kamrej </t>
  </si>
  <si>
    <t>Block number 552-553 IRB Compound opp Mansarovar Residency NH 8 Kamrej, Surat 394185</t>
  </si>
  <si>
    <t>Cafu00c3u00a9 Udupi Ruchi</t>
  </si>
  <si>
    <t>Radisson Blu Resort Temple Bay I Mamallapuram</t>
  </si>
  <si>
    <t>Radisson Blu Resort Temple Bay Mamallapuram, 57 Covelong Road, Dist, Mahabalipuram, Tamil Nadu 603104</t>
  </si>
  <si>
    <t>Spencer Plaza Mall | Chennai</t>
  </si>
  <si>
    <t>Spencer Plaza Mall, 768-769, Anna Salai, Chennai, Tamil Nadu 600002</t>
  </si>
  <si>
    <t>LAKSHMI Motors, Thoraipakkam</t>
  </si>
  <si>
    <t>118, Okkiam, Thoraipakkam, Chennai, Tamil Nadu - 600097</t>
  </si>
  <si>
    <t>Ginger Vadapalani, NGO Colony</t>
  </si>
  <si>
    <t>61, Inner Ring Rd, Thiru Nagar Colony, NGO Colony, Vadapalani, Chennai, Tamil Nadu 600026</t>
  </si>
  <si>
    <t>Gurudev Tata Motors, Arumbakkam</t>
  </si>
  <si>
    <t>Old No 90, New Number 1090, E.V.R. Periyar High Road, Arumbakkam, Chennai, Tamil Nadu - 600106</t>
  </si>
  <si>
    <t>FPL Vehicles, Annasali</t>
  </si>
  <si>
    <t>NO. 824/2, Annasali Nandnam, Chennai, Tamil Nadu, 600035</t>
  </si>
  <si>
    <t>PPS Motors, Chinniyampalayam</t>
  </si>
  <si>
    <t>No-138, Avinashi Road, Chinniyampalayam, Coimbatore-641062</t>
  </si>
  <si>
    <t>PPS Motors, Thirumangalam</t>
  </si>
  <si>
    <t>Shed No. D-23, Nilaiyur First Bit, Uchapatti Village,Thirumangalam, Madurai-625402</t>
  </si>
  <si>
    <t>FPL Vehicles, Perumugai</t>
  </si>
  <si>
    <t>33/5A1, Chennai Bangalore Highway, perumugai, Vellore-632009</t>
  </si>
  <si>
    <t>Sree Gokulam Motors, Zamin Pallavaram</t>
  </si>
  <si>
    <t>Sree Gokulam Motors, No 93, 3C, 200 Feet Radial road, Zamin Pallavaram, Chennai - 600117</t>
  </si>
  <si>
    <t>Vivera Hotels &amp; Resorts, Bhuvanagiri</t>
  </si>
  <si>
    <t>Bhuvanagiri</t>
  </si>
  <si>
    <t>NH 163, Ragari, near IT College, Bhuvanagiri, Telangana 508116</t>
  </si>
  <si>
    <t>Tanishq, Cathedral road Gopalpuram</t>
  </si>
  <si>
    <t>No.100, Cathedral Rd, Gopalapuram, Chennai, Tamil Nadu 600086</t>
  </si>
  <si>
    <t>Chima Cars, Kappalur</t>
  </si>
  <si>
    <t>H-14, H-14A, SIDCO INDUSTRIAL ESTATE UCCHAPATTI, Kappalur, Tamil Nadu 625008</t>
  </si>
  <si>
    <t>Gateway Coonoor - IHCL SeleQtions, Coonoor</t>
  </si>
  <si>
    <t>Ooty</t>
  </si>
  <si>
    <t>Upper, Coonoor, Tamil Nadu 643101</t>
  </si>
  <si>
    <t>Tejaswi Motors, Madhapur</t>
  </si>
  <si>
    <t>Plot No. 4/14, Opp. Cyber Towers, KPHB Road, Madhapur, Hyderabad, Telangana - 500081</t>
  </si>
  <si>
    <t>Venkataramana Motors, ECIL</t>
  </si>
  <si>
    <t>Plot No 11, Victory Plaza, ECIL X Roads, Hyderabad, Telangana - 500062</t>
  </si>
  <si>
    <t>Westside, Somajiguda</t>
  </si>
  <si>
    <t>PLOT NO.6-3, Kmc Retail Mall, CIRCLE, 1112, near KIRTILAL JEWELLERS, Somajiguda, Hyderabad, Telangana 500082</t>
  </si>
  <si>
    <t>Croma, Attapur</t>
  </si>
  <si>
    <t>Sirimalle Square Plot Nos. 8, 9, 10 Survey No. 523/B, Pillar No. 160 Attapur, Rajendranagar mandal, Hyderabad, Telangana 500048</t>
  </si>
  <si>
    <t>Croma, Kompally</t>
  </si>
  <si>
    <t>Ratna Arcade, Ground Floor Survey No. 128 National Highway 44, Beside, Sree Vensai Towers, Ruby Block, Kompally, Secunderabad, Telangana 500014</t>
  </si>
  <si>
    <t>Sarath City Capital Mall, Whitefields</t>
  </si>
  <si>
    <t>Sarath City Capital Mall, Whitefields, Gachibowli-Miyapur Road, Hyderbad 500084</t>
  </si>
  <si>
    <t>7 Food Court, NH 65 -Rayangudem</t>
  </si>
  <si>
    <t>NH - 65, Rayangudem Village Suryapet Mandal, Suryapet, Telangana 508213</t>
  </si>
  <si>
    <t>TELENGANA</t>
  </si>
  <si>
    <t>NEAR KOTWAN POLICE CHOWKI,UP BORDER,KOSI KALAN,KOSI KOTWAN,UTTAR PRADESH</t>
  </si>
  <si>
    <t>Sagar Motors EV, Surajpur</t>
  </si>
  <si>
    <t>E-36, Site-4, UDSIDC, Surajpur Kasna Road, (Near Pari Chowk), Noida, Uttar Pradesh - 201310</t>
  </si>
  <si>
    <t>Society Motors, MACROBERTGANJ</t>
  </si>
  <si>
    <t>Kanpur</t>
  </si>
  <si>
    <t>12/483, Macrobert Ganj, Kanpur, Uttar Pradesh - 208001</t>
  </si>
  <si>
    <t>Beeaar Autowheels, Chinhat</t>
  </si>
  <si>
    <t>Milestone No.u00c2u00a0111, Faizabad Road, Chinhat, Lucknow (UP) 227105</t>
  </si>
  <si>
    <t>NRL Cars, Nagla Padi</t>
  </si>
  <si>
    <t>404, Nagla Padi, Near Arvind Hyundai 282005</t>
  </si>
  <si>
    <t>Keshav Raj, Rampur Road</t>
  </si>
  <si>
    <t>Bareilly</t>
  </si>
  <si>
    <t>Keshav Raj Automobiles Private Limited, 4.5 KM Rampur road, C. B Ganj Bareily-243001</t>
  </si>
  <si>
    <t>Puneet Automobiles, Faizabad Road</t>
  </si>
  <si>
    <t>403-407, Tiwariganj Near BBD University, Faizabad Road, Lucknow - 226028</t>
  </si>
  <si>
    <t>IOCL on Ghaziabad bulandshahar Road, Stone No 26. 850 Vill Chhapraula Distt GB Nagar-201009</t>
  </si>
  <si>
    <t>IOCL on Ghaziabad - Hapur  Road (NH-24) At Mauza Garhmukhteshwar Near KM Stone No. 87 Dist Ghaziabad-245205</t>
  </si>
  <si>
    <t>IOCL on Khatauli Near KM Stone NO 15.5  On NH -58 Meerut/ Delhi  Muzzaffarnagar Road, Khasra No 1745/0752, Dist Muzaffarnagar-251003</t>
  </si>
  <si>
    <t>Bikano Restaurant, NH-58</t>
  </si>
  <si>
    <t>Bikano Restaurant, NH-58 Rampur Tiraha Roorkee Road Muzaffarnagar-251202</t>
  </si>
  <si>
    <t>Fun &amp; Food Carnival, NH 58</t>
  </si>
  <si>
    <t>Fun &amp; Food carnival, Bhainsi NH-58 National Highway Khatauli, Muzaffarnagar-251201</t>
  </si>
  <si>
    <t>GenX Agra, NH 19</t>
  </si>
  <si>
    <t>NH19, SikandraBainpurMustkil, Agra, Uttar Pradesh 282007</t>
  </si>
  <si>
    <t>GenX Le Crescent, Indirapuram</t>
  </si>
  <si>
    <t>Plot No, II, Mall Rd, Ahinsa Khand 2, Indirapuram, Ghaziabad, Uttar Pradesh 201014</t>
  </si>
  <si>
    <t>GenX Corbett Tiger Den</t>
  </si>
  <si>
    <t>Uttarkhand</t>
  </si>
  <si>
    <t>Ramnagar</t>
  </si>
  <si>
    <t>Village: PattaPani, Belparao, Ramnagar, Uttarakhand 244715</t>
  </si>
  <si>
    <t>Sparsh Hotels by Clarks Collection</t>
  </si>
  <si>
    <t>OPP.SURESH SHARMA NAGAR CHAURAHA, PILIBHIT BY-PASS ROAD,Bareiily., Bareilly u00e2u0080u0093 243001</t>
  </si>
  <si>
    <t>Grand Vehicles, Mahobewala</t>
  </si>
  <si>
    <t>Saharanpur Road, Mahobewala Chowk, Dehradun, Uttarakhand 248002</t>
  </si>
  <si>
    <t>One Earth Haridwar, Motichur</t>
  </si>
  <si>
    <t>One Earth Haridwar near, dudhadhari chowk, Motichur, Haridwar, Uttarakhand 24941</t>
  </si>
  <si>
    <t>Plot No 1 Sector 11 SIDCUL Haridwar Uttrakhand-249403</t>
  </si>
  <si>
    <t>M3, M4  Shivalik Nagar Haridwar Uttrakhand-249403</t>
  </si>
  <si>
    <t>Clarks Collection Epicure</t>
  </si>
  <si>
    <t>Chakarata Road Clarks Collection Epicure, Nanda Ki Chowki, Dehradun, Uttarakhand248007</t>
  </si>
  <si>
    <t>Auto Hi-Tech, Southern Avenue</t>
  </si>
  <si>
    <t>No 34 A, Chandra Nath Roy Rd, near Anandadham, Topsia, Kolkata, West Bengal 700039</t>
  </si>
  <si>
    <t>Banerjee Automobiles, NH 2 Chandul</t>
  </si>
  <si>
    <t>Ferighat Parking, NH2, Fagupur PO, Burdhaman(purba) Chandul Mouza West Bengal - 713101n</t>
  </si>
  <si>
    <t>Bayarmari</t>
  </si>
  <si>
    <t>The Golkonda Hotel</t>
  </si>
  <si>
    <t>The Golkonda Hotel, Ambedkar Nagar, Masab Tank, Hyderabad Telangana 500004</t>
  </si>
  <si>
    <t>Sri Sai Dhaba - Jedcharla</t>
  </si>
  <si>
    <t>Palem</t>
  </si>
  <si>
    <t>CW8R+Q54, Telangana 509219 Jedcharla Telangana 509219</t>
  </si>
  <si>
    <t>Palm Meadows</t>
  </si>
  <si>
    <t>Palm Meadows Rd, Laxmi Nagar Colony, Kompally Hyderabad Telangana 500100</t>
  </si>
  <si>
    <t>Sohini Tech Park</t>
  </si>
  <si>
    <t>Nanakramguda Road, Financial district, Gachibowli Hyderabad Telangana 500032</t>
  </si>
  <si>
    <t>Hotel Gangothri</t>
  </si>
  <si>
    <t>Andra Pradesh</t>
  </si>
  <si>
    <t>Kodikonda</t>
  </si>
  <si>
    <t>Kodikonda Checkpost (V), Chilamathur (Mandal), Anantapur Andhra pradesh 515601</t>
  </si>
  <si>
    <t>Exotikka Restaurant</t>
  </si>
  <si>
    <t>Ananthapur</t>
  </si>
  <si>
    <t>survey no- 155, NH44, beside TATA show room. Kakkala palli village Anantapur 515001.</t>
  </si>
  <si>
    <t>Magenta TTC, Turbhe</t>
  </si>
  <si>
    <t>Magenta House, D-285, TTC Industrial Area, nTurbhe, Near Unitech Motors, Navi Mumbai, Maharashtra</t>
  </si>
  <si>
    <t>The Fern An Ecotel Hotel</t>
  </si>
  <si>
    <t>Lonavala</t>
  </si>
  <si>
    <t>84/1 to 4/2, Valvan, Maval, Lonavla, nMaharashtra 410401</t>
  </si>
  <si>
    <t>Hotel Fern Zinc, Whitefield</t>
  </si>
  <si>
    <t>1528, Channasandra Main Rd, beside Global nSchool, Vijayanagara, Whitefield, Bengaluru, nKarnataka 560067</t>
  </si>
  <si>
    <t>Amanora Park Town</t>
  </si>
  <si>
    <t>Amanora Park Town, Amanora, Magarpatta nRd, Hadapsar, Pune, Maharashtra, 411028</t>
  </si>
  <si>
    <t>Opposite S.L.Raheja Hospital, Mahim nCauseway, Mahim (West), Raheja Hospital nMarg, Mumbai, Maharashtra 400016</t>
  </si>
  <si>
    <t>HPCL auto care, Sajgaon</t>
  </si>
  <si>
    <t>Sajgaon HPCL petrol pump, Mumbai-Pune nExpressway</t>
  </si>
  <si>
    <t>UK 27, The Fern</t>
  </si>
  <si>
    <t>Belgavi</t>
  </si>
  <si>
    <t>UK27, Fern, Ayodhya Nagar, Sadashiv Nagar, nBelagavi</t>
  </si>
  <si>
    <t>Fern Residency Karad</t>
  </si>
  <si>
    <t>The Fern Residency,NH-4 At Munde, Tal, nKarad</t>
  </si>
  <si>
    <t>Anjappar Chettinad A/C Restaurant, Nazarathpettai</t>
  </si>
  <si>
    <t>NH 48, Nazarathpettai, Tamil Nadu 600123</t>
  </si>
  <si>
    <t>Ocean Spray Resort, Manjakuppam</t>
  </si>
  <si>
    <t>No: 7, 8, 9, SH 49, Manjakuppam, Tamil Nadu 60430</t>
  </si>
  <si>
    <t>Prashanth Charging Station, Chidambaram</t>
  </si>
  <si>
    <t>Chidambaram</t>
  </si>
  <si>
    <t>SH 212, Kadavul Nagar,</t>
  </si>
  <si>
    <t>Hotel Gem Park</t>
  </si>
  <si>
    <t>Sheddon Road, Pudumund Ooty Tamilnadu 643001</t>
  </si>
  <si>
    <t>Hotel Aryaas Veg | Pallikonda</t>
  </si>
  <si>
    <t>Pallikonda</t>
  </si>
  <si>
    <t>HOTEL ARYAAS, NH-4, Veppangal, Pallikonda, Tamil Nadu 635809</t>
  </si>
  <si>
    <t>Hotel Sri Nanjundeshwara I Tumkur</t>
  </si>
  <si>
    <t>Tumkur</t>
  </si>
  <si>
    <t>Hotel Nanjundeshwara, Veg Restaurant, NH 48, Sannappana Palya, Pandithanahalli, Karnataka 572104</t>
  </si>
  <si>
    <t>Cassia Restaurant I Alappuzha</t>
  </si>
  <si>
    <t>Alappuzha</t>
  </si>
  <si>
    <t>Cassia Restaurant, NH -47, Kommady, Alappuzha, Kerala 688008</t>
  </si>
  <si>
    <t>Wyte Portico Hotel I Adoor</t>
  </si>
  <si>
    <t>Karala</t>
  </si>
  <si>
    <t>Adoor</t>
  </si>
  <si>
    <t>Wyte Portico Hotel, High School Jn, Karuvatta, Adoor, Kerala 691523</t>
  </si>
  <si>
    <t>Hotel Kalyan Grand I Vandalur</t>
  </si>
  <si>
    <t>Vandalur, Chennai</t>
  </si>
  <si>
    <t>Kalyan Grand - a business hotel, 247 Grand Southern Trunk Rd, Next to Vandalur Zoo, Chennai, Tamil Nadu 600048</t>
  </si>
  <si>
    <t>Hotel Subbanna | Karur</t>
  </si>
  <si>
    <t>Karur</t>
  </si>
  <si>
    <t>Madurai Byepass Road Service Road, L G B Nagar, Tamil Nadu 639001</t>
  </si>
  <si>
    <t>Bharat Petroleum Company Owner retail outlet, Next to Ulundurpet Toll, NH38, CHENNAI-TRICHY HIGHWAY, SENGURICHI VILLAGE, KALLAKURICHI Dt, TN-606115</t>
  </si>
  <si>
    <t>Charge Zone</t>
  </si>
  <si>
    <t>Vapi</t>
  </si>
  <si>
    <t>GJ | Vapi |Shanti-Complex ,Shanti Complex, Beside King Ford Near Jalaram Temple, NH-8, Vapi, Gujarat 396191</t>
  </si>
  <si>
    <t>Kasara</t>
  </si>
  <si>
    <t>MH | Kasara | Hotel Vrundavan,Hotel Vrindavan, Mumbai nasik highway,near indian petrol pump,mukhavane,kasara, dist thane, Kasara, Maharashtra 421601</t>
  </si>
  <si>
    <t>MH | Sangli | Mehta Petroleum,Miraj Rd, Samasta nagar, Miraj, Maharashtra 416410</t>
  </si>
  <si>
    <t>MH | Mumbai | The Westin Mumbai Powai Lake,The Westin Mumbai Powai Lake  Kailash Nagar, Morarji Nagar, Powai, Mumbai, Maharashtra 400076</t>
  </si>
  <si>
    <t>MH | Mumbai | NSCI - Worli,NSCI, Lala Lajpatrai Marg, Lotus Colony, Worli, Mumbai, Maharashtra 400018</t>
  </si>
  <si>
    <t>RJ | Behror Village | Hotel Express Highway,National Highway 8, Delhi - Jaipur Expy, Behror, Rajasthan 301701</t>
  </si>
  <si>
    <t>Aligarh</t>
  </si>
  <si>
    <t>UP | Aligarh | Hotel Food Bell,Ogarnagala Rajoo, Opposite Reliance fuel point, Uttar Pradesh 202136</t>
  </si>
  <si>
    <t>KA | Bengaluru | Marriott Hotel Whitefield ,Plot No 75, 8th Rd, EPIP Zone, Whitefield, Bengaluru, Karnataka 560066</t>
  </si>
  <si>
    <t xml:space="preserve">Tata Power </t>
  </si>
  <si>
    <t>IOCL COCO Opp Nature Park, Makalhati MAuza, Makalhati Mauza, Kolkata, West Bengal 700088</t>
  </si>
  <si>
    <t>Durgapur</t>
  </si>
  <si>
    <t>Kejriwal Castings, Gopalpur, Kejriwal Castings Limited, Bamunara, Gopalpur Road, Gopalpur, Durgapur, West Bengal 713212</t>
  </si>
  <si>
    <t>Le ROI, Digha, 3, Multi - MFC, Ambition Hotels Pvt Ltd, Digha Railway Station, West Bengal-721463</t>
  </si>
  <si>
    <t>Rudrapur</t>
  </si>
  <si>
    <t>Ginger Hotel, Patnanagar, Ginger Hotel Pantnagar Plot No. 1, Commercial Sector, IIE, SIDCUL Pantnagar, Rudrapur 263153</t>
  </si>
  <si>
    <t>Nainital</t>
  </si>
  <si>
    <t>Le ROI, Corbett, Village Dhikuli, Le Roi Resort, Nainital, Uttarakhand - 244715</t>
  </si>
  <si>
    <t>Le ROI, Haridwar, Multifunctional Complex, Haridwar Railway Station 249401</t>
  </si>
  <si>
    <t>Hyphen Grand, near Radisson, Hyphen Grand Hotel, Pentagon Mall ,Sidcul Industrial Area, near Radisson, Haridwar, Uttarakhand 249403</t>
  </si>
  <si>
    <t>Shiva Motocorp, Sec-5 , Shiva Motocorp - A Unit of Narnoli Apparels Pvt. Ltd.  Plot A-108, Jaguar Land-rover showroom, Sector-5, Noida - 201301</t>
  </si>
  <si>
    <t>IOCL - COCO EPE Aurangpur, Gautam Budh Nagar, Plot No, CH-95, 600, VILLAGE-AURANGPUR, On Eastern Peripheral Expressway, , Gautam Buddha Nagar,UP- 201301</t>
  </si>
  <si>
    <t>Hyphen Premier Hotel, Major Dhyanchand Nagar, Hyphen Premier Hotel, Shopprix Mall, Hapur Bypass Delhi, Delhi - Meerut Expy, Major Dhyanchand Nagar, Meerut, Uttar Pradesh 250001</t>
  </si>
  <si>
    <t>Pinnacle by 1589 Hotels, LDA Colony, Sector D, C.P. - 151, Parag Rd, near Power House Chauraha, Sector D1, LDA Colony, Lucknow, Uttar Pradesh 226012</t>
  </si>
  <si>
    <t>Tripura</t>
  </si>
  <si>
    <t>Agartala</t>
  </si>
  <si>
    <t>Ginger Hotel, Airport Road, Ginger Hotel Agartala Khejur Bagan, Airport Road, Barjala Mouja, Agartala 799006</t>
  </si>
  <si>
    <t>Srinidhi Service Station, Nizampet, Survey No:305 part, Village: Nizampet, Mandal: Qutbullapur, District: Rangareddy, Telangana.Pin 500049</t>
  </si>
  <si>
    <t>Kona Vijay Shankar Filling Station, Bahadurpally, Plot Nos. 50, 51, 52 Part 53 Part, 54, 55, Survey No. 227/1, Bahadurpalle Village, Quthbullapur Mandal, Medchal Malkajgiri  District, Telangana State. PIN 500043</t>
  </si>
  <si>
    <t>Hosur</t>
  </si>
  <si>
    <t>True Sai, Agraharam, Survey No 46/ 1A and 47/1A Thorapalli Agraharam, Hosur, Tamil Nadu 635109</t>
  </si>
  <si>
    <t>Clarks Collection, Govindpuri, 18, New Sanganer Rd, RoopVihar, Goverdhan Colony, Shiva Colony, Govindpuri, Jaipur, Rajasthan 302019</t>
  </si>
  <si>
    <t>Akar Fourwheels, Jhotwara, Niwaru Rd, Kumasiya, Shivaji Nagar, Jhotwara, Jaipur, Rajasthan 302012</t>
  </si>
  <si>
    <t>Mudgal Motors, Parbatpura, Mudgal motors, Jaipur Road Bypas, Parbatpura, Ajmer Rajasthan -305002</t>
  </si>
  <si>
    <t>IOCL Mahal FS, Sultanwind, SULTANWIND, FROM TARA WALA FLY OVER TO TARN TARAN ROAD, TEHSIL &amp; DISTT. AMRITSAR- 143001</t>
  </si>
  <si>
    <t>Ginger Hotel, Nuagan, Ginger Hotel Kalinganagar SH 20, Nuagan, Odisha 755026</t>
  </si>
  <si>
    <t>Andaman</t>
  </si>
  <si>
    <t>Port Blair</t>
  </si>
  <si>
    <t>Gennext Motors , Pahargaon, Ground Floor New, Pahargaon, Port Blair, Andaman and Nicobar Islands 744103</t>
  </si>
  <si>
    <t>Ginger Hotel, Borbari, Ginger Hotel GuwahatiI HM Campus, VIP Road, Upper Hengrabari, Borbari, Guwahati 781036</t>
  </si>
  <si>
    <t>Purnea</t>
  </si>
  <si>
    <t>Shankar Motors, NH 31 Kishanganj Road, NH 31 Kishanganj Road, Damka, near Gulabbagh, Purnea, Bihar 854326</t>
  </si>
  <si>
    <t>Le ROI, Raipur, Raipur Railway Station, Loco Colony, Gudhiyari, Raipur, Chattisgarh - 492009</t>
  </si>
  <si>
    <t>Hotel Swamiraj Executive, Pune-Solapur Highway, Hotel Swamiraj Executive, Opposite to Saradewadi Toll Plaza,, Pune-Solapur Highway,Indapur, Pune, Maharashtra 413106</t>
  </si>
  <si>
    <t>Balajee Auto, Aundh, Phase 2, Siddarth Nagar Society, Aundh, Pune, Maharashtra 411007</t>
  </si>
  <si>
    <t>Panvel</t>
  </si>
  <si>
    <t>Hotel Pravin , Vishrali Naka, Pravin Smruti, Service Rd, Subhash Nagar, Vishrali Naka, Old Panvel, Navi Mumbai-410206</t>
  </si>
  <si>
    <t>Fortune Cars, Navi Mumbai, Plot No. D-400, TTC Industrial Area, MIDC, Near Uran Phata Signal, Nerul, Navi Mumbai, Maharashtra - 400706</t>
  </si>
  <si>
    <t>MVID MCD Hospital, Mukherjee Nagar, MVID MCD Hospital Parking, Tagore Park Extension, Mukherjee Nagar, Delhi, 110009</t>
  </si>
  <si>
    <t>Naniwala Bagh Commercial Complex, Azadpur, Commercial Complex, Gopal Nagar, Azadpur, New Delhi, Delhi 110009</t>
  </si>
  <si>
    <t>Netaji Subash Place, Pitampura, MCD, Netaji Subhash Place, Pitampura, Delhi, 110034</t>
  </si>
  <si>
    <t>RawMatt CNG Filling Station, Wadi, Old Wadi Naka, No. 10, Amravati Rd, Wadi, Nagpur, Maharashtra 440023</t>
  </si>
  <si>
    <t>The Taj Mahal Palace, Colaba, In front of Times Building , Apollo Bandar, Colaba, Mumbai, Maharashtra 400001</t>
  </si>
  <si>
    <t>Parking Near Manglam Place, Rohini, MCD parking Near Mangalam Palace, Rohini Sector 3, 110085</t>
  </si>
  <si>
    <t>PVR Naraina, Commercial Complex, Community Center, Goswami Girdhari Lal Marg, Industrial Area Phase I, Block B, Naraina Industrial Area Phase 1, Naraina, New Delhi, Delhi 110028</t>
  </si>
  <si>
    <t>Seven Hills Hospital, Andheri East, SevenHills Health City, Marol Maroshi Road, Andheri East, Mumbai, Maharashtra 400059</t>
  </si>
  <si>
    <t>Ssensse Hotel, Sec 25, PLOT NO.28, POCKET 5A, SECTOR 25, ROHINI NEW Delhi 110085</t>
  </si>
  <si>
    <t>Tanga Stand, Moti Nagar, MCD Parking, Tanga Stand Road, Motinagar metro station, Moti Nagar, Delhi, 110015</t>
  </si>
  <si>
    <t>Videocon Tower, Jhandewalan, E3/15, Block E3, Jhandewalan Extension, Jhandewalan, New Delhi - 110005</t>
  </si>
  <si>
    <t>IOCL Sahara Hospitality, Vile Parle, opp. Domestic Airport, Navpada, Vile Parle East, Vile Parle, Mumbai, Maharashtra 400099</t>
  </si>
  <si>
    <t>EV Capital Ram Nagar, Sabarmati, 3HGQ+QV6, Ram Nagar, Sabarmati, Ahmedabad, Gujarat,380005</t>
  </si>
  <si>
    <t>Ginger Hotel, DriveIn Road, Ginger Hotel Ahmedabad Behind Himalaya Mall, DriveIn Road, Ahmedabad 380015</t>
  </si>
  <si>
    <t>IOCL Ashtavinayak Petroleum, Hirapur, Survey No.836, Hirapur Chaukadi, Village, Hirapur, Gujarat 382435</t>
  </si>
  <si>
    <t>Riya Autolink, Bodakdev, Near Rajpath Club,SG Highway,Ahmedabad,Gujarat-380054</t>
  </si>
  <si>
    <t>Yash Motors, Narol, Opp mayauri trading company, near asopalav hotel, narol cross road, narol - pin - 382405</t>
  </si>
  <si>
    <t>IOCL Motamawa, Kalavad Road, Near Saraza, Opp Cosmoplex Cinema, Kalavad Rd, Rajkot, Gujarat 360005</t>
  </si>
  <si>
    <t>Ginger Hotel, Salvav, Ginger Hotel Vapi Dream Honda, Opp. Empress Mall, NH-08, Salvav, Vapi, Gujarat-396191</t>
  </si>
  <si>
    <t>AutoVikas, Sec -5, Plot no-2 Sector- 5 North India Compound, 20/3, Mathura Road Faridabad-121005</t>
  </si>
  <si>
    <t>CR - Lokmanya Tilak Station, Kurla, Outside Platform 1, Beside LTT Pay and Park, LTT Station, Pipeline Rd, Tilak Nagar, Kurla, Mumbai, Maharashtra 400089</t>
  </si>
  <si>
    <t>Chouk</t>
  </si>
  <si>
    <t>Chowk Highway Service Centre, Old Mum-Pune highway, Nadhal, NH 48, Chouk,, Old Mumbai - Pune Hwy, Maharashtra 410206</t>
  </si>
  <si>
    <t>Lilium Park, SH 44, Hotel Lilium Park State Highway 44, Opp. Lemon Tree Hotel, Ahmednagar, Maharashtra 414106</t>
  </si>
  <si>
    <t>Hriday Cars, Hoshangabad Road, Near Shiv Mandir , Ahmedpur Kalan Hoshangabad Road Bhopal 462026</t>
  </si>
  <si>
    <t>Pathanamthitta</t>
  </si>
  <si>
    <t>MK Motors, Churulikkodu Pathanamthitta, Milan Plaza, Churulikkodu, Pathanamthitta, Kerala 689668</t>
  </si>
  <si>
    <t>Gokulam Park Munnar, Power House Road, South Chithirapuram, Power House Road, Munnar - 685565</t>
  </si>
  <si>
    <t>Vatika Town Square II, Sector 82, Sector 82, Vatika India Next, Haryana -122004</t>
  </si>
  <si>
    <t>Zedex TATA, Sec 48, GF-26, NIHO Scottish Mall, Sector 48, P.S. - Badshahpur, District - Gurugram 122001</t>
  </si>
  <si>
    <t>Le ROI, Jammu, Railway Station, Jammu, Jammu &amp; Kashmir - 180003</t>
  </si>
  <si>
    <t>Auto Matrix, Bejai, Manjusha Building, Bejai, Mangalore, Karnataka 575004</t>
  </si>
  <si>
    <t>Name</t>
  </si>
  <si>
    <t>State</t>
  </si>
  <si>
    <t>City</t>
  </si>
  <si>
    <t>Latitude</t>
  </si>
  <si>
    <t>Longitude</t>
  </si>
  <si>
    <t>Jammu And Kashmir</t>
  </si>
  <si>
    <t>1944 The Hocco Kitchen, Vaishnodevi</t>
  </si>
  <si>
    <t>Aaranyam Restaurant &amp; Cafe</t>
  </si>
  <si>
    <t>Tiruchirappalli</t>
  </si>
  <si>
    <t>Hotel Noida International</t>
  </si>
  <si>
    <t>Hotel Parktel</t>
  </si>
  <si>
    <t>Hubballi</t>
  </si>
  <si>
    <t>Peep Kitchen</t>
  </si>
  <si>
    <t>Shree Purohit Thali</t>
  </si>
  <si>
    <t>Belagavi</t>
  </si>
  <si>
    <t>Tirur</t>
  </si>
  <si>
    <t>Cashew Tree</t>
  </si>
  <si>
    <t>Davanagere</t>
  </si>
  <si>
    <t>Kasaragod</t>
  </si>
  <si>
    <t>Umaid Lake Resort, Kalakho</t>
  </si>
  <si>
    <t>Vijay Securities</t>
  </si>
  <si>
    <t>Karjan</t>
  </si>
  <si>
    <t>Bhimas Residency Hotel</t>
  </si>
  <si>
    <t>Attur</t>
  </si>
  <si>
    <t>Avinashi</t>
  </si>
  <si>
    <t>Sankagiri</t>
  </si>
  <si>
    <t>Hotel Kadamba</t>
  </si>
  <si>
    <t>Thindivanam</t>
  </si>
  <si>
    <t>Chengalpattu</t>
  </si>
  <si>
    <t>Kallakurichi</t>
  </si>
  <si>
    <t>Tata Power</t>
  </si>
  <si>
    <t>QueueLength</t>
  </si>
  <si>
    <t>Vehicle Range (km)</t>
  </si>
  <si>
    <t>Galleria Dc Charging Station</t>
  </si>
  <si>
    <t>Highway Xpress (Jaipur-Delhi) Dc Charging Station</t>
  </si>
  <si>
    <t>Krishna Hansraj Hotel Una Dc Charging Station</t>
  </si>
  <si>
    <t>Sg Jabli Ac Charging Station</t>
  </si>
  <si>
    <t>Neelkanth Star Ac Charging Station</t>
  </si>
  <si>
    <t>Deep Brothers Iocl Ac Charging Station</t>
  </si>
  <si>
    <t>Synergy Solutions Ac Charging Station 2</t>
  </si>
  <si>
    <t>Iocl Rajokri Station</t>
  </si>
  <si>
    <t>Veev A2B Kallar</t>
  </si>
  <si>
    <t>Veev Sathya Nursery</t>
  </si>
  <si>
    <t>Iocl Nehru Nagar Station</t>
  </si>
  <si>
    <t>Iocl Mathura Road</t>
  </si>
  <si>
    <t>Iocl Chahar Ac Charging Station</t>
  </si>
  <si>
    <t>Kothari Enterprises Ac1</t>
  </si>
  <si>
    <t>Windlass River Valley Ac Charging Station</t>
  </si>
  <si>
    <t>Mindra Polar International Ac Station</t>
  </si>
  <si>
    <t>Lonavla Wax Museum Dc Charging Station</t>
  </si>
  <si>
    <t>Heritage City Ac Charging Station</t>
  </si>
  <si>
    <t>Hotel Fairmont Jaipur Ac Station</t>
  </si>
  <si>
    <t>The Westin Pushkar Ac Charger</t>
  </si>
  <si>
    <t>Wework Circle Demo</t>
  </si>
  <si>
    <t>Karma Lakelands Ac Charger</t>
  </si>
  <si>
    <t>Jmd Gardens</t>
  </si>
  <si>
    <t>Mindra Crispy Culture Ac Charging Station</t>
  </si>
  <si>
    <t>Iocl Dhaula Kuan Charging Station</t>
  </si>
  <si>
    <t>Tellus Power Dc Charging Station</t>
  </si>
  <si>
    <t>Rstv Charging Hub Meerut</t>
  </si>
  <si>
    <t>Synergy Solutions Ac Charging Station 1</t>
  </si>
  <si>
    <t>Hp Mira Bhayandar Dc Charging Station</t>
  </si>
  <si>
    <t>Hp Pitam Pura Dc Charging Station</t>
  </si>
  <si>
    <t>Hpcl Yapral Dc Charging Station</t>
  </si>
  <si>
    <t>Hp Super Service Dc Charging Station</t>
  </si>
  <si>
    <t>Vrundavan Garden Dc Charging Station Nashik</t>
  </si>
  <si>
    <t>Amc Ac Charging Station</t>
  </si>
  <si>
    <t>Rstv Saharanpur Ac Charging Station</t>
  </si>
  <si>
    <t>Mindra Ev Charger Shott</t>
  </si>
  <si>
    <t>Highway King Behror Delhi Side Dc Charging Station</t>
  </si>
  <si>
    <t>Suket Cafe Dc Charging Station Sundar Nagar</t>
  </si>
  <si>
    <t>Mcdonald Gajraula Dc Charging Station</t>
  </si>
  <si>
    <t>Rani Bagh Resort Dc Charging Station</t>
  </si>
  <si>
    <t>Waterwoods Lodge &amp; Resort Ac Charging Station</t>
  </si>
  <si>
    <t>Hotel Pramila Dc Charging Station Haridwar</t>
  </si>
  <si>
    <t>Suket Cafe Ac Charging Station Sundar Nagar</t>
  </si>
  <si>
    <t>The Forum Fiza Mall Ac Charging Station Mangalore</t>
  </si>
  <si>
    <t>Mshsd Gojer Service Charging Station</t>
  </si>
  <si>
    <t>Hp Loyal Pump And Pantry Fuel Charging Station</t>
  </si>
  <si>
    <t>Hotel Reddison Square Katra Ac Charging Station</t>
  </si>
  <si>
    <t>Hotel Mount View International Ac Charging Station</t>
  </si>
  <si>
    <t>Hotel Dolphin Ac Charging Station</t>
  </si>
  <si>
    <t>Dmipl Ev Charging Station, Ludhiana</t>
  </si>
  <si>
    <t>Veev Brookfields</t>
  </si>
  <si>
    <t>Nandavan Dc Charging Station Nagoan</t>
  </si>
  <si>
    <t>Hp Petrol Pump - Sai Petroleum,Mumbai</t>
  </si>
  <si>
    <t>Shrisamarth Dc Charging Station, Beed</t>
  </si>
  <si>
    <t>Cnv Enterprises - Hp Petrol Pump</t>
  </si>
  <si>
    <t>Advant It Park Dc Charging Station Noida</t>
  </si>
  <si>
    <t>Trimurtys Ariana Ac Charging Station</t>
  </si>
  <si>
    <t>Pendse Garage Ac Charging Station</t>
  </si>
  <si>
    <t>Hans Resort Dc Charging Station Rewari</t>
  </si>
  <si>
    <t>Saviruchi Veg Dc Charging Station Mysore</t>
  </si>
  <si>
    <t>Electriva Test Station</t>
  </si>
  <si>
    <t>Sarode Motors Ac Ev Charging Station Nashik</t>
  </si>
  <si>
    <t>The Nile Adpod</t>
  </si>
  <si>
    <t>Hotel The Executive Inn Ac Charging Station</t>
  </si>
  <si>
    <t>Hotel Bliss County Dc Charging Station</t>
  </si>
  <si>
    <t>Mv Ev Dc Charging Station</t>
  </si>
  <si>
    <t>Jamoliwala Ac Charging Station</t>
  </si>
  <si>
    <t>Bhajan Singh Da Dhabha Dc Charging Station</t>
  </si>
  <si>
    <t>Hotel Prabhat Palace Dc Charging Station</t>
  </si>
  <si>
    <t>Tsredco Test Charging Station</t>
  </si>
  <si>
    <t>Hotel Highway King Shahpura Dc Charging Station</t>
  </si>
  <si>
    <t>Aman Hotel Kurukshetra Dc Charging Station</t>
  </si>
  <si>
    <t>Evershine Tower Jaipur Dc Charging Station</t>
  </si>
  <si>
    <t>Hotel Shree Veg Solapur Dc Charging Station</t>
  </si>
  <si>
    <t>Subway Alwar Dc Charging Station</t>
  </si>
  <si>
    <t>Asli Pappu Dhaba Kosi Kalan Dc Charging Station</t>
  </si>
  <si>
    <t>140% Veg Gulshan Dhaba Kotwan Dc Charging Station</t>
  </si>
  <si>
    <t>Chargepit Emobility Charging Station</t>
  </si>
  <si>
    <t>Mescom Mudigere Charging Station</t>
  </si>
  <si>
    <t>Mescom Surathkal Charging Station</t>
  </si>
  <si>
    <t>Mescom Aldur Charging Station</t>
  </si>
  <si>
    <t>Park Plaza Gurgaon Dc Charging Station</t>
  </si>
  <si>
    <t>Padmashree Charging Station</t>
  </si>
  <si>
    <t>Monsoon Breeze Adpod</t>
  </si>
  <si>
    <t>Gt World Mall</t>
  </si>
  <si>
    <t>Patel'S Inn</t>
  </si>
  <si>
    <t>The Moonshine Project Restaurant Jubilee Hills</t>
  </si>
  <si>
    <t>Torq92</t>
  </si>
  <si>
    <t>Atherspace Indiranagar</t>
  </si>
  <si>
    <t>Atworks - Guindy</t>
  </si>
  <si>
    <t>Athergrid Cp</t>
  </si>
  <si>
    <t>Almond House Sd Road</t>
  </si>
  <si>
    <t>Idc Kitchen</t>
  </si>
  <si>
    <t>Copacabana</t>
  </si>
  <si>
    <t>Tamtree</t>
  </si>
  <si>
    <t>Kb'S Woodlands</t>
  </si>
  <si>
    <t>Spr Chennai Food Court</t>
  </si>
  <si>
    <t>Vmr Squares</t>
  </si>
  <si>
    <t>M'S Street</t>
  </si>
  <si>
    <t>French Toast, Panampilly Nagar</t>
  </si>
  <si>
    <t>Centre Square Mall</t>
  </si>
  <si>
    <t>Vr Chennai</t>
  </si>
  <si>
    <t>Dsl Virtue Mall</t>
  </si>
  <si>
    <t>Chai Kings, Sai Baba Colony</t>
  </si>
  <si>
    <t>Richy Rich - Race Course</t>
  </si>
  <si>
    <t>Dlf Chennai</t>
  </si>
  <si>
    <t>Atherspace Pune</t>
  </si>
  <si>
    <t>Omaxe Gurgaon Mall</t>
  </si>
  <si>
    <t>The Blue Roof Cafe</t>
  </si>
  <si>
    <t>Brown Bites Ii</t>
  </si>
  <si>
    <t>Iit Madras (Icsr)</t>
  </si>
  <si>
    <t>Ub City</t>
  </si>
  <si>
    <t>Sony Center Bellad And Company</t>
  </si>
  <si>
    <t>Uma Complex</t>
  </si>
  <si>
    <t>Hilite Mall</t>
  </si>
  <si>
    <t>Nakshatra Pure Veg</t>
  </si>
  <si>
    <t>Vr Surat</t>
  </si>
  <si>
    <t>Wefix Automobile</t>
  </si>
  <si>
    <t>Atherspace Jp Nagar</t>
  </si>
  <si>
    <t>Kohinoor Mcgm Parking</t>
  </si>
  <si>
    <t>Athergrid - Bhavsar</t>
  </si>
  <si>
    <t>Bhavsar'S Athergrid 2</t>
  </si>
  <si>
    <t>Bmc Parking Runwal Greens</t>
  </si>
  <si>
    <t>Bmc Market Bhandup</t>
  </si>
  <si>
    <t>Dishko Eatery</t>
  </si>
  <si>
    <t>Cakebee, Sulur</t>
  </si>
  <si>
    <t>Abhay Graphics Ii</t>
  </si>
  <si>
    <t>Darshan Super Market</t>
  </si>
  <si>
    <t>Mall Of Mysore</t>
  </si>
  <si>
    <t>Cartunez</t>
  </si>
  <si>
    <t>Shree Shanthi'S The Garment Shop</t>
  </si>
  <si>
    <t>The Smith'S Cafe &amp; Bakery</t>
  </si>
  <si>
    <t>Cafe Coffee Day, Kazhakootam, Trivandrum</t>
  </si>
  <si>
    <t>Blive Ho</t>
  </si>
  <si>
    <t>Ather Test Ride Centre</t>
  </si>
  <si>
    <t>Atherspace Mysore</t>
  </si>
  <si>
    <t>Lodha Venezia Cpl</t>
  </si>
  <si>
    <t>Atherspace Hubli</t>
  </si>
  <si>
    <t>Antares Restaurant And Beach Club</t>
  </si>
  <si>
    <t>Mgs Tata Autofab</t>
  </si>
  <si>
    <t>Mr Hypermarket</t>
  </si>
  <si>
    <t>Sangeetha Mobiles, Hbr Layout</t>
  </si>
  <si>
    <t>Vasant Oasis</t>
  </si>
  <si>
    <t>Nmr Enclave</t>
  </si>
  <si>
    <t>Offroad, Motorcycle Accessories Shop</t>
  </si>
  <si>
    <t>Atherspace Nagpur</t>
  </si>
  <si>
    <t>Xavier Institute Of Engineering</t>
  </si>
  <si>
    <t>Purnima Sweet'S</t>
  </si>
  <si>
    <t>Cadd Centre, Rk Salai</t>
  </si>
  <si>
    <t>Mr Hyper Market, Wayanad Road</t>
  </si>
  <si>
    <t>Kr Journey Planners</t>
  </si>
  <si>
    <t>Kr Journey</t>
  </si>
  <si>
    <t>Guy Car Steamer</t>
  </si>
  <si>
    <t>Atherspace Belgaum</t>
  </si>
  <si>
    <t>Area 51 - The Café Hideout</t>
  </si>
  <si>
    <t>Ather Space Aurangabad</t>
  </si>
  <si>
    <t>Atherspace Rajajinagar</t>
  </si>
  <si>
    <t>Radisson Resort, Ecr</t>
  </si>
  <si>
    <t>Aima Charging Station, Karinganad</t>
  </si>
  <si>
    <t>Hotel Redwings Castle</t>
  </si>
  <si>
    <t>Mma Matrix Gym</t>
  </si>
  <si>
    <t>Akki'S Bistro</t>
  </si>
  <si>
    <t>Roy Ka Rasoi</t>
  </si>
  <si>
    <t>Sultan Of Flavours Restaurant</t>
  </si>
  <si>
    <t>F3 Drive-In</t>
  </si>
  <si>
    <t>Iocl - Coco Niti Marg, Chanakyapuri</t>
  </si>
  <si>
    <t>Sneh Dhaba, Nh 1 Ganaur</t>
  </si>
  <si>
    <t>Gugnani Autocars, Pratap Nagari</t>
  </si>
  <si>
    <t>Iocl Kini Causway, Bandra</t>
  </si>
  <si>
    <t>Iocl Hundred Percent Filling &amp; Service Station, Dwarka</t>
  </si>
  <si>
    <t>Vikarsh Nano Technology, Dhangarwadi</t>
  </si>
  <si>
    <t>Sr Tranzcars, Saibaba Koil</t>
  </si>
  <si>
    <t>Lilium Park, Sh 44</t>
  </si>
  <si>
    <t>Oberai Motors, Isbt Rd</t>
  </si>
  <si>
    <t>Iocl - Mc2, Industrial Area Ii</t>
  </si>
  <si>
    <t>Iocl - Coco Wrd, Agarkar Nagar</t>
  </si>
  <si>
    <t>Kvr Dream Vehicles, Vidya Nagar</t>
  </si>
  <si>
    <t>Sree Auto, Bh Road Tumakuru</t>
  </si>
  <si>
    <t>Iocl Coco Chengampalli, Salem-Kochi Highway</t>
  </si>
  <si>
    <t>Midas, Muzzafarnagar</t>
  </si>
  <si>
    <t>Midas Auto, Industrial Area</t>
  </si>
  <si>
    <t>Iocl - Sujit Automobiles, Bangalore-Kanyakumari Road</t>
  </si>
  <si>
    <t>Ambagan - Parking, Jubliee Park Gate</t>
  </si>
  <si>
    <t>Iocl Manjalpur, Gidc Rd Manjalpur</t>
  </si>
  <si>
    <t>Rkl Tml Showroom, Sec 9 Gida</t>
  </si>
  <si>
    <t>Iocl - Citi Fuels, Virender Nagar</t>
  </si>
  <si>
    <t>Srm Motors, Vikas Nagar</t>
  </si>
  <si>
    <t>Iocl - Gay Service Station, Azadpur</t>
  </si>
  <si>
    <t>Ace Kudale Cycles, Manjri Bk</t>
  </si>
  <si>
    <t>Hotel Dreamland, St Main Market Mahabaleshwar</t>
  </si>
  <si>
    <t>Ardee Mall, Sec 52 Gurgaon</t>
  </si>
  <si>
    <t>Abc Autolink, Nh 64 Ranoli</t>
  </si>
  <si>
    <t>Mg Ranchi, Line Tank Road</t>
  </si>
  <si>
    <t>Mg Bhubaneswar, Nh 16</t>
  </si>
  <si>
    <t>Tml- Sterling Motors , Renuka Nagar</t>
  </si>
  <si>
    <t>Iocl Kevadia, Garudeshwar</t>
  </si>
  <si>
    <t>Iocl Karari Fuels, Nh 44 Kishangarh</t>
  </si>
  <si>
    <t>Iocl Royal Petro, Nh 44</t>
  </si>
  <si>
    <t>Iocl Coco – Central Jail Ro, Rambagh</t>
  </si>
  <si>
    <t>Iocl - Vrindavan Fuels, Mangal Nagar,Manikbagh</t>
  </si>
  <si>
    <t>Ss Motogen, Barwadda</t>
  </si>
  <si>
    <t>Tc Motors, Domjur</t>
  </si>
  <si>
    <t>Rangeet Auto, Nh 31</t>
  </si>
  <si>
    <t>Kraft Auto, Bokaro Industrial Area</t>
  </si>
  <si>
    <t>Iocl Drive-In, Belgachia</t>
  </si>
  <si>
    <t>Fairfield By Marriott,Gachibowli</t>
  </si>
  <si>
    <t>Fairfield By Marriott, Mahindra World City</t>
  </si>
  <si>
    <t>Four Points By Sheraton, Chennai Omr</t>
  </si>
  <si>
    <t>Fairfield By Marriott, Ashram Rd</t>
  </si>
  <si>
    <t>Iocl - Ruchika Service Station, Mayur Vihar</t>
  </si>
  <si>
    <t>Iocl Laxmi Narayan Petroleum, Changodar</t>
  </si>
  <si>
    <t>Iocl Om Petroleum, Kamod</t>
  </si>
  <si>
    <t>Iocl Omkar Petroleum, Subhanpura</t>
  </si>
  <si>
    <t>Iocl Shanthi Social Services, Singanallur</t>
  </si>
  <si>
    <t>Motel Mamalla, Sh 49</t>
  </si>
  <si>
    <t>Mahati Industries Limited, Shankar Sheth Road</t>
  </si>
  <si>
    <t>Shyam Automotive, Ab Road</t>
  </si>
  <si>
    <t>Iocl - Trishul Service Station, Pimpri-Chinchwad</t>
  </si>
  <si>
    <t>Aavas Hotels &amp; Resorts, Nh 16 Velampalli</t>
  </si>
  <si>
    <t>Iocl - Navabharagava Filling Station, Vijayawada - Hyderabad Hwy</t>
  </si>
  <si>
    <t>Pacific Mall, Dwarka</t>
  </si>
  <si>
    <t>Tristar Auto Agencies, Rk Beach Junction</t>
  </si>
  <si>
    <t>Pragati Trading, Nh 37</t>
  </si>
  <si>
    <t>Parin Motors, Nh8 Gondal Highway</t>
  </si>
  <si>
    <t>Iocl Ro – Basanti Hwy, Bayarmari</t>
  </si>
  <si>
    <t>Ashutosh Motors, Near Nhpc Godown</t>
  </si>
  <si>
    <t>Hotel Greenland Towers, Nh 6 &amp; 16</t>
  </si>
  <si>
    <t>Hp Service Center, Sola</t>
  </si>
  <si>
    <t>Hp Autocare , Bodakdev</t>
  </si>
  <si>
    <t>Daisy Motors, Tml - Cv, Hisar</t>
  </si>
  <si>
    <t>Iocl - Tikri Gas, Delhi</t>
  </si>
  <si>
    <t>Manickbag Automobiles, Udyambag</t>
  </si>
  <si>
    <t>Manickbag Automobiles, Vidya Nagar</t>
  </si>
  <si>
    <t>Iocl - Hemkund, Pasonda</t>
  </si>
  <si>
    <t>Iocl Risal Petro Delhi</t>
  </si>
  <si>
    <t>Iocl Paul Motors Delhi</t>
  </si>
  <si>
    <t>Kaveri Auto Garage, Paravai Bit 1 Village</t>
  </si>
  <si>
    <t>Hotel Sapthagiri Holiday Resorts,Tirupati – Bangalore Highway</t>
  </si>
  <si>
    <t>Iocl Sree Devi Prasad Services, Naamavaram</t>
  </si>
  <si>
    <t>Nandi Food Plaza, Nalagam Palli</t>
  </si>
  <si>
    <t>Morya Transport Terminus, Midc Bhosari</t>
  </si>
  <si>
    <t>Dn Group Corporate Office, Nayapalli</t>
  </si>
  <si>
    <t>Gugnani Autocars, Mancheswar Industrial Estate</t>
  </si>
  <si>
    <t>Gugnani Tyres, Nayapalli</t>
  </si>
  <si>
    <t>Dn Regalia Mall, Patrapada</t>
  </si>
  <si>
    <t>Dusk View Resort, Near Bisalpur Dam</t>
  </si>
  <si>
    <t>Dakshin Motors, Nh - 4</t>
  </si>
  <si>
    <t>Iocl - Koorapati Service Station, Tirupati</t>
  </si>
  <si>
    <t>Iocl - Sai Krupa Filling Station, Sh 26</t>
  </si>
  <si>
    <t>Iocl - Pioneer Auto Service, Bagdogara</t>
  </si>
  <si>
    <t>Mr. Lalit Jena'S Site, Panikoili</t>
  </si>
  <si>
    <t>Sasya Auto Cars, Bellari X Roads - Nh 44</t>
  </si>
  <si>
    <t>Sasya Automotives, Near Eenadu Office - Nh 44</t>
  </si>
  <si>
    <t>Hpcl - Badarpur Service Station, Gazipur</t>
  </si>
  <si>
    <t>Taj Hotels Chikmagalur, Km Road</t>
  </si>
  <si>
    <t>Pnr Function Hall, Chennai-Ballary Highway</t>
  </si>
  <si>
    <t>Dlf - The Crest, Sec 43</t>
  </si>
  <si>
    <t>Ab Infra Limited, Old Midc</t>
  </si>
  <si>
    <t>Iocl - Tyagi Brothers Service Station</t>
  </si>
  <si>
    <t>Iocl - Vibhor S Station</t>
  </si>
  <si>
    <t>Iocl - Aaui Service Station</t>
  </si>
  <si>
    <t>Iocl - Agarwal Service Station</t>
  </si>
  <si>
    <t>Gardenia Spa &amp; Resort, Sec 11</t>
  </si>
  <si>
    <t>Volltic Dcs01</t>
  </si>
  <si>
    <t>Volltic Dcs012</t>
  </si>
  <si>
    <t>Volltic Dcs015</t>
  </si>
  <si>
    <t>Volltic Dcs017</t>
  </si>
  <si>
    <t>Volltic Dcs02</t>
  </si>
  <si>
    <t>Volltic Dcs09</t>
  </si>
  <si>
    <t>Volltic Dcs018</t>
  </si>
  <si>
    <t>Volltic Dcs03</t>
  </si>
  <si>
    <t>Volltic Dcs011</t>
  </si>
  <si>
    <t>Volltic Dcs016</t>
  </si>
  <si>
    <t>Volltic Pcs03</t>
  </si>
  <si>
    <t>Volltic Pcs04</t>
  </si>
  <si>
    <t>Volltic Dcs08</t>
  </si>
  <si>
    <t>Volltic Dcs014</t>
  </si>
  <si>
    <t>Volltic Uj001</t>
  </si>
  <si>
    <t>Bypl Patparganj</t>
  </si>
  <si>
    <t>Dlf Gateway Charging Station</t>
  </si>
  <si>
    <t>Coco Vejalpur Ahmedabad</t>
  </si>
  <si>
    <t>Eesl Yelahanka</t>
  </si>
  <si>
    <t>Bescom Hsr Layout</t>
  </si>
  <si>
    <t>Bescom Btm Layout</t>
  </si>
  <si>
    <t>Bescom Murugeshpalya</t>
  </si>
  <si>
    <t>Bescom Indiranagar</t>
  </si>
  <si>
    <t>Bescom Katriguppe</t>
  </si>
  <si>
    <t>Bescom Byatarayanapura</t>
  </si>
  <si>
    <t>Bescom Corporate Office</t>
  </si>
  <si>
    <t>Bescom Mahadevpura</t>
  </si>
  <si>
    <t>Bescom Banaswadi</t>
  </si>
  <si>
    <t>Bescom Mathikere</t>
  </si>
  <si>
    <t>Bescom Yalhanka</t>
  </si>
  <si>
    <t>Iocl Ab Enterprises</t>
  </si>
  <si>
    <t>Iocl Ms Immanuel Agencies</t>
  </si>
  <si>
    <t>Iocl Ms Sri Sai Balaji Agencies</t>
  </si>
  <si>
    <t>Eesl Chennai Metrol Alandur Station</t>
  </si>
  <si>
    <t>Eesl Saidapet Metro</t>
  </si>
  <si>
    <t>Eesl Chennai Metro Nandanam Station</t>
  </si>
  <si>
    <t>Eesl Koyambedu</t>
  </si>
  <si>
    <t>Eesl Thirumangalam Metro</t>
  </si>
  <si>
    <t>Eesl Anna Nagar East Station</t>
  </si>
  <si>
    <t>Eesl Chennai Egmore Metro</t>
  </si>
  <si>
    <t>Eesl High Court Station</t>
  </si>
  <si>
    <t>Eesl Sda Market</t>
  </si>
  <si>
    <t>Eesl R Block Gk1</t>
  </si>
  <si>
    <t>Ksebl Palarivattom</t>
  </si>
  <si>
    <t>Mahindra First Choice</t>
  </si>
  <si>
    <t>Hareda Eesl Panchkula</t>
  </si>
  <si>
    <t>Nagole Metro Staff Parking</t>
  </si>
  <si>
    <t>Chargenest Bank Of Baroda</t>
  </si>
  <si>
    <t>Tsuisl N Town Substation</t>
  </si>
  <si>
    <t>Anert-Eesl Ernakulam Kerala</t>
  </si>
  <si>
    <t>Eesl Shapoorji Bus Terminus Newtown</t>
  </si>
  <si>
    <t>Eesl Tata Memorial Cancer Hospital</t>
  </si>
  <si>
    <t>Eesl Axis Mall</t>
  </si>
  <si>
    <t>Eesl New Town</t>
  </si>
  <si>
    <t>Eesl Business Club New Town</t>
  </si>
  <si>
    <t>Eesl Eco Park Gate No 1 New Town</t>
  </si>
  <si>
    <t>Eesl Gate No 6 Eco Park New Town</t>
  </si>
  <si>
    <t>Eesl Gate No 4 Eco Park New Town</t>
  </si>
  <si>
    <t>Eesl Adhoc New Central , Hpcl, New Town</t>
  </si>
  <si>
    <t>Kseb Electrical Section Olayil</t>
  </si>
  <si>
    <t>Eesl Nagpur</t>
  </si>
  <si>
    <t>Kseb Nemom</t>
  </si>
  <si>
    <t>Ptc Igi Airport</t>
  </si>
  <si>
    <t>Ev Plugin Charge Vasant Square Mall</t>
  </si>
  <si>
    <t>Eesl Malviya Nagar Delhi</t>
  </si>
  <si>
    <t>Eesl Pvr Priya Delhi</t>
  </si>
  <si>
    <t>Brpl Nehru Place</t>
  </si>
  <si>
    <t>Eesl Aurbindo Market Place</t>
  </si>
  <si>
    <t>Eesl Safderjung Enclave</t>
  </si>
  <si>
    <t>Eesl N Block Gk1</t>
  </si>
  <si>
    <t>Ndse Grid Brpl</t>
  </si>
  <si>
    <t>Eesl Dilli Haat</t>
  </si>
  <si>
    <t>Eesl Sarojini Nagar Market</t>
  </si>
  <si>
    <t>Eesl Laxmi Bai Market</t>
  </si>
  <si>
    <t>Eesl Charak Palika Hospital</t>
  </si>
  <si>
    <t>Eesl Yashwant Place Market</t>
  </si>
  <si>
    <t>Eesl Psoi Club</t>
  </si>
  <si>
    <t>Eesl Palika Maternity Hospital</t>
  </si>
  <si>
    <t>Eesl Maherchand Market Delhi</t>
  </si>
  <si>
    <t>Eesl Jor Bagh Market</t>
  </si>
  <si>
    <t>Eesl Lodhi Garden</t>
  </si>
  <si>
    <t>Bses Hazrat Nizamuddin</t>
  </si>
  <si>
    <t>Eesl Malcha Marg Market</t>
  </si>
  <si>
    <t>Eesl Khan Market</t>
  </si>
  <si>
    <t>Eesl Prithviraj Market</t>
  </si>
  <si>
    <t>Eesl Hotel Claridges</t>
  </si>
  <si>
    <t>Eesl Talkatora Stadium</t>
  </si>
  <si>
    <t>Eesl Talkatora Garden</t>
  </si>
  <si>
    <t>Eesl Press Club</t>
  </si>
  <si>
    <t>Eesl Chelmsford Club</t>
  </si>
  <si>
    <t>Eesl Akashwani Bhawan</t>
  </si>
  <si>
    <t>Eesl Sansad Marg</t>
  </si>
  <si>
    <t>Eesl Bharat Sanchar Bhawan</t>
  </si>
  <si>
    <t>Eesl Fab India</t>
  </si>
  <si>
    <t>Eesl Icici Bank Janpath</t>
  </si>
  <si>
    <t>Eesl Ficci Chowk</t>
  </si>
  <si>
    <t>Eesl Jain Bhawan</t>
  </si>
  <si>
    <t>Eesl Barakhamba</t>
  </si>
  <si>
    <t>Eesl Gopal Das Building</t>
  </si>
  <si>
    <t>Eesl Hp Petrol Pump</t>
  </si>
  <si>
    <t>Eesl Block M, Cp</t>
  </si>
  <si>
    <t>Eesl Shanker Market</t>
  </si>
  <si>
    <t>Eesl Ktm</t>
  </si>
  <si>
    <t>Eesl M Block</t>
  </si>
  <si>
    <t>Eesl Snow White</t>
  </si>
  <si>
    <t>Eesl Croma</t>
  </si>
  <si>
    <t>Eesl Ferns N Petal</t>
  </si>
  <si>
    <t>Eesl Van Heusen</t>
  </si>
  <si>
    <t>Eesl Block B</t>
  </si>
  <si>
    <t>Eesl Pvr Plaza</t>
  </si>
  <si>
    <t>Eesl Block H</t>
  </si>
  <si>
    <t>Eesl Iqbal Bros</t>
  </si>
  <si>
    <t>Eesl Block A</t>
  </si>
  <si>
    <t>Ev Plugin Charge Cross River Mall</t>
  </si>
  <si>
    <t>Eesl Adwant Chowk Noida</t>
  </si>
  <si>
    <t>Essl Spci Noida</t>
  </si>
  <si>
    <t>Essl Sector 50 Market</t>
  </si>
  <si>
    <t>Eesl Sector 51 Noida Afinity Salon</t>
  </si>
  <si>
    <t>Eesl Ganga Shopping Complex Noida</t>
  </si>
  <si>
    <t>Eesl Kirti Mann Plaza Noida</t>
  </si>
  <si>
    <t>Eesl Rto Office Noida</t>
  </si>
  <si>
    <t>Eesl Shopprix Mall Noida</t>
  </si>
  <si>
    <t>Eesl Opp Sasta Sundar Hospital Sector 58 Noida</t>
  </si>
  <si>
    <t>Eesl Hcl Sector 8 Noida</t>
  </si>
  <si>
    <t>Eesl Tata Advance Systems Noida</t>
  </si>
  <si>
    <t>Eesl Jain Air Travels Sector 2 Noida</t>
  </si>
  <si>
    <t>Eesl Alka Cinema Noida</t>
  </si>
  <si>
    <t>Eesl Electronic City Metro Station</t>
  </si>
  <si>
    <t>Eesl H- Block Market, Haldiram</t>
  </si>
  <si>
    <t>Eesl Prayas Bhawan Naya Raipur</t>
  </si>
  <si>
    <t>Anert -Eesl Sangamukham Kerala</t>
  </si>
  <si>
    <t>Ksebl Viyyur</t>
  </si>
  <si>
    <t>Anert Eesl Thycaucd</t>
  </si>
  <si>
    <t>Anert Zivah Ev Charger</t>
  </si>
  <si>
    <t>Eesl Mantralaya Naya Raipur</t>
  </si>
  <si>
    <t>Ts Transco Vidyut Soudha</t>
  </si>
  <si>
    <t>Tsipard</t>
  </si>
  <si>
    <t>Relux Experience Centre (Abs E-Auto &amp; Charger)</t>
  </si>
  <si>
    <t>Ammayii Hotel &amp; Resorts (Pks Charging Station)</t>
  </si>
  <si>
    <t>Aargo Csc Minto Road</t>
  </si>
  <si>
    <t>Aargo Golden Galaxy Hotel</t>
  </si>
  <si>
    <t>Aargo Asli Pappu Dhaba</t>
  </si>
  <si>
    <t>Hotel Swagat Inn</t>
  </si>
  <si>
    <t>Bbmp Corporation Office</t>
  </si>
  <si>
    <t>Shivajinagar Ttmc</t>
  </si>
  <si>
    <t>Bescom Jalahalli</t>
  </si>
  <si>
    <t>Bescom -Peenya Srs O&amp;M</t>
  </si>
  <si>
    <t>Eesl Tirumangalam Metro Station</t>
  </si>
  <si>
    <t>Eesl Sushma Swaraj Bhawan</t>
  </si>
  <si>
    <t>Eesl Delhi Haat</t>
  </si>
  <si>
    <t>Eesl Legislative Assembly Goa</t>
  </si>
  <si>
    <t>Anert-Eesl Autokast Kerala</t>
  </si>
  <si>
    <t>Anert-Eesl Sangamukham Kerala</t>
  </si>
  <si>
    <t>Anert-Eesl Thycaud Kerala</t>
  </si>
  <si>
    <t>Ksebl Olai</t>
  </si>
  <si>
    <t>Ksebl Nallalam</t>
  </si>
  <si>
    <t>Ksebl Chovva</t>
  </si>
  <si>
    <t>Mg Ahmedabad Makarba</t>
  </si>
  <si>
    <t>Mg Gurgaon Sector 15</t>
  </si>
  <si>
    <t>Ioc Madinaguda</t>
  </si>
  <si>
    <t>Mg Hyderabad Jubilee Hills</t>
  </si>
  <si>
    <t>Hmr Begumpet</t>
  </si>
  <si>
    <t>Ioc Begumpet</t>
  </si>
  <si>
    <t>Mg Mohali Sector 82</t>
  </si>
  <si>
    <t>Mg Delhi Lajpat Nagar</t>
  </si>
  <si>
    <t>Mcdonalds</t>
  </si>
  <si>
    <t>Bses Rapid Charging Zone</t>
  </si>
  <si>
    <t>Rr Charging Station (Rr Charging Station)</t>
  </si>
  <si>
    <t>Hotel Temple City Lake (Inn Ksn Charging Station)</t>
  </si>
  <si>
    <t>Alps Residency - A Bergamont Group Of Hotel-</t>
  </si>
  <si>
    <t>Aima Charging Station</t>
  </si>
  <si>
    <t>Rms Towers (Ero_G Electric Charging Station)</t>
  </si>
  <si>
    <t>Hotel Jas</t>
  </si>
  <si>
    <t>Unger India Pvt India</t>
  </si>
  <si>
    <t>Adyar Ananda Bhavan</t>
  </si>
  <si>
    <t>Sree Annapoorna Hotel</t>
  </si>
  <si>
    <t>Vr Mall Whitefield</t>
  </si>
  <si>
    <t>The Forum Mall</t>
  </si>
  <si>
    <t>Brookfields Mall</t>
  </si>
  <si>
    <t>Hotel Surya Complex</t>
  </si>
  <si>
    <t>Shree Saravana Bhavan</t>
  </si>
  <si>
    <t>Café Udupi Ruchi</t>
  </si>
  <si>
    <t>Grand Mall</t>
  </si>
  <si>
    <t>D Square Mall</t>
  </si>
  <si>
    <t>Gokul Oottupura Nh 47 Veetarian Restaurant</t>
  </si>
  <si>
    <t>Adayar Ananda Bhavan</t>
  </si>
  <si>
    <t>A S M Abdul Cader And Co</t>
  </si>
  <si>
    <t>Bp,Ghar-Maraimalai Nagar</t>
  </si>
  <si>
    <t>Sakthi Madumalar Agencies</t>
  </si>
  <si>
    <t>Sri Venni Agencies</t>
  </si>
  <si>
    <t>Ravie Agencies</t>
  </si>
  <si>
    <t>Bp-Ulundurpet</t>
  </si>
  <si>
    <t>Bp-Trichy</t>
  </si>
  <si>
    <t>Karthik Agencies</t>
  </si>
  <si>
    <t>Sri Rajan Enterprises</t>
  </si>
  <si>
    <t>Bp-Othakkadai</t>
  </si>
  <si>
    <t>Croma – Mvr Complex, Waltair Uplands</t>
  </si>
  <si>
    <t>Iocl - Tirumala Agencies</t>
  </si>
  <si>
    <t>Bhasin Ventures, Telibandha</t>
  </si>
  <si>
    <t>Iocl - Welcome Motors, Saket</t>
  </si>
  <si>
    <t>Iocl - Nineteenth Hole Service Station, Dr Zakir Hussain Ro</t>
  </si>
  <si>
    <t>Iocl - Sabarwal Service Station, Rk Puram</t>
  </si>
  <si>
    <t>Airia Mall, Sec 68 Sohna Road</t>
  </si>
  <si>
    <t>Iocl - Jai Sai Motors, Okhla Phase 1</t>
  </si>
  <si>
    <t>Iocl - Coco, Jungpura</t>
  </si>
  <si>
    <t>Iocl - Irwin Petrol Pump, Connaught Place</t>
  </si>
  <si>
    <t>Iocl - Rk Service Station, Chanakyapuri</t>
  </si>
  <si>
    <t>Iocl - Intimate Filling Station, Soami Nagar</t>
  </si>
  <si>
    <t>Iocl Bedi Saxena Delhi</t>
  </si>
  <si>
    <t>Hpcl - Delhi Punjab Fuel Station, Singhu Border</t>
  </si>
  <si>
    <t>Dlf - The Camellias, Golf Course Road</t>
  </si>
  <si>
    <t>Vatika Market Place Ii, Sector 83</t>
  </si>
  <si>
    <t>Terry'S Super Market, Porvorim</t>
  </si>
  <si>
    <t>Priority Auto Lincs, Taleiga</t>
  </si>
  <si>
    <t>Progressive Cars, Sg Highway</t>
  </si>
  <si>
    <t>Riya Autolink, Ambli Brts Bus Stand</t>
  </si>
  <si>
    <t>Iocl - Sardar Petro Station, Bakrol</t>
  </si>
  <si>
    <t>Iocl - Tapan Auto, Nh 22</t>
  </si>
  <si>
    <t>Asl Motors, Industrial Area</t>
  </si>
  <si>
    <t>Hotel Sky Birds I Hassan</t>
  </si>
  <si>
    <t>Ginger Whitefield, Sap Labs Rd</t>
  </si>
  <si>
    <t>Kht, Whitefield</t>
  </si>
  <si>
    <t>Urs Kar Motors, New Kantharaj Road</t>
  </si>
  <si>
    <t>Svs Tyres, Sastapur - Nh 65</t>
  </si>
  <si>
    <t>Coastline Garages, Nh 47 Muttom</t>
  </si>
  <si>
    <t>Coastline Garages, Kannur Road</t>
  </si>
  <si>
    <t>Iocl - Jro Pongam, Thrissur</t>
  </si>
  <si>
    <t>Kvr Dream Vehicles, Nadal</t>
  </si>
  <si>
    <t>Iocl - Sr Adhoc – Coco, Vytilla</t>
  </si>
  <si>
    <t>Hriday Cars, Ab Road</t>
  </si>
  <si>
    <t>Iocl Coco – Extoll College Br., Bhawadita Kalan</t>
  </si>
  <si>
    <t>Cr - Bhandup Station, Bhandup East</t>
  </si>
  <si>
    <t>Tata Power Rs, Versova</t>
  </si>
  <si>
    <t>Sab Motors, Patel Nagar</t>
  </si>
  <si>
    <t>Iocl, Breach Candy</t>
  </si>
  <si>
    <t>Sab Motors, Loni Road - Industrial Area</t>
  </si>
  <si>
    <t>Bikanerwala, Nh 48 Panchgaon</t>
  </si>
  <si>
    <t>Iocl - Coco, Prabhadevi</t>
  </si>
  <si>
    <t>Unique Automobiles, Midc Shiroli</t>
  </si>
  <si>
    <t>Csmt Station, Fort</t>
  </si>
  <si>
    <t>Iocl Coco, Bkc</t>
  </si>
  <si>
    <t>Amrai Hotel &amp; Resort , Nh 4 Shendre</t>
  </si>
  <si>
    <t>Ah Group, Hinjewadi Phase I</t>
  </si>
  <si>
    <t>Iocl Kini Causway, Bandra West</t>
  </si>
  <si>
    <t>Iocl - Coco Ale 101, Mohabbatpur</t>
  </si>
  <si>
    <t>Iocl Coco Palayamputhur, Palyampudur</t>
  </si>
  <si>
    <t>Tdi Business Centre, Mohali</t>
  </si>
  <si>
    <t>Navagauri Tyres, Midc</t>
  </si>
  <si>
    <t>Lankeswari Motors, Nh 6 - Gopalpalli Chowk</t>
  </si>
  <si>
    <t>Trupti Automotives, Nh 16 - Manguli Chowk</t>
  </si>
  <si>
    <t>Trupti Automotives, Nh 53 - Duburi</t>
  </si>
  <si>
    <t>Csm Technologies, Khorda</t>
  </si>
  <si>
    <t>Csm Technologies, Acharya Vihar</t>
  </si>
  <si>
    <t>Fpl Vehicles, Ariyankuppam</t>
  </si>
  <si>
    <t>Gitansh Motors, Gt Road Jugiana</t>
  </si>
  <si>
    <t>Rsa Motors, Industrial Area Ii</t>
  </si>
  <si>
    <t>Iocl - Coco It Park, Bhagwanpura</t>
  </si>
  <si>
    <t>Iocl - Coco 65, Sec -65</t>
  </si>
  <si>
    <t>Gps Automobiles, Tonk Road</t>
  </si>
  <si>
    <t>Gps Automobile, Parbatpura</t>
  </si>
  <si>
    <t>Shree Shyam Motors, Vki Area</t>
  </si>
  <si>
    <t>Chambal Motocorp, Surajpole</t>
  </si>
  <si>
    <t>Jhalamandgarh Jodhpur</t>
  </si>
  <si>
    <t>Rnb Shanti Seva Niketan</t>
  </si>
  <si>
    <t>Lakshmi Motors, Thoraipakkam</t>
  </si>
  <si>
    <t>Ginger Vadapalani, Ngo Colony</t>
  </si>
  <si>
    <t>Fpl Vehicles, Annasali</t>
  </si>
  <si>
    <t>Pps Motors, Chinniyampalayam</t>
  </si>
  <si>
    <t>Pps Motors, Thirumangalam</t>
  </si>
  <si>
    <t>Fpl Vehicles, Perumugai</t>
  </si>
  <si>
    <t>Tanishq, Cathedral Road Gopalpuram</t>
  </si>
  <si>
    <t>Gateway Coonoor - Ihcl Seleqtions, Coonoor</t>
  </si>
  <si>
    <t>Venkataramana Motors, Ecil</t>
  </si>
  <si>
    <t>7 Food Court, Nh 65 -Rayangudem</t>
  </si>
  <si>
    <t>Sagar Motors Ev, Surajpur</t>
  </si>
  <si>
    <t>Society Motors, Macrobertganj</t>
  </si>
  <si>
    <t>Nrl Cars, Nagla Padi</t>
  </si>
  <si>
    <t>Fun &amp; Food Carnival, Nh 58</t>
  </si>
  <si>
    <t>Genx Agra, Nh 19</t>
  </si>
  <si>
    <t>Genx Le Crescent, Indirapuram</t>
  </si>
  <si>
    <t>Genx Corbett Tiger Den</t>
  </si>
  <si>
    <t>Sparsh Hotels By Clarks Collection</t>
  </si>
  <si>
    <t>Magenta Ttc, Turbhe</t>
  </si>
  <si>
    <t>Hpcl Auto Care, Sajgaon</t>
  </si>
  <si>
    <t>Uk 27, The Fern</t>
  </si>
  <si>
    <t>Andaman And Nicobar Islands</t>
  </si>
  <si>
    <t>Distance(km)</t>
  </si>
  <si>
    <t>Score</t>
  </si>
  <si>
    <t>Reachable</t>
  </si>
  <si>
    <t>User Input</t>
  </si>
  <si>
    <t>Values</t>
  </si>
  <si>
    <t>Rank</t>
  </si>
  <si>
    <t>Queue Length</t>
  </si>
  <si>
    <t>Distance (km)</t>
  </si>
  <si>
    <t>Battery Level</t>
  </si>
  <si>
    <t>Ather Space Coimbatore</t>
  </si>
  <si>
    <t>Ather Space Chennai</t>
  </si>
  <si>
    <t>Ather Space Guwahati</t>
  </si>
  <si>
    <t>Ather Space Indore</t>
  </si>
  <si>
    <t>Ather Space Kochi</t>
  </si>
  <si>
    <t>Ather Space Kollam</t>
  </si>
  <si>
    <t>Ather Space Kozhikode</t>
  </si>
  <si>
    <t>Ather Space Lajpat Nagar</t>
  </si>
  <si>
    <t>Ather Space Malappuram</t>
  </si>
  <si>
    <t>Ather Space Palakkad</t>
  </si>
  <si>
    <t>Ather Space Thrissur</t>
  </si>
  <si>
    <t>Ather Space Tirur</t>
  </si>
  <si>
    <t>Ather Space Trichy</t>
  </si>
  <si>
    <t>Ather Space Trivandrum</t>
  </si>
  <si>
    <t>Ather Space Visakhapatnam</t>
  </si>
  <si>
    <t>Aurangabad Smart City Himayat Bagh</t>
  </si>
  <si>
    <t>Auto Hi-Tech Southern Avenue</t>
  </si>
  <si>
    <t>Automatrix - Hassan</t>
  </si>
  <si>
    <t>Autovikas Motinagar</t>
  </si>
  <si>
    <t>Bafna Tathawade</t>
  </si>
  <si>
    <t>Bahubali Motors Transport Nagar</t>
  </si>
  <si>
    <t>Banerjee Automobiles</t>
  </si>
  <si>
    <t>Basudeb Auto Limited Shanti Nagar</t>
  </si>
  <si>
    <t>Beeaar Autowheels Chinhat</t>
  </si>
  <si>
    <t>Bescom Kr Circle</t>
  </si>
  <si>
    <t>Bikano Restaurant Nh-58</t>
  </si>
  <si>
    <t>Food Carnival Ac &amp; Dc Charging Station</t>
  </si>
  <si>
    <t>Ganpati Petro Ac &amp; Dc Charging Station Hisar</t>
  </si>
  <si>
    <t>Gm Cycle Parking Stand</t>
  </si>
  <si>
    <t>Heritage Motors</t>
  </si>
  <si>
    <t>Honest Restaurant</t>
  </si>
  <si>
    <t>Hotel Sri Nanjundeshwara</t>
  </si>
  <si>
    <t>Mcgm Parking</t>
  </si>
  <si>
    <t>Mescom Shivamogga Charging Station</t>
  </si>
  <si>
    <t>Mugs And Brews - Cafe Restaurant</t>
  </si>
  <si>
    <t>New Udaan Bhawan Adpod</t>
  </si>
  <si>
    <t>Sg Karnal Ac &amp; Dc Charging Station</t>
  </si>
  <si>
    <t>Spencer Plaza Mall</t>
  </si>
  <si>
    <t>Statiq Rnd Centre Ac &amp; Dc Charging Station</t>
  </si>
  <si>
    <t>Tdpl Ev Charging Station</t>
  </si>
  <si>
    <t>Worldmark, Aerocity</t>
  </si>
  <si>
    <t>EstimatedBatteryOnArrival</t>
  </si>
  <si>
    <t>Nearest Top 5 Recommendated EV Stations</t>
  </si>
  <si>
    <t>IsFirstCity</t>
  </si>
  <si>
    <t>CityLevelMinimumDistance</t>
  </si>
  <si>
    <t>Nearest 5 Cities to Location</t>
  </si>
  <si>
    <t>Mysore</t>
  </si>
  <si>
    <t>Trivandram</t>
  </si>
  <si>
    <t>Acre Bangalore</t>
  </si>
  <si>
    <t>Radisson Bangalore City Center</t>
  </si>
  <si>
    <t>Mg Bangalore</t>
  </si>
  <si>
    <t>Patparganj</t>
  </si>
  <si>
    <t>Shahabad</t>
  </si>
  <si>
    <t>Hotel Bliss</t>
  </si>
  <si>
    <t>Ather Space</t>
  </si>
  <si>
    <t>Highway Grand World</t>
  </si>
  <si>
    <t>Kishangarh</t>
  </si>
  <si>
    <t>Boyermari</t>
  </si>
  <si>
    <t>Total Charging Stations in India</t>
  </si>
  <si>
    <t>Total Charging Stations in State</t>
  </si>
  <si>
    <t>Reachable Stations</t>
  </si>
  <si>
    <t>Non-Reachable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</si>
</sst>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B050"/>
      <name val="Arial Rounded MT Bold"/>
      <family val="2"/>
    </font>
    <font>
      <sz val="12"/>
      <color rgb="FF00B050"/>
      <name val="Arial Rounded MT Bold"/>
      <family val="2"/>
    </font>
    <font>
      <sz val="28"/>
      <color rgb="FF00B050"/>
      <name val="Arial Rounded MT Bold"/>
      <family val="2"/>
    </font>
    <font>
      <sz val="11"/>
      <color rgb="FF00B050"/>
      <name val="Arial Rounded MT Bold"/>
      <family val="2"/>
    </font>
    <font>
      <sz val="28"/>
      <color rgb="FF7030A0"/>
      <name val="Arial Rounded MT Bold"/>
      <family val="2"/>
    </font>
    <font>
      <sz val="11"/>
      <color rgb="FF333333"/>
      <name val="Arial Rounded MT Bold"/>
      <family val="2"/>
    </font>
    <font>
      <sz val="28"/>
      <color rgb="FF333333"/>
      <name val="Arial Rounded MT Bold"/>
      <family val="2"/>
    </font>
    <font>
      <sz val="10"/>
      <color rgb="FF333333"/>
      <name val="Arial Rounded MT Bold"/>
      <family val="2"/>
    </font>
    <font>
      <b/>
      <sz val="10"/>
      <color rgb="FF333333"/>
      <name val="Arial Rounded MT Bold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/>
    <xf numFmtId="1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21" fillId="0" borderId="0" xfId="0" applyFont="1"/>
    <xf numFmtId="0" fontId="21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8" fillId="33" borderId="0" xfId="0" applyFont="1" applyFill="1"/>
    <xf numFmtId="0" fontId="21" fillId="33" borderId="0" xfId="0" applyFont="1" applyFill="1"/>
    <xf numFmtId="0" fontId="20" fillId="33" borderId="0" xfId="0" applyFont="1" applyFill="1" applyAlignment="1">
      <alignment vertical="center"/>
    </xf>
    <xf numFmtId="0" fontId="0" fillId="33" borderId="0" xfId="0" applyFill="1"/>
    <xf numFmtId="0" fontId="22" fillId="33" borderId="0" xfId="0" applyFont="1" applyFill="1" applyAlignment="1">
      <alignment vertical="center"/>
    </xf>
    <xf numFmtId="0" fontId="23" fillId="34" borderId="25" xfId="0" applyFont="1" applyFill="1" applyBorder="1" applyAlignment="1">
      <alignment horizontal="left" vertical="center" wrapText="1"/>
    </xf>
    <xf numFmtId="0" fontId="23" fillId="34" borderId="25" xfId="0" applyFont="1" applyFill="1" applyBorder="1" applyAlignment="1">
      <alignment horizontal="center" vertical="center" wrapText="1"/>
    </xf>
    <xf numFmtId="0" fontId="24" fillId="34" borderId="26" xfId="0" applyFont="1" applyFill="1" applyBorder="1" applyAlignment="1">
      <alignment horizontal="center" vertical="center"/>
    </xf>
    <xf numFmtId="0" fontId="25" fillId="34" borderId="18" xfId="0" applyFont="1" applyFill="1" applyBorder="1"/>
    <xf numFmtId="0" fontId="25" fillId="34" borderId="12" xfId="0" applyFont="1" applyFill="1" applyBorder="1"/>
    <xf numFmtId="0" fontId="25" fillId="34" borderId="17" xfId="0" applyFont="1" applyFill="1" applyBorder="1" applyAlignment="1">
      <alignment horizontal="left" vertical="center"/>
    </xf>
    <xf numFmtId="0" fontId="25" fillId="34" borderId="10" xfId="0" applyFont="1" applyFill="1" applyBorder="1" applyAlignment="1">
      <alignment horizontal="left" vertical="center"/>
    </xf>
    <xf numFmtId="0" fontId="25" fillId="34" borderId="0" xfId="0" applyFont="1" applyFill="1" applyAlignment="1">
      <alignment horizontal="left" vertical="center"/>
    </xf>
    <xf numFmtId="0" fontId="25" fillId="34" borderId="11" xfId="0" applyFont="1" applyFill="1" applyBorder="1" applyAlignment="1">
      <alignment horizontal="left" vertical="center"/>
    </xf>
    <xf numFmtId="0" fontId="25" fillId="34" borderId="15" xfId="0" applyFont="1" applyFill="1" applyBorder="1"/>
    <xf numFmtId="0" fontId="25" fillId="34" borderId="16" xfId="0" applyFont="1" applyFill="1" applyBorder="1"/>
    <xf numFmtId="0" fontId="26" fillId="34" borderId="16" xfId="0" applyFont="1" applyFill="1" applyBorder="1"/>
    <xf numFmtId="0" fontId="26" fillId="34" borderId="21" xfId="0" applyFont="1" applyFill="1" applyBorder="1"/>
    <xf numFmtId="0" fontId="25" fillId="34" borderId="14" xfId="0" applyFont="1" applyFill="1" applyBorder="1"/>
    <xf numFmtId="0" fontId="25" fillId="34" borderId="13" xfId="0" applyFont="1" applyFill="1" applyBorder="1"/>
    <xf numFmtId="1" fontId="25" fillId="34" borderId="13" xfId="0" applyNumberFormat="1" applyFont="1" applyFill="1" applyBorder="1"/>
    <xf numFmtId="1" fontId="25" fillId="34" borderId="0" xfId="0" applyNumberFormat="1" applyFont="1" applyFill="1"/>
    <xf numFmtId="0" fontId="25" fillId="34" borderId="19" xfId="0" applyFont="1" applyFill="1" applyBorder="1"/>
    <xf numFmtId="0" fontId="25" fillId="34" borderId="20" xfId="0" applyFont="1" applyFill="1" applyBorder="1"/>
    <xf numFmtId="1" fontId="25" fillId="34" borderId="20" xfId="0" applyNumberFormat="1" applyFont="1" applyFill="1" applyBorder="1"/>
    <xf numFmtId="0" fontId="25" fillId="34" borderId="22" xfId="0" applyFont="1" applyFill="1" applyBorder="1"/>
    <xf numFmtId="1" fontId="25" fillId="34" borderId="23" xfId="0" applyNumberFormat="1" applyFont="1" applyFill="1" applyBorder="1"/>
    <xf numFmtId="1" fontId="25" fillId="34" borderId="24" xfId="0" applyNumberFormat="1" applyFont="1" applyFill="1" applyBorder="1"/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 Rounded MT Bold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 Rounded MT Bold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 Rounded MT Bold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 Rounded MT Bold"/>
        <family val="2"/>
        <scheme val="none"/>
      </font>
      <fill>
        <patternFill patternType="solid">
          <fgColor indexed="64"/>
          <bgColor theme="0"/>
        </patternFill>
      </fill>
    </dxf>
    <dxf>
      <numFmt numFmtId="0" formatCode="General"/>
    </dxf>
    <dxf>
      <numFmt numFmtId="1" formatCode="0"/>
      <alignment horizontal="right" vertical="center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33333"/>
      <color rgb="FFFFFFFF"/>
      <color rgb="FFD719BC"/>
      <color rgb="FF00B0F0"/>
      <color rgb="FF9ED8A4"/>
      <color rgb="FFFFCC00"/>
      <color rgb="FFFFD862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 5 EV Recommendation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Dashboard!$N$6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27-4B4D-9969-D3DDF20670B6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27-4B4D-9969-D3DDF20670B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27-4B4D-9969-D3DDF20670B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27-4B4D-9969-D3DDF20670B6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27-4B4D-9969-D3DDF20670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Dashboard!$J$7:$J$11</c:f>
              <c:strCache>
                <c:ptCount val="5"/>
                <c:pt idx="0">
                  <c:v>Fuel Zone -Indian Oil Petrol Pump</c:v>
                </c:pt>
                <c:pt idx="1">
                  <c:v>Bescom Banaswadi</c:v>
                </c:pt>
                <c:pt idx="2">
                  <c:v>Hotel Sri Nanjundeshwara</c:v>
                </c:pt>
                <c:pt idx="3">
                  <c:v>Bescom Mahadevpura</c:v>
                </c:pt>
                <c:pt idx="4">
                  <c:v>Bescom Indiranagar</c:v>
                </c:pt>
              </c:strCache>
            </c:strRef>
          </c:cat>
          <c:val>
            <c:numRef>
              <c:f>Dashboard!$N$7:$N$11</c:f>
              <c:numCache>
                <c:formatCode>0</c:formatCode>
                <c:ptCount val="5"/>
                <c:pt idx="0">
                  <c:v>88.090928493047642</c:v>
                </c:pt>
                <c:pt idx="1">
                  <c:v>86.509657452736306</c:v>
                </c:pt>
                <c:pt idx="2">
                  <c:v>86.415692679776924</c:v>
                </c:pt>
                <c:pt idx="3">
                  <c:v>85.92753046841537</c:v>
                </c:pt>
                <c:pt idx="4">
                  <c:v>85.80081523537396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7-4B4D-9969-D3DDF20670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axId val="1447761007"/>
        <c:axId val="1447754767"/>
      </c:barChart>
      <c:catAx>
        <c:axId val="1447761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754767"/>
        <c:crosses val="autoZero"/>
        <c:auto val="1"/>
        <c:lblAlgn val="ctr"/>
        <c:lblOffset val="100"/>
        <c:noMultiLvlLbl val="0"/>
      </c:catAx>
      <c:valAx>
        <c:axId val="1447754767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7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>
                <a:solidFill>
                  <a:schemeClr val="tx1"/>
                </a:solidFill>
              </a:rPr>
              <a:t>Reachable vs Non-Reachable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E5-4B32-ACCC-8AB1345DCD90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E5-4B32-ACCC-8AB1345DCD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Dashboard!$O$18:$O$19</c:f>
              <c:strCache>
                <c:ptCount val="2"/>
                <c:pt idx="0">
                  <c:v>Reachable</c:v>
                </c:pt>
                <c:pt idx="1">
                  <c:v>Non-Reachable</c:v>
                </c:pt>
              </c:strCache>
            </c:strRef>
          </c:cat>
          <c:val>
            <c:numRef>
              <c:f>Dashboard!$P$18:$P$19</c:f>
              <c:numCache>
                <c:formatCode>General</c:formatCode>
                <c:ptCount val="2"/>
                <c:pt idx="0">
                  <c:v>308</c:v>
                </c:pt>
                <c:pt idx="1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5-4B32-ACCC-8AB1345DCD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 sz="11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EVRawDataset!A1"/><Relationship Id="rId5" Type="http://schemas.openxmlformats.org/officeDocument/2006/relationships/hyperlink" Target="#EVCleanedDataset!A1"/><Relationship Id="rId4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38100</xdr:rowOff>
    </xdr:from>
    <xdr:to>
      <xdr:col>0</xdr:col>
      <xdr:colOff>1714500</xdr:colOff>
      <xdr:row>2</xdr:row>
      <xdr:rowOff>121921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985AE3-2042-4F8D-906F-B485E299C3DE}"/>
            </a:ext>
          </a:extLst>
        </xdr:cNvPr>
        <xdr:cNvSpPr/>
      </xdr:nvSpPr>
      <xdr:spPr>
        <a:xfrm>
          <a:off x="60960" y="38100"/>
          <a:ext cx="1653540" cy="449581"/>
        </a:xfrm>
        <a:prstGeom prst="roundRect">
          <a:avLst>
            <a:gd name="adj" fmla="val 5000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Back</a:t>
          </a:r>
        </a:p>
      </xdr:txBody>
    </xdr:sp>
    <xdr:clientData/>
  </xdr:twoCellAnchor>
  <xdr:twoCellAnchor editAs="oneCell">
    <xdr:from>
      <xdr:col>0</xdr:col>
      <xdr:colOff>129540</xdr:colOff>
      <xdr:row>0</xdr:row>
      <xdr:rowOff>38100</xdr:rowOff>
    </xdr:from>
    <xdr:to>
      <xdr:col>0</xdr:col>
      <xdr:colOff>533400</xdr:colOff>
      <xdr:row>2</xdr:row>
      <xdr:rowOff>60960</xdr:rowOff>
    </xdr:to>
    <xdr:pic>
      <xdr:nvPicPr>
        <xdr:cNvPr id="4" name="Graphic 3" descr="Back">
          <a:extLst>
            <a:ext uri="{FF2B5EF4-FFF2-40B4-BE49-F238E27FC236}">
              <a16:creationId xmlns:a16="http://schemas.microsoft.com/office/drawing/2014/main" id="{96EAE288-4720-48BC-8548-05055EC6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540" y="38100"/>
          <a:ext cx="403860" cy="388620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0</xdr:row>
      <xdr:rowOff>22860</xdr:rowOff>
    </xdr:from>
    <xdr:to>
      <xdr:col>3</xdr:col>
      <xdr:colOff>1988820</xdr:colOff>
      <xdr:row>2</xdr:row>
      <xdr:rowOff>99060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B7F0462-94A6-44FB-B562-CA168B013005}"/>
            </a:ext>
          </a:extLst>
        </xdr:cNvPr>
        <xdr:cNvSpPr/>
      </xdr:nvSpPr>
      <xdr:spPr>
        <a:xfrm>
          <a:off x="3924300" y="22860"/>
          <a:ext cx="6568440" cy="441960"/>
        </a:xfrm>
        <a:prstGeom prst="roundRect">
          <a:avLst>
            <a:gd name="adj" fmla="val 5000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Raw Dataset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76199</xdr:rowOff>
    </xdr:from>
    <xdr:to>
      <xdr:col>0</xdr:col>
      <xdr:colOff>1653540</xdr:colOff>
      <xdr:row>2</xdr:row>
      <xdr:rowOff>160020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C8918-84A0-4ED1-B4FB-C022A06837FB}"/>
            </a:ext>
          </a:extLst>
        </xdr:cNvPr>
        <xdr:cNvSpPr/>
      </xdr:nvSpPr>
      <xdr:spPr>
        <a:xfrm>
          <a:off x="0" y="76199"/>
          <a:ext cx="1653540" cy="449581"/>
        </a:xfrm>
        <a:prstGeom prst="roundRect">
          <a:avLst>
            <a:gd name="adj" fmla="val 5000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Back</a:t>
          </a:r>
        </a:p>
      </xdr:txBody>
    </xdr:sp>
    <xdr:clientData/>
  </xdr:twoCellAnchor>
  <xdr:twoCellAnchor>
    <xdr:from>
      <xdr:col>1</xdr:col>
      <xdr:colOff>281940</xdr:colOff>
      <xdr:row>0</xdr:row>
      <xdr:rowOff>0</xdr:rowOff>
    </xdr:from>
    <xdr:to>
      <xdr:col>6</xdr:col>
      <xdr:colOff>647700</xdr:colOff>
      <xdr:row>2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8AA03D2-22D7-4C65-AB3B-20B51A7F31FD}"/>
            </a:ext>
          </a:extLst>
        </xdr:cNvPr>
        <xdr:cNvSpPr/>
      </xdr:nvSpPr>
      <xdr:spPr>
        <a:xfrm>
          <a:off x="4069080" y="0"/>
          <a:ext cx="6568440" cy="441960"/>
        </a:xfrm>
        <a:prstGeom prst="roundRect">
          <a:avLst>
            <a:gd name="adj" fmla="val 5000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Cleaned Dataset</a:t>
          </a:r>
        </a:p>
      </xdr:txBody>
    </xdr:sp>
    <xdr:clientData/>
  </xdr:twoCellAnchor>
  <xdr:twoCellAnchor editAs="oneCell">
    <xdr:from>
      <xdr:col>0</xdr:col>
      <xdr:colOff>99060</xdr:colOff>
      <xdr:row>0</xdr:row>
      <xdr:rowOff>53340</xdr:rowOff>
    </xdr:from>
    <xdr:to>
      <xdr:col>0</xdr:col>
      <xdr:colOff>502920</xdr:colOff>
      <xdr:row>2</xdr:row>
      <xdr:rowOff>76200</xdr:rowOff>
    </xdr:to>
    <xdr:pic>
      <xdr:nvPicPr>
        <xdr:cNvPr id="5" name="Graphic 4" descr="Back">
          <a:extLst>
            <a:ext uri="{FF2B5EF4-FFF2-40B4-BE49-F238E27FC236}">
              <a16:creationId xmlns:a16="http://schemas.microsoft.com/office/drawing/2014/main" id="{B52B1695-6BC5-9E9B-2557-110BCAF66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060" y="53340"/>
          <a:ext cx="403860" cy="388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55070</xdr:colOff>
      <xdr:row>13</xdr:row>
      <xdr:rowOff>35215</xdr:rowOff>
    </xdr:from>
    <xdr:to>
      <xdr:col>11</xdr:col>
      <xdr:colOff>293916</xdr:colOff>
      <xdr:row>33</xdr:row>
      <xdr:rowOff>119743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53277E-69B3-0561-9E09-5F502B3DB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933449</xdr:colOff>
      <xdr:row>13</xdr:row>
      <xdr:rowOff>4762</xdr:rowOff>
    </xdr:from>
    <xdr:to>
      <xdr:col>18</xdr:col>
      <xdr:colOff>962024</xdr:colOff>
      <xdr:row>33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2014CF-21C5-4B9A-7BA2-E43F25C7D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87088</xdr:colOff>
      <xdr:row>0</xdr:row>
      <xdr:rowOff>206828</xdr:rowOff>
    </xdr:from>
    <xdr:to>
      <xdr:col>3</xdr:col>
      <xdr:colOff>772887</xdr:colOff>
      <xdr:row>13</xdr:row>
      <xdr:rowOff>54428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61541A-BDCD-A242-D653-F7F9C0004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8" y="206828"/>
          <a:ext cx="3265713" cy="3048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54428</xdr:rowOff>
    </xdr:from>
    <xdr:to>
      <xdr:col>3</xdr:col>
      <xdr:colOff>729343</xdr:colOff>
      <xdr:row>22</xdr:row>
      <xdr:rowOff>108857</xdr:rowOff>
    </xdr:to>
    <xdr:sp macro="" textlink="">
      <xdr:nvSpPr>
        <xdr:cNvPr id="12" name="Rectangle: Rounded Corner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F55569-0CCF-1461-A781-EB5FE64A11EC}"/>
            </a:ext>
          </a:extLst>
        </xdr:cNvPr>
        <xdr:cNvSpPr/>
      </xdr:nvSpPr>
      <xdr:spPr>
        <a:xfrm>
          <a:off x="0" y="3973285"/>
          <a:ext cx="3309257" cy="979715"/>
        </a:xfrm>
        <a:prstGeom prst="roundRect">
          <a:avLst>
            <a:gd name="adj" fmla="val 50000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333333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0</xdr:colOff>
      <xdr:row>23</xdr:row>
      <xdr:rowOff>141514</xdr:rowOff>
    </xdr:from>
    <xdr:to>
      <xdr:col>3</xdr:col>
      <xdr:colOff>685800</xdr:colOff>
      <xdr:row>28</xdr:row>
      <xdr:rowOff>174171</xdr:rowOff>
    </xdr:to>
    <xdr:sp macro="" textlink="">
      <xdr:nvSpPr>
        <xdr:cNvPr id="13" name="Rectangle: Rounded Corner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E5A7EB4-8BF0-4AD4-9EB2-3D77075479FC}"/>
            </a:ext>
          </a:extLst>
        </xdr:cNvPr>
        <xdr:cNvSpPr/>
      </xdr:nvSpPr>
      <xdr:spPr>
        <a:xfrm>
          <a:off x="0" y="5170714"/>
          <a:ext cx="3265714" cy="957943"/>
        </a:xfrm>
        <a:prstGeom prst="roundRect">
          <a:avLst>
            <a:gd name="adj" fmla="val 50000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333333"/>
              </a:solidFill>
            </a:rPr>
            <a:t>Cleaned Data</a:t>
          </a:r>
        </a:p>
      </xdr:txBody>
    </xdr:sp>
    <xdr:clientData/>
  </xdr:twoCellAnchor>
  <xdr:twoCellAnchor>
    <xdr:from>
      <xdr:col>8</xdr:col>
      <xdr:colOff>250371</xdr:colOff>
      <xdr:row>0</xdr:row>
      <xdr:rowOff>0</xdr:rowOff>
    </xdr:from>
    <xdr:to>
      <xdr:col>14</xdr:col>
      <xdr:colOff>968828</xdr:colOff>
      <xdr:row>2</xdr:row>
      <xdr:rowOff>3266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842D447-42D9-4198-9458-FD02EAC01C2C}"/>
            </a:ext>
          </a:extLst>
        </xdr:cNvPr>
        <xdr:cNvSpPr/>
      </xdr:nvSpPr>
      <xdr:spPr>
        <a:xfrm>
          <a:off x="7707085" y="0"/>
          <a:ext cx="8969829" cy="895895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333333"/>
              </a:solidFill>
            </a:rPr>
            <a:t>EV Recommendation Dashboard</a:t>
          </a:r>
        </a:p>
      </xdr:txBody>
    </xdr:sp>
    <xdr:clientData/>
  </xdr:twoCellAnchor>
  <xdr:twoCellAnchor>
    <xdr:from>
      <xdr:col>0</xdr:col>
      <xdr:colOff>0</xdr:colOff>
      <xdr:row>30</xdr:row>
      <xdr:rowOff>43543</xdr:rowOff>
    </xdr:from>
    <xdr:to>
      <xdr:col>3</xdr:col>
      <xdr:colOff>685800</xdr:colOff>
      <xdr:row>35</xdr:row>
      <xdr:rowOff>108858</xdr:rowOff>
    </xdr:to>
    <xdr:sp macro="" textlink="">
      <xdr:nvSpPr>
        <xdr:cNvPr id="2" name="Rectangle: Rounded Corners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FE670E-D9F2-400E-A038-98F80904E591}"/>
            </a:ext>
          </a:extLst>
        </xdr:cNvPr>
        <xdr:cNvSpPr/>
      </xdr:nvSpPr>
      <xdr:spPr>
        <a:xfrm>
          <a:off x="0" y="6368143"/>
          <a:ext cx="3265714" cy="925286"/>
        </a:xfrm>
        <a:prstGeom prst="roundRect">
          <a:avLst>
            <a:gd name="adj" fmla="val 50000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rgbClr val="333333"/>
              </a:solidFill>
            </a:rPr>
            <a:t>Raw Data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60F44-60F5-4AC5-8831-F2D9E0EBE183}" name="EVRawDataset" displayName="EVRawDataset" ref="A4:G1551" totalsRowShown="0">
  <autoFilter ref="A4:G1551" xr:uid="{65260F44-60F5-4AC5-8831-F2D9E0EBE183}"/>
  <tableColumns count="7">
    <tableColumn id="1" xr3:uid="{B94B4B67-0314-4D5A-A245-5416207EC690}" name="name"/>
    <tableColumn id="2" xr3:uid="{31BCE401-1FC1-4283-AD46-5601B45475FB}" name="state"/>
    <tableColumn id="3" xr3:uid="{341AECFD-D760-45DB-9720-E8916097C18C}" name="city"/>
    <tableColumn id="4" xr3:uid="{A7365B97-BCEE-4216-BD0A-8D17147F3A95}" name="address"/>
    <tableColumn id="5" xr3:uid="{AD45D42D-A9AD-40F8-AE59-59571DF42ABB}" name="lattitude"/>
    <tableColumn id="6" xr3:uid="{1B8A8F21-E923-4A23-845B-EF3AC4951CCD}" name="longitude"/>
    <tableColumn id="7" xr3:uid="{24A95F95-29FD-4BC2-8AEA-6C4C05634366}" name="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7648D-2A3B-423B-A36C-170E9A566E4D}" name="EVCleanedDataset" displayName="EVCleanedDataset" ref="A4:L1121" totalsRowShown="0">
  <autoFilter ref="A4:L1121" xr:uid="{B237648D-2A3B-423B-A36C-170E9A566E4D}"/>
  <sortState xmlns:xlrd2="http://schemas.microsoft.com/office/spreadsheetml/2017/richdata2" ref="A5:L1121">
    <sortCondition descending="1" ref="K4:K1121"/>
  </sortState>
  <tableColumns count="12">
    <tableColumn id="1" xr3:uid="{BB408842-5B71-495D-8FDF-2E7E28FB27BF}" name="Name" dataDxfId="39"/>
    <tableColumn id="2" xr3:uid="{2A24EEF5-F427-4E60-B36E-C5268A6CC000}" name="State" dataDxfId="38"/>
    <tableColumn id="3" xr3:uid="{E3A622A0-E5A0-41D4-B799-258F2B427F3D}" name="City" dataDxfId="37"/>
    <tableColumn id="4" xr3:uid="{60E8082B-1584-489E-9529-FB73E6E452F9}" name="Latitude"/>
    <tableColumn id="5" xr3:uid="{9F5E7BA0-B86E-48A3-98C9-79F853FB48C7}" name="Longitude"/>
    <tableColumn id="11" xr3:uid="{640E7BC7-A6D9-436E-90AA-C2724BB1A7CC}" name="IsFirstCity" dataDxfId="36">
      <calculatedColumnFormula>IF(COUNTIF($C$5:C5,C5)=1,1,0)</calculatedColumnFormula>
    </tableColumn>
    <tableColumn id="12" xr3:uid="{2F36FD16-DB5C-48E5-8685-C1105A6EB7E4}" name="CityLevelMinimumDistance" dataDxfId="35">
      <calculatedColumnFormula>IF(F5=1, IF(C5=MyCity, "", _xlfn.MINIFS($I$5:$I$1121,$C$5:$C$1121,C5)), "")</calculatedColumnFormula>
    </tableColumn>
    <tableColumn id="6" xr3:uid="{7146235A-5B65-4CDC-A3EE-DB9C12CA8C70}" name="EstimatedBatteryOnArrival" dataDxfId="34">
      <calculatedColumnFormula>MAX(0, MyBattery - (EVCleanedDataset[[#This Row],[Distance(km)]]/VehicleRangeKm)*100)</calculatedColumnFormula>
    </tableColumn>
    <tableColumn id="9" xr3:uid="{3248F044-89BF-4C23-8C3E-2241D3B89BF0}" name="Distance(km)" dataDxfId="33">
      <calculatedColumnFormula>6371*ACOS(SIN(RADIANS(MyLat))*SIN(RADIANS(EVCleanedDataset[[#This Row],[Latitude]]))+COS(RADIANS(MyLat))*COS(RADIANS(EVCleanedDataset[[#This Row],[Latitude]]))*COS(RADIANS(EVCleanedDataset[[#This Row],[Longitude]]-MyLong)))</calculatedColumnFormula>
    </tableColumn>
    <tableColumn id="10" xr3:uid="{17418AA2-2B3A-4150-B97A-D0AF75D37312}" name="QueueLength" dataDxfId="32">
      <calculatedColumnFormula>MOD(ROW()*7,10)</calculatedColumnFormula>
    </tableColumn>
    <tableColumn id="7" xr3:uid="{42C77AAE-5E3F-460E-8DD8-4AD2B8BA4249}" name="Score" dataDxfId="31">
      <calculatedColumnFormula>((1-(EVCleanedDataset[[#This Row],[Distance(km)]]/MAX($I$5:$I$1121)))*0.4 + (1-(EVCleanedDataset[[#This Row],[QueueLength]]/MAX($J$5:$J$1121)))*0.3 + (EVCleanedDataset[[#This Row],[EstimatedBatteryOnArrival]]/100)*0.3 + (ROW()/10000000))*100</calculatedColumnFormula>
    </tableColumn>
    <tableColumn id="8" xr3:uid="{A9FAC5E0-9415-4EDB-BBED-78E96BEFA76A}" name="Reachable" dataDxfId="30">
      <calculatedColumnFormula>IF(EVCleanedDataset[[#This Row],[Score]]&gt;50,"Yes","No")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5DA5B0-B955-44C4-9431-DA863085CB73}" name="MainTable" displayName="MainTable" ref="I6:O11" totalsRowShown="0" headerRowDxfId="29" dataDxfId="27" headerRowBorderDxfId="28" tableBorderDxfId="26" totalsRowBorderDxfId="25">
  <autoFilter ref="I6:O11" xr:uid="{AF5DA5B0-B955-44C4-9431-DA863085CB73}"/>
  <tableColumns count="7">
    <tableColumn id="1" xr3:uid="{3E2E753B-F05C-4C62-B6BE-379FA11CDA82}" name="Rank" dataDxfId="24"/>
    <tableColumn id="2" xr3:uid="{86336CB5-8A56-4BD6-BCA4-46B956B04F7F}" name="Nearest Top 5 Recommendated EV Stations" dataDxfId="23">
      <calculatedColumnFormula>INDEX(EVCleanedDataset!$A$5:$A$1121, MATCH(LARGE(EVCleanedDataset!$K$5:$K$1121,$I7), EVCleanedDataset!$K$5:$K$1121,0))</calculatedColumnFormula>
    </tableColumn>
    <tableColumn id="3" xr3:uid="{570347EE-C440-4DB7-803E-36754A8B1F3F}" name="Battery Level" dataDxfId="22">
      <calculatedColumnFormula>INDEX(EVCleanedDataset!$H$5:$H$1121, MATCH(LARGE(EVCleanedDataset!$K$5:$K$1121,$I7), EVCleanedDataset!$K$5:$K$1121,0))</calculatedColumnFormula>
    </tableColumn>
    <tableColumn id="4" xr3:uid="{4B161775-AB77-473A-9605-AEE4EDE27CA4}" name="Queue Length" dataDxfId="21">
      <calculatedColumnFormula>INDEX(EVCleanedDataset!$J$5:$J$1121, MATCH(LARGE(EVCleanedDataset!$K$5:$K$1121,$I7), EVCleanedDataset!$K$5:$K$1121,0))</calculatedColumnFormula>
    </tableColumn>
    <tableColumn id="5" xr3:uid="{6CD3A935-CB47-4A57-A8CF-73D31BE7FD90}" name="Distance (km)" dataDxfId="20">
      <calculatedColumnFormula>INDEX(EVCleanedDataset!$I$5:$I$1121, MATCH(LARGE(EVCleanedDataset!$K$5:$K$1121,$I7), EVCleanedDataset!$K$5:$K$1121,0))</calculatedColumnFormula>
    </tableColumn>
    <tableColumn id="7" xr3:uid="{1F3E1CDA-FEA9-466D-967C-7C79A658ECE0}" name="Score" dataDxfId="19">
      <calculatedColumnFormula>LARGE(EVCleanedDataset!$K$5:$K$1121,$I7)</calculatedColumnFormula>
    </tableColumn>
    <tableColumn id="6" xr3:uid="{4D2AD23D-3BC4-4DDA-9647-7E285E71A186}" name="Reachable" dataDxfId="18">
      <calculatedColumnFormula>INDEX(EVCleanedDataset!$L$5:$L$1121, MATCH(LARGE(EVCleanedDataset!$K$5:$K$1121,$I7), EVCleanedDataset!$K$5:$K$1121,0))</calculatedColumnFormula>
    </tableColumn>
  </tableColumns>
  <tableStyleInfo name="TableStyleLight2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5EEC94-9C91-479E-A434-E8A7616DCC2E}" name="UserInput" displayName="UserInput" ref="F6:G12" totalsRowShown="0" headerRowDxfId="17" dataDxfId="15" headerRowBorderDxfId="16" tableBorderDxfId="14">
  <autoFilter ref="F6:G12" xr:uid="{2A5EEC94-9C91-479E-A434-E8A7616DCC2E}"/>
  <tableColumns count="2">
    <tableColumn id="1" xr3:uid="{D9201FED-19E2-4658-9013-09BB7EA90D4E}" name="User Input" dataDxfId="13"/>
    <tableColumn id="2" xr3:uid="{7020EDDB-6311-426B-9D44-DDD78A52B12C}" name="Values" dataDxfId="12"/>
  </tableColumns>
  <tableStyleInfo name="TableStyleLight2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6F06AE-AF86-4409-BD1C-23FC9DDAE5B0}" name="MainTable2" displayName="MainTable2" ref="Q6:S11" headerRowDxfId="11" dataDxfId="9" totalsRowDxfId="7" headerRowBorderDxfId="10" tableBorderDxfId="8" totalsRowBorderDxfId="6">
  <autoFilter ref="Q6:S11" xr:uid="{E36F06AE-AF86-4409-BD1C-23FC9DDAE5B0}"/>
  <tableColumns count="3">
    <tableColumn id="1" xr3:uid="{45546D04-6B6C-4378-B7CC-AFDDD868B380}" name="Rank" totalsRowLabel="Total" dataDxfId="5" totalsRowDxfId="4"/>
    <tableColumn id="2" xr3:uid="{58F1C357-01E8-4178-98B3-D0D39D12ED56}" name="Nearest 5 Cities to Location" dataDxfId="3" totalsRowDxfId="2">
      <calculatedColumnFormula>INDEX(EVCleanedDataset!$C$5:$C$1121, MATCH(SMALL(EVCleanedDataset!$G$5:$G$1121,$Q7), EVCleanedDataset!$G$5:$G$1121,0))</calculatedColumnFormula>
    </tableColumn>
    <tableColumn id="3" xr3:uid="{B1A06B8F-8215-4BEF-8D2E-1B2995CB2380}" name="Distance (km)" totalsRowFunction="count" dataDxfId="1" totalsRowDxfId="0">
      <calculatedColumnFormula>SMALL(EVCleanedDataset!$G$5:$G$1121,$Q7)</calculatedColumnFormula>
    </tableColumn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E463-11CE-4F41-8055-0D6E6A27F988}">
  <sheetPr codeName="Sheet1"/>
  <dimension ref="A4:G1551"/>
  <sheetViews>
    <sheetView workbookViewId="0"/>
  </sheetViews>
  <sheetFormatPr defaultRowHeight="14.4" x14ac:dyDescent="0.3"/>
  <cols>
    <col min="1" max="1" width="56.33203125" customWidth="1"/>
    <col min="2" max="2" width="33.44140625" customWidth="1"/>
    <col min="3" max="3" width="34.21875" customWidth="1"/>
    <col min="4" max="4" width="110.44140625" customWidth="1"/>
    <col min="5" max="6" width="22" customWidth="1"/>
    <col min="7" max="7" width="17.77734375" customWidth="1"/>
  </cols>
  <sheetData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 t="s">
        <v>7</v>
      </c>
      <c r="B5" t="s">
        <v>8</v>
      </c>
      <c r="C5" t="s">
        <v>9</v>
      </c>
      <c r="D5" t="s">
        <v>10</v>
      </c>
      <c r="E5">
        <v>29.601900000000001</v>
      </c>
      <c r="F5">
        <v>76.9803</v>
      </c>
      <c r="G5">
        <v>12</v>
      </c>
    </row>
    <row r="6" spans="1:7" x14ac:dyDescent="0.3">
      <c r="A6" t="s">
        <v>11</v>
      </c>
      <c r="B6" t="s">
        <v>8</v>
      </c>
      <c r="C6" t="s">
        <v>9</v>
      </c>
      <c r="D6" t="s">
        <v>12</v>
      </c>
      <c r="E6">
        <v>28.467300000000002</v>
      </c>
      <c r="F6">
        <v>77.081800000000001</v>
      </c>
      <c r="G6">
        <v>12</v>
      </c>
    </row>
    <row r="7" spans="1:7" x14ac:dyDescent="0.3">
      <c r="A7" t="s">
        <v>13</v>
      </c>
      <c r="B7" t="s">
        <v>14</v>
      </c>
      <c r="C7" t="s">
        <v>15</v>
      </c>
      <c r="D7" t="s">
        <v>16</v>
      </c>
      <c r="E7">
        <v>27.8751</v>
      </c>
      <c r="F7">
        <v>76.275999999999996</v>
      </c>
      <c r="G7">
        <v>12</v>
      </c>
    </row>
    <row r="8" spans="1:7" x14ac:dyDescent="0.3">
      <c r="A8" t="s">
        <v>17</v>
      </c>
      <c r="B8" t="s">
        <v>18</v>
      </c>
      <c r="C8" t="s">
        <v>19</v>
      </c>
      <c r="D8" t="s">
        <v>20</v>
      </c>
      <c r="E8">
        <v>29.310500000000001</v>
      </c>
      <c r="F8">
        <v>77.721800000000002</v>
      </c>
      <c r="G8">
        <v>12</v>
      </c>
    </row>
    <row r="9" spans="1:7" x14ac:dyDescent="0.3">
      <c r="A9" t="s">
        <v>21</v>
      </c>
      <c r="B9" t="s">
        <v>18</v>
      </c>
      <c r="C9" t="s">
        <v>19</v>
      </c>
      <c r="D9" t="s">
        <v>22</v>
      </c>
      <c r="E9">
        <v>29.310500000000001</v>
      </c>
      <c r="F9">
        <v>77.721800000000002</v>
      </c>
      <c r="G9">
        <v>12</v>
      </c>
    </row>
    <row r="10" spans="1:7" x14ac:dyDescent="0.3">
      <c r="A10" t="s">
        <v>23</v>
      </c>
      <c r="B10" t="s">
        <v>24</v>
      </c>
      <c r="C10" t="s">
        <v>25</v>
      </c>
      <c r="D10" t="s">
        <v>26</v>
      </c>
      <c r="E10">
        <v>31.466799999999999</v>
      </c>
      <c r="F10">
        <v>76.256799999999998</v>
      </c>
      <c r="G10">
        <v>12</v>
      </c>
    </row>
    <row r="11" spans="1:7" x14ac:dyDescent="0.3">
      <c r="A11" t="s">
        <v>27</v>
      </c>
      <c r="B11" t="s">
        <v>24</v>
      </c>
      <c r="C11" t="s">
        <v>28</v>
      </c>
      <c r="D11" t="s">
        <v>29</v>
      </c>
      <c r="E11">
        <v>30.879000000000001</v>
      </c>
      <c r="F11">
        <v>76.994799999999998</v>
      </c>
      <c r="G11">
        <v>12</v>
      </c>
    </row>
    <row r="12" spans="1:7" x14ac:dyDescent="0.3">
      <c r="A12" t="s">
        <v>30</v>
      </c>
      <c r="B12" t="s">
        <v>24</v>
      </c>
      <c r="C12" t="s">
        <v>28</v>
      </c>
      <c r="D12" t="s">
        <v>29</v>
      </c>
      <c r="E12">
        <v>30.879000000000001</v>
      </c>
      <c r="F12">
        <v>76.994799999999998</v>
      </c>
      <c r="G12">
        <v>12</v>
      </c>
    </row>
    <row r="13" spans="1:7" x14ac:dyDescent="0.3">
      <c r="A13" t="s">
        <v>31</v>
      </c>
      <c r="B13" t="s">
        <v>8</v>
      </c>
      <c r="C13" t="s">
        <v>32</v>
      </c>
      <c r="D13" t="s">
        <v>33</v>
      </c>
      <c r="E13">
        <v>29.7379</v>
      </c>
      <c r="F13">
        <v>76.9756</v>
      </c>
      <c r="G13">
        <v>12</v>
      </c>
    </row>
    <row r="14" spans="1:7" x14ac:dyDescent="0.3">
      <c r="A14" t="s">
        <v>34</v>
      </c>
      <c r="B14" t="s">
        <v>8</v>
      </c>
      <c r="C14" t="s">
        <v>32</v>
      </c>
      <c r="D14" t="s">
        <v>33</v>
      </c>
      <c r="E14">
        <v>29.7379</v>
      </c>
      <c r="F14">
        <v>76.9756</v>
      </c>
      <c r="G14">
        <v>12</v>
      </c>
    </row>
    <row r="15" spans="1:7" x14ac:dyDescent="0.3">
      <c r="A15" t="s">
        <v>35</v>
      </c>
      <c r="B15" t="s">
        <v>8</v>
      </c>
      <c r="C15" t="s">
        <v>36</v>
      </c>
      <c r="D15" t="s">
        <v>10</v>
      </c>
      <c r="E15">
        <v>29.601900000000001</v>
      </c>
      <c r="F15">
        <v>76.9803</v>
      </c>
      <c r="G15">
        <v>12</v>
      </c>
    </row>
    <row r="16" spans="1:7" x14ac:dyDescent="0.3">
      <c r="A16" t="s">
        <v>37</v>
      </c>
      <c r="B16" t="s">
        <v>8</v>
      </c>
      <c r="C16" t="s">
        <v>38</v>
      </c>
      <c r="D16" t="s">
        <v>39</v>
      </c>
      <c r="E16">
        <v>28.386099999999999</v>
      </c>
      <c r="F16">
        <v>77.006299999999996</v>
      </c>
      <c r="G16">
        <v>12</v>
      </c>
    </row>
    <row r="17" spans="1:7" x14ac:dyDescent="0.3">
      <c r="A17" t="s">
        <v>40</v>
      </c>
      <c r="B17" t="s">
        <v>41</v>
      </c>
      <c r="C17" t="s">
        <v>42</v>
      </c>
      <c r="D17" t="s">
        <v>43</v>
      </c>
      <c r="E17">
        <v>18.538</v>
      </c>
      <c r="F17">
        <v>73.848500000000001</v>
      </c>
      <c r="G17">
        <v>12</v>
      </c>
    </row>
    <row r="18" spans="1:7" x14ac:dyDescent="0.3">
      <c r="A18" t="s">
        <v>44</v>
      </c>
      <c r="B18" t="s">
        <v>45</v>
      </c>
      <c r="C18" t="s">
        <v>46</v>
      </c>
      <c r="D18" t="s">
        <v>47</v>
      </c>
      <c r="E18">
        <v>28.524799999999999</v>
      </c>
      <c r="F18">
        <v>77.100999999999999</v>
      </c>
      <c r="G18">
        <v>12</v>
      </c>
    </row>
    <row r="19" spans="1:7" x14ac:dyDescent="0.3">
      <c r="A19" t="s">
        <v>48</v>
      </c>
      <c r="B19" t="s">
        <v>49</v>
      </c>
      <c r="C19" t="s">
        <v>50</v>
      </c>
      <c r="D19" t="s">
        <v>51</v>
      </c>
      <c r="E19">
        <v>11.3217</v>
      </c>
      <c r="F19">
        <v>76.916300000000007</v>
      </c>
      <c r="G19">
        <v>12</v>
      </c>
    </row>
    <row r="20" spans="1:7" x14ac:dyDescent="0.3">
      <c r="A20" t="s">
        <v>52</v>
      </c>
      <c r="B20" t="s">
        <v>49</v>
      </c>
      <c r="C20" t="s">
        <v>50</v>
      </c>
      <c r="D20" t="s">
        <v>53</v>
      </c>
      <c r="E20">
        <v>11.33</v>
      </c>
      <c r="F20">
        <v>76.902699999999996</v>
      </c>
      <c r="G20">
        <v>12</v>
      </c>
    </row>
    <row r="21" spans="1:7" x14ac:dyDescent="0.3">
      <c r="A21" t="s">
        <v>54</v>
      </c>
      <c r="B21" t="s">
        <v>45</v>
      </c>
      <c r="C21" t="s">
        <v>46</v>
      </c>
      <c r="D21" t="s">
        <v>55</v>
      </c>
      <c r="E21">
        <v>28.568200000000001</v>
      </c>
      <c r="F21">
        <v>77.253100000000003</v>
      </c>
      <c r="G21">
        <v>12</v>
      </c>
    </row>
    <row r="22" spans="1:7" x14ac:dyDescent="0.3">
      <c r="A22" t="s">
        <v>56</v>
      </c>
      <c r="B22" t="s">
        <v>45</v>
      </c>
      <c r="C22" t="s">
        <v>46</v>
      </c>
      <c r="D22" t="s">
        <v>57</v>
      </c>
      <c r="E22">
        <v>28.565999999999999</v>
      </c>
      <c r="F22">
        <v>77.266400000000004</v>
      </c>
      <c r="G22">
        <v>12</v>
      </c>
    </row>
    <row r="23" spans="1:7" x14ac:dyDescent="0.3">
      <c r="A23" t="s">
        <v>58</v>
      </c>
      <c r="B23" t="s">
        <v>8</v>
      </c>
      <c r="C23" t="s">
        <v>9</v>
      </c>
      <c r="D23" t="s">
        <v>59</v>
      </c>
      <c r="E23">
        <v>28.456</v>
      </c>
      <c r="F23">
        <v>77.001000000000005</v>
      </c>
      <c r="G23">
        <v>12</v>
      </c>
    </row>
    <row r="24" spans="1:7" x14ac:dyDescent="0.3">
      <c r="A24" t="s">
        <v>60</v>
      </c>
      <c r="B24" t="s">
        <v>41</v>
      </c>
      <c r="C24" t="s">
        <v>61</v>
      </c>
      <c r="D24" t="s">
        <v>62</v>
      </c>
      <c r="E24">
        <v>18.787600000000001</v>
      </c>
      <c r="F24">
        <v>73.347499999999997</v>
      </c>
      <c r="G24">
        <v>12</v>
      </c>
    </row>
    <row r="25" spans="1:7" x14ac:dyDescent="0.3">
      <c r="A25" t="s">
        <v>63</v>
      </c>
      <c r="B25" t="s">
        <v>64</v>
      </c>
      <c r="C25" t="s">
        <v>65</v>
      </c>
      <c r="D25" t="s">
        <v>66</v>
      </c>
      <c r="E25">
        <v>30.248200000000001</v>
      </c>
      <c r="F25">
        <v>78.096100000000007</v>
      </c>
      <c r="G25">
        <v>12</v>
      </c>
    </row>
    <row r="26" spans="1:7" x14ac:dyDescent="0.3">
      <c r="A26" t="s">
        <v>67</v>
      </c>
      <c r="B26" t="s">
        <v>68</v>
      </c>
      <c r="C26" t="s">
        <v>69</v>
      </c>
      <c r="D26" t="s">
        <v>70</v>
      </c>
      <c r="E26">
        <v>23.015799999999999</v>
      </c>
      <c r="F26">
        <v>72.517799999999994</v>
      </c>
      <c r="G26">
        <v>12</v>
      </c>
    </row>
    <row r="27" spans="1:7" x14ac:dyDescent="0.3">
      <c r="A27" t="s">
        <v>71</v>
      </c>
      <c r="B27" t="s">
        <v>41</v>
      </c>
      <c r="C27" t="s">
        <v>72</v>
      </c>
      <c r="D27" t="s">
        <v>73</v>
      </c>
      <c r="E27">
        <v>18.763000000000002</v>
      </c>
      <c r="F27">
        <v>73.425200000000004</v>
      </c>
      <c r="G27">
        <v>12</v>
      </c>
    </row>
    <row r="28" spans="1:7" x14ac:dyDescent="0.3">
      <c r="A28" t="s">
        <v>74</v>
      </c>
      <c r="B28" t="s">
        <v>8</v>
      </c>
      <c r="C28" t="s">
        <v>9</v>
      </c>
      <c r="D28" t="s">
        <v>75</v>
      </c>
      <c r="E28">
        <v>28.482299999999999</v>
      </c>
      <c r="F28">
        <v>77.076599999999999</v>
      </c>
      <c r="G28">
        <v>12</v>
      </c>
    </row>
    <row r="29" spans="1:7" x14ac:dyDescent="0.3">
      <c r="A29" t="s">
        <v>76</v>
      </c>
      <c r="B29" t="s">
        <v>14</v>
      </c>
      <c r="C29" t="s">
        <v>77</v>
      </c>
      <c r="D29" t="s">
        <v>78</v>
      </c>
      <c r="E29">
        <v>27.0307</v>
      </c>
      <c r="F29">
        <v>75.889899999999997</v>
      </c>
      <c r="G29">
        <v>12</v>
      </c>
    </row>
    <row r="30" spans="1:7" x14ac:dyDescent="0.3">
      <c r="A30" t="s">
        <v>79</v>
      </c>
      <c r="B30" t="s">
        <v>14</v>
      </c>
      <c r="C30" t="s">
        <v>80</v>
      </c>
      <c r="D30" t="s">
        <v>81</v>
      </c>
      <c r="E30">
        <v>26.454699999999999</v>
      </c>
      <c r="F30">
        <v>74.504599999999996</v>
      </c>
      <c r="G30">
        <v>12</v>
      </c>
    </row>
    <row r="31" spans="1:7" x14ac:dyDescent="0.3">
      <c r="A31" t="s">
        <v>82</v>
      </c>
      <c r="B31" t="s">
        <v>8</v>
      </c>
      <c r="C31" t="s">
        <v>9</v>
      </c>
      <c r="D31" t="s">
        <v>83</v>
      </c>
      <c r="E31">
        <v>28.463200000000001</v>
      </c>
      <c r="F31">
        <v>77.049000000000007</v>
      </c>
      <c r="G31">
        <v>12</v>
      </c>
    </row>
    <row r="32" spans="1:7" x14ac:dyDescent="0.3">
      <c r="A32" t="s">
        <v>84</v>
      </c>
      <c r="B32" t="s">
        <v>8</v>
      </c>
      <c r="C32" t="s">
        <v>9</v>
      </c>
      <c r="D32" t="s">
        <v>85</v>
      </c>
      <c r="E32">
        <v>28.363900000000001</v>
      </c>
      <c r="F32">
        <v>76.960700000000003</v>
      </c>
      <c r="G32">
        <v>12</v>
      </c>
    </row>
    <row r="33" spans="1:7" x14ac:dyDescent="0.3">
      <c r="A33" t="s">
        <v>86</v>
      </c>
      <c r="B33" t="s">
        <v>8</v>
      </c>
      <c r="C33" t="s">
        <v>87</v>
      </c>
      <c r="D33" t="s">
        <v>88</v>
      </c>
      <c r="E33">
        <v>28.499700000000001</v>
      </c>
      <c r="F33">
        <v>77.0839</v>
      </c>
      <c r="G33">
        <v>12</v>
      </c>
    </row>
    <row r="34" spans="1:7" x14ac:dyDescent="0.3">
      <c r="A34" t="s">
        <v>89</v>
      </c>
      <c r="B34" t="s">
        <v>8</v>
      </c>
      <c r="C34" t="s">
        <v>9</v>
      </c>
      <c r="D34" t="s">
        <v>90</v>
      </c>
      <c r="E34">
        <v>28.433599999999998</v>
      </c>
      <c r="F34">
        <v>77.034899999999993</v>
      </c>
      <c r="G34">
        <v>12</v>
      </c>
    </row>
    <row r="35" spans="1:7" x14ac:dyDescent="0.3">
      <c r="A35" t="s">
        <v>91</v>
      </c>
      <c r="B35" t="s">
        <v>68</v>
      </c>
      <c r="C35" t="s">
        <v>69</v>
      </c>
      <c r="D35" t="s">
        <v>92</v>
      </c>
      <c r="E35">
        <v>22.998899999999999</v>
      </c>
      <c r="F35">
        <v>72.559399999999997</v>
      </c>
      <c r="G35">
        <v>12</v>
      </c>
    </row>
    <row r="36" spans="1:7" x14ac:dyDescent="0.3">
      <c r="A36" t="s">
        <v>93</v>
      </c>
      <c r="B36" t="s">
        <v>45</v>
      </c>
      <c r="C36" t="s">
        <v>46</v>
      </c>
      <c r="D36" t="s">
        <v>94</v>
      </c>
      <c r="E36">
        <v>28.587399999999999</v>
      </c>
      <c r="F36">
        <v>77.171300000000002</v>
      </c>
      <c r="G36">
        <v>12</v>
      </c>
    </row>
    <row r="37" spans="1:7" x14ac:dyDescent="0.3">
      <c r="A37" t="s">
        <v>95</v>
      </c>
      <c r="B37" t="s">
        <v>41</v>
      </c>
      <c r="C37" t="s">
        <v>42</v>
      </c>
      <c r="D37" t="s">
        <v>96</v>
      </c>
      <c r="E37">
        <v>17.0749</v>
      </c>
      <c r="F37">
        <v>74.222700000000003</v>
      </c>
      <c r="G37">
        <v>12</v>
      </c>
    </row>
    <row r="38" spans="1:7" x14ac:dyDescent="0.3">
      <c r="A38" t="s">
        <v>97</v>
      </c>
      <c r="B38" t="s">
        <v>18</v>
      </c>
      <c r="C38" t="s">
        <v>98</v>
      </c>
      <c r="D38" t="s">
        <v>99</v>
      </c>
      <c r="E38">
        <v>28.9955</v>
      </c>
      <c r="F38">
        <v>77.705699999999993</v>
      </c>
      <c r="G38">
        <v>12</v>
      </c>
    </row>
    <row r="39" spans="1:7" x14ac:dyDescent="0.3">
      <c r="A39" t="s">
        <v>100</v>
      </c>
      <c r="B39" t="s">
        <v>41</v>
      </c>
      <c r="C39" t="s">
        <v>42</v>
      </c>
      <c r="D39" t="s">
        <v>101</v>
      </c>
      <c r="E39">
        <v>18.514500000000002</v>
      </c>
      <c r="F39">
        <v>73.8489</v>
      </c>
      <c r="G39">
        <v>12</v>
      </c>
    </row>
    <row r="40" spans="1:7" x14ac:dyDescent="0.3">
      <c r="A40" t="s">
        <v>102</v>
      </c>
      <c r="B40" t="s">
        <v>41</v>
      </c>
      <c r="C40" t="s">
        <v>42</v>
      </c>
      <c r="D40" t="s">
        <v>103</v>
      </c>
      <c r="E40">
        <v>18.561900000000001</v>
      </c>
      <c r="F40">
        <v>73.771799999999999</v>
      </c>
      <c r="G40">
        <v>12</v>
      </c>
    </row>
    <row r="41" spans="1:7" x14ac:dyDescent="0.3">
      <c r="A41" t="s">
        <v>104</v>
      </c>
      <c r="B41" t="s">
        <v>105</v>
      </c>
      <c r="C41" t="s">
        <v>42</v>
      </c>
      <c r="D41" t="s">
        <v>106</v>
      </c>
      <c r="E41">
        <v>15.2735</v>
      </c>
      <c r="F41">
        <v>73.959000000000003</v>
      </c>
      <c r="G41">
        <v>12</v>
      </c>
    </row>
    <row r="42" spans="1:7" x14ac:dyDescent="0.3">
      <c r="A42" t="s">
        <v>107</v>
      </c>
      <c r="B42" t="s">
        <v>68</v>
      </c>
      <c r="C42" t="s">
        <v>42</v>
      </c>
      <c r="D42" t="s">
        <v>108</v>
      </c>
      <c r="E42">
        <v>22.472999999999999</v>
      </c>
      <c r="F42">
        <v>70.894999999999996</v>
      </c>
      <c r="G42">
        <v>12</v>
      </c>
    </row>
    <row r="43" spans="1:7" x14ac:dyDescent="0.3">
      <c r="A43" t="s">
        <v>109</v>
      </c>
      <c r="B43" t="s">
        <v>41</v>
      </c>
      <c r="C43" t="s">
        <v>110</v>
      </c>
      <c r="D43" t="s">
        <v>111</v>
      </c>
      <c r="E43">
        <v>19.274699999999999</v>
      </c>
      <c r="F43">
        <v>72.885599999999997</v>
      </c>
      <c r="G43">
        <v>12</v>
      </c>
    </row>
    <row r="44" spans="1:7" x14ac:dyDescent="0.3">
      <c r="A44" t="s">
        <v>112</v>
      </c>
      <c r="B44" t="s">
        <v>45</v>
      </c>
      <c r="C44" t="s">
        <v>46</v>
      </c>
      <c r="D44" t="s">
        <v>113</v>
      </c>
      <c r="E44">
        <v>28.696200000000001</v>
      </c>
      <c r="F44">
        <v>77.155000000000001</v>
      </c>
      <c r="G44">
        <v>12</v>
      </c>
    </row>
    <row r="45" spans="1:7" x14ac:dyDescent="0.3">
      <c r="A45" t="s">
        <v>114</v>
      </c>
      <c r="B45" t="s">
        <v>115</v>
      </c>
      <c r="C45" t="s">
        <v>116</v>
      </c>
      <c r="D45" t="s">
        <v>117</v>
      </c>
      <c r="E45">
        <v>17.501999999999999</v>
      </c>
      <c r="F45">
        <v>78.539000000000001</v>
      </c>
      <c r="G45">
        <v>12</v>
      </c>
    </row>
    <row r="46" spans="1:7" x14ac:dyDescent="0.3">
      <c r="A46" t="s">
        <v>118</v>
      </c>
      <c r="B46" t="s">
        <v>41</v>
      </c>
      <c r="C46" t="s">
        <v>119</v>
      </c>
      <c r="D46" t="s">
        <v>120</v>
      </c>
      <c r="E46">
        <v>18.9285</v>
      </c>
      <c r="F46">
        <v>72.825500000000005</v>
      </c>
      <c r="G46">
        <v>12</v>
      </c>
    </row>
    <row r="47" spans="1:7" x14ac:dyDescent="0.3">
      <c r="A47" t="s">
        <v>121</v>
      </c>
      <c r="B47" t="s">
        <v>41</v>
      </c>
      <c r="C47" t="s">
        <v>122</v>
      </c>
      <c r="D47" t="s">
        <v>123</v>
      </c>
      <c r="E47">
        <v>20.170400000000001</v>
      </c>
      <c r="F47">
        <v>73.827299999999994</v>
      </c>
      <c r="G47">
        <v>12</v>
      </c>
    </row>
    <row r="48" spans="1:7" x14ac:dyDescent="0.3">
      <c r="A48" t="s">
        <v>124</v>
      </c>
      <c r="B48" t="s">
        <v>8</v>
      </c>
      <c r="C48" t="s">
        <v>125</v>
      </c>
      <c r="D48" t="s">
        <v>126</v>
      </c>
      <c r="E48">
        <v>29.133199999999999</v>
      </c>
      <c r="F48">
        <v>75.753500000000003</v>
      </c>
      <c r="G48">
        <v>12</v>
      </c>
    </row>
    <row r="49" spans="1:7" x14ac:dyDescent="0.3">
      <c r="A49" t="s">
        <v>127</v>
      </c>
      <c r="B49" t="s">
        <v>8</v>
      </c>
      <c r="C49" t="s">
        <v>125</v>
      </c>
      <c r="D49" t="s">
        <v>126</v>
      </c>
      <c r="E49">
        <v>29.133199999999999</v>
      </c>
      <c r="F49">
        <v>75.753500000000003</v>
      </c>
      <c r="G49">
        <v>12</v>
      </c>
    </row>
    <row r="50" spans="1:7" x14ac:dyDescent="0.3">
      <c r="A50" t="s">
        <v>128</v>
      </c>
      <c r="B50" t="s">
        <v>41</v>
      </c>
      <c r="C50" t="s">
        <v>125</v>
      </c>
      <c r="D50" t="s">
        <v>129</v>
      </c>
      <c r="E50">
        <v>16.843299999999999</v>
      </c>
      <c r="F50">
        <v>74.585899999999995</v>
      </c>
      <c r="G50">
        <v>12</v>
      </c>
    </row>
    <row r="51" spans="1:7" x14ac:dyDescent="0.3">
      <c r="A51" t="s">
        <v>130</v>
      </c>
      <c r="B51" t="s">
        <v>41</v>
      </c>
      <c r="C51" t="s">
        <v>131</v>
      </c>
      <c r="D51" t="s">
        <v>132</v>
      </c>
      <c r="E51">
        <v>18.5808</v>
      </c>
      <c r="F51">
        <v>73.739900000000006</v>
      </c>
      <c r="G51">
        <v>12</v>
      </c>
    </row>
    <row r="52" spans="1:7" x14ac:dyDescent="0.3">
      <c r="A52" t="s">
        <v>133</v>
      </c>
      <c r="B52" t="s">
        <v>18</v>
      </c>
      <c r="C52" t="s">
        <v>134</v>
      </c>
      <c r="D52" t="s">
        <v>135</v>
      </c>
      <c r="E52">
        <v>29.977</v>
      </c>
      <c r="F52">
        <v>77.575299999999999</v>
      </c>
      <c r="G52">
        <v>12</v>
      </c>
    </row>
    <row r="53" spans="1:7" x14ac:dyDescent="0.3">
      <c r="A53" t="s">
        <v>136</v>
      </c>
      <c r="B53" t="s">
        <v>68</v>
      </c>
      <c r="C53" t="s">
        <v>137</v>
      </c>
      <c r="D53" t="s">
        <v>138</v>
      </c>
      <c r="E53">
        <v>23.043600000000001</v>
      </c>
      <c r="F53">
        <v>72.482500000000002</v>
      </c>
      <c r="G53">
        <v>12</v>
      </c>
    </row>
    <row r="54" spans="1:7" x14ac:dyDescent="0.3">
      <c r="A54" t="s">
        <v>139</v>
      </c>
      <c r="B54" t="s">
        <v>14</v>
      </c>
      <c r="C54" t="s">
        <v>140</v>
      </c>
      <c r="D54" t="s">
        <v>141</v>
      </c>
      <c r="E54">
        <v>27.9145</v>
      </c>
      <c r="F54">
        <v>76.314599999999999</v>
      </c>
      <c r="G54">
        <v>12</v>
      </c>
    </row>
    <row r="55" spans="1:7" x14ac:dyDescent="0.3">
      <c r="A55" t="s">
        <v>142</v>
      </c>
      <c r="B55" t="s">
        <v>24</v>
      </c>
      <c r="C55" t="s">
        <v>140</v>
      </c>
      <c r="D55" t="s">
        <v>143</v>
      </c>
      <c r="E55">
        <v>31.5153</v>
      </c>
      <c r="F55">
        <v>76.876499999999993</v>
      </c>
      <c r="G55">
        <v>12</v>
      </c>
    </row>
    <row r="56" spans="1:7" x14ac:dyDescent="0.3">
      <c r="A56" t="s">
        <v>144</v>
      </c>
      <c r="B56" t="s">
        <v>18</v>
      </c>
      <c r="C56" t="s">
        <v>140</v>
      </c>
      <c r="D56" t="s">
        <v>145</v>
      </c>
      <c r="E56">
        <v>28.838200000000001</v>
      </c>
      <c r="F56">
        <v>78.276399999999995</v>
      </c>
      <c r="G56">
        <v>12</v>
      </c>
    </row>
    <row r="57" spans="1:7" x14ac:dyDescent="0.3">
      <c r="A57" t="s">
        <v>146</v>
      </c>
      <c r="B57" t="s">
        <v>14</v>
      </c>
      <c r="C57" t="s">
        <v>147</v>
      </c>
      <c r="D57" t="s">
        <v>148</v>
      </c>
      <c r="E57">
        <v>26.125</v>
      </c>
      <c r="F57">
        <v>74.3459</v>
      </c>
      <c r="G57">
        <v>12</v>
      </c>
    </row>
    <row r="58" spans="1:7" x14ac:dyDescent="0.3">
      <c r="A58" t="s">
        <v>149</v>
      </c>
      <c r="B58" t="s">
        <v>150</v>
      </c>
      <c r="C58" t="s">
        <v>151</v>
      </c>
      <c r="D58" t="s">
        <v>152</v>
      </c>
      <c r="E58">
        <v>13.067</v>
      </c>
      <c r="F58">
        <v>77.45</v>
      </c>
      <c r="G58">
        <v>12</v>
      </c>
    </row>
    <row r="59" spans="1:7" x14ac:dyDescent="0.3">
      <c r="A59" t="s">
        <v>153</v>
      </c>
      <c r="B59" t="s">
        <v>150</v>
      </c>
      <c r="C59" t="s">
        <v>154</v>
      </c>
      <c r="D59" t="s">
        <v>155</v>
      </c>
      <c r="E59">
        <v>11.9377</v>
      </c>
      <c r="F59">
        <v>76.265500000000003</v>
      </c>
      <c r="G59">
        <v>12</v>
      </c>
    </row>
    <row r="60" spans="1:7" x14ac:dyDescent="0.3">
      <c r="A60" t="s">
        <v>156</v>
      </c>
      <c r="B60" t="s">
        <v>41</v>
      </c>
      <c r="C60" t="s">
        <v>119</v>
      </c>
      <c r="D60" t="s">
        <v>157</v>
      </c>
      <c r="E60">
        <v>19.0246</v>
      </c>
      <c r="F60">
        <v>72.840199999999996</v>
      </c>
      <c r="G60">
        <v>12</v>
      </c>
    </row>
    <row r="61" spans="1:7" x14ac:dyDescent="0.3">
      <c r="A61" t="s">
        <v>158</v>
      </c>
      <c r="B61" t="s">
        <v>64</v>
      </c>
      <c r="C61" t="s">
        <v>159</v>
      </c>
      <c r="D61" t="s">
        <v>160</v>
      </c>
      <c r="E61">
        <v>29.932400000000001</v>
      </c>
      <c r="F61">
        <v>78.142300000000006</v>
      </c>
      <c r="G61">
        <v>12</v>
      </c>
    </row>
    <row r="62" spans="1:7" x14ac:dyDescent="0.3">
      <c r="A62" t="s">
        <v>161</v>
      </c>
      <c r="B62" t="s">
        <v>41</v>
      </c>
      <c r="C62" t="s">
        <v>162</v>
      </c>
      <c r="D62" t="s">
        <v>163</v>
      </c>
      <c r="E62">
        <v>18.0855</v>
      </c>
      <c r="F62">
        <v>73.430899999999994</v>
      </c>
      <c r="G62">
        <v>12</v>
      </c>
    </row>
    <row r="63" spans="1:7" x14ac:dyDescent="0.3">
      <c r="A63" t="s">
        <v>164</v>
      </c>
      <c r="B63" t="s">
        <v>24</v>
      </c>
      <c r="C63" t="s">
        <v>151</v>
      </c>
      <c r="D63" t="s">
        <v>143</v>
      </c>
      <c r="E63">
        <v>31.5153</v>
      </c>
      <c r="F63">
        <v>76.876499999999993</v>
      </c>
      <c r="G63">
        <v>12</v>
      </c>
    </row>
    <row r="64" spans="1:7" x14ac:dyDescent="0.3">
      <c r="A64" t="s">
        <v>165</v>
      </c>
      <c r="B64" t="s">
        <v>150</v>
      </c>
      <c r="C64" t="s">
        <v>166</v>
      </c>
      <c r="D64" t="s">
        <v>167</v>
      </c>
      <c r="E64">
        <v>12.8576</v>
      </c>
      <c r="F64">
        <v>74.838300000000004</v>
      </c>
      <c r="G64">
        <v>12</v>
      </c>
    </row>
    <row r="65" spans="1:7" x14ac:dyDescent="0.3">
      <c r="A65" t="s">
        <v>168</v>
      </c>
      <c r="B65" t="s">
        <v>150</v>
      </c>
      <c r="C65" t="s">
        <v>151</v>
      </c>
      <c r="D65" t="s">
        <v>169</v>
      </c>
      <c r="E65">
        <v>12.842700000000001</v>
      </c>
      <c r="F65">
        <v>77.64</v>
      </c>
      <c r="G65">
        <v>12</v>
      </c>
    </row>
    <row r="66" spans="1:7" x14ac:dyDescent="0.3">
      <c r="A66" t="s">
        <v>170</v>
      </c>
      <c r="B66" t="s">
        <v>41</v>
      </c>
      <c r="C66" t="s">
        <v>119</v>
      </c>
      <c r="D66" t="s">
        <v>171</v>
      </c>
      <c r="E66">
        <v>19.1798</v>
      </c>
      <c r="F66">
        <v>72.836100000000002</v>
      </c>
      <c r="G66">
        <v>12</v>
      </c>
    </row>
    <row r="67" spans="1:7" x14ac:dyDescent="0.3">
      <c r="A67" t="s">
        <v>172</v>
      </c>
      <c r="B67" t="s">
        <v>115</v>
      </c>
      <c r="C67" t="s">
        <v>116</v>
      </c>
      <c r="D67" t="s">
        <v>173</v>
      </c>
      <c r="E67">
        <v>17.467700000000001</v>
      </c>
      <c r="F67">
        <v>78.564099999999996</v>
      </c>
      <c r="G67">
        <v>12</v>
      </c>
    </row>
    <row r="68" spans="1:7" x14ac:dyDescent="0.3">
      <c r="A68" t="s">
        <v>174</v>
      </c>
      <c r="B68" t="s">
        <v>45</v>
      </c>
      <c r="C68" t="s">
        <v>46</v>
      </c>
      <c r="D68" t="s">
        <v>175</v>
      </c>
      <c r="E68">
        <v>32.986699999999999</v>
      </c>
      <c r="F68">
        <v>74.9238</v>
      </c>
      <c r="G68">
        <v>12</v>
      </c>
    </row>
    <row r="69" spans="1:7" x14ac:dyDescent="0.3">
      <c r="A69" t="s">
        <v>176</v>
      </c>
      <c r="B69" t="s">
        <v>45</v>
      </c>
      <c r="C69" t="s">
        <v>46</v>
      </c>
      <c r="D69" t="s">
        <v>177</v>
      </c>
      <c r="E69">
        <v>32.991799999999998</v>
      </c>
      <c r="F69">
        <v>74.930599999999998</v>
      </c>
      <c r="G69">
        <v>12</v>
      </c>
    </row>
    <row r="70" spans="1:7" x14ac:dyDescent="0.3">
      <c r="A70" t="s">
        <v>178</v>
      </c>
      <c r="B70" t="s">
        <v>45</v>
      </c>
      <c r="C70" t="s">
        <v>46</v>
      </c>
      <c r="D70" t="s">
        <v>179</v>
      </c>
      <c r="E70">
        <v>32.989199999999997</v>
      </c>
      <c r="F70">
        <v>74.928899999999999</v>
      </c>
      <c r="G70">
        <v>12</v>
      </c>
    </row>
    <row r="71" spans="1:7" x14ac:dyDescent="0.3">
      <c r="A71" t="s">
        <v>180</v>
      </c>
      <c r="B71" t="s">
        <v>181</v>
      </c>
      <c r="C71" t="s">
        <v>182</v>
      </c>
      <c r="D71" t="s">
        <v>183</v>
      </c>
      <c r="E71">
        <v>30.821899999999999</v>
      </c>
      <c r="F71">
        <v>75.866799999999998</v>
      </c>
      <c r="G71">
        <v>12</v>
      </c>
    </row>
    <row r="72" spans="1:7" x14ac:dyDescent="0.3">
      <c r="A72" t="s">
        <v>184</v>
      </c>
      <c r="B72" t="s">
        <v>68</v>
      </c>
      <c r="C72" t="s">
        <v>185</v>
      </c>
      <c r="D72" t="s">
        <v>186</v>
      </c>
      <c r="E72">
        <v>22.321300000000001</v>
      </c>
      <c r="F72">
        <v>73.188100000000006</v>
      </c>
      <c r="G72">
        <v>12</v>
      </c>
    </row>
    <row r="73" spans="1:7" x14ac:dyDescent="0.3">
      <c r="A73" t="s">
        <v>187</v>
      </c>
      <c r="B73" t="s">
        <v>49</v>
      </c>
      <c r="C73" t="s">
        <v>188</v>
      </c>
      <c r="D73" t="s">
        <v>189</v>
      </c>
      <c r="E73">
        <v>11.009600000000001</v>
      </c>
      <c r="F73">
        <v>76.9589</v>
      </c>
      <c r="G73">
        <v>12</v>
      </c>
    </row>
    <row r="74" spans="1:7" x14ac:dyDescent="0.3">
      <c r="A74" t="s">
        <v>190</v>
      </c>
      <c r="B74" t="s">
        <v>64</v>
      </c>
      <c r="C74" t="s">
        <v>191</v>
      </c>
      <c r="D74" t="s">
        <v>192</v>
      </c>
      <c r="E74">
        <v>29.323699999999999</v>
      </c>
      <c r="F74">
        <v>79.592100000000002</v>
      </c>
      <c r="G74">
        <v>12</v>
      </c>
    </row>
    <row r="75" spans="1:7" x14ac:dyDescent="0.3">
      <c r="A75" t="s">
        <v>193</v>
      </c>
      <c r="B75" t="s">
        <v>41</v>
      </c>
      <c r="C75" t="s">
        <v>194</v>
      </c>
      <c r="D75" t="s">
        <v>195</v>
      </c>
      <c r="E75">
        <v>18.618400000000001</v>
      </c>
      <c r="F75">
        <v>72.900400000000005</v>
      </c>
      <c r="G75">
        <v>12</v>
      </c>
    </row>
    <row r="76" spans="1:7" x14ac:dyDescent="0.3">
      <c r="A76" t="s">
        <v>196</v>
      </c>
      <c r="B76" t="s">
        <v>8</v>
      </c>
      <c r="C76" t="s">
        <v>9</v>
      </c>
      <c r="D76" t="s">
        <v>197</v>
      </c>
      <c r="E76">
        <v>28.427299999999999</v>
      </c>
      <c r="F76">
        <v>77.038899999999998</v>
      </c>
      <c r="G76">
        <v>12</v>
      </c>
    </row>
    <row r="77" spans="1:7" x14ac:dyDescent="0.3">
      <c r="A77" t="s">
        <v>198</v>
      </c>
      <c r="B77" t="s">
        <v>41</v>
      </c>
      <c r="C77" t="s">
        <v>199</v>
      </c>
      <c r="D77" t="s">
        <v>200</v>
      </c>
      <c r="E77">
        <v>18.594799999999999</v>
      </c>
      <c r="F77">
        <v>73.797499999999999</v>
      </c>
      <c r="G77">
        <v>12</v>
      </c>
    </row>
    <row r="78" spans="1:7" x14ac:dyDescent="0.3">
      <c r="A78" t="s">
        <v>201</v>
      </c>
      <c r="B78" t="s">
        <v>41</v>
      </c>
      <c r="C78" t="s">
        <v>151</v>
      </c>
      <c r="D78" t="s">
        <v>202</v>
      </c>
      <c r="E78">
        <v>19.1709</v>
      </c>
      <c r="F78">
        <v>73.081900000000005</v>
      </c>
      <c r="G78">
        <v>12</v>
      </c>
    </row>
    <row r="79" spans="1:7" x14ac:dyDescent="0.3">
      <c r="A79" t="s">
        <v>203</v>
      </c>
      <c r="B79" t="s">
        <v>41</v>
      </c>
      <c r="C79" t="s">
        <v>151</v>
      </c>
      <c r="D79" t="s">
        <v>204</v>
      </c>
      <c r="E79">
        <v>19.177900000000001</v>
      </c>
      <c r="F79">
        <v>76.168000000000006</v>
      </c>
      <c r="G79">
        <v>12</v>
      </c>
    </row>
    <row r="80" spans="1:7" x14ac:dyDescent="0.3">
      <c r="A80" t="s">
        <v>205</v>
      </c>
      <c r="B80" t="s">
        <v>150</v>
      </c>
      <c r="C80" t="s">
        <v>151</v>
      </c>
      <c r="D80" t="s">
        <v>206</v>
      </c>
      <c r="E80">
        <v>12.965299999999999</v>
      </c>
      <c r="F80">
        <v>77.733099999999993</v>
      </c>
      <c r="G80">
        <v>12</v>
      </c>
    </row>
    <row r="81" spans="1:7" x14ac:dyDescent="0.3">
      <c r="A81" t="s">
        <v>207</v>
      </c>
      <c r="B81" t="s">
        <v>41</v>
      </c>
      <c r="C81" t="s">
        <v>208</v>
      </c>
      <c r="D81" t="s">
        <v>209</v>
      </c>
      <c r="E81">
        <v>19.359300000000001</v>
      </c>
      <c r="F81">
        <v>72.812299999999993</v>
      </c>
      <c r="G81">
        <v>12</v>
      </c>
    </row>
    <row r="82" spans="1:7" x14ac:dyDescent="0.3">
      <c r="A82" t="s">
        <v>210</v>
      </c>
      <c r="B82" t="s">
        <v>41</v>
      </c>
      <c r="C82" t="s">
        <v>211</v>
      </c>
      <c r="D82" t="s">
        <v>212</v>
      </c>
      <c r="E82">
        <v>28.500699999999998</v>
      </c>
      <c r="F82">
        <v>77.410200000000003</v>
      </c>
      <c r="G82">
        <v>12</v>
      </c>
    </row>
    <row r="83" spans="1:7" x14ac:dyDescent="0.3">
      <c r="A83" t="s">
        <v>213</v>
      </c>
      <c r="B83" t="s">
        <v>14</v>
      </c>
      <c r="C83" t="s">
        <v>214</v>
      </c>
      <c r="D83" t="s">
        <v>215</v>
      </c>
      <c r="E83">
        <v>26.831199999999999</v>
      </c>
      <c r="F83">
        <v>75.866299999999995</v>
      </c>
      <c r="G83">
        <v>12</v>
      </c>
    </row>
    <row r="84" spans="1:7" x14ac:dyDescent="0.3">
      <c r="A84" t="s">
        <v>216</v>
      </c>
      <c r="B84" t="s">
        <v>150</v>
      </c>
      <c r="C84" t="s">
        <v>151</v>
      </c>
      <c r="D84" t="s">
        <v>217</v>
      </c>
      <c r="E84">
        <v>12.858499999999999</v>
      </c>
      <c r="F84">
        <v>77.593000000000004</v>
      </c>
      <c r="G84">
        <v>12</v>
      </c>
    </row>
    <row r="85" spans="1:7" x14ac:dyDescent="0.3">
      <c r="A85" t="s">
        <v>218</v>
      </c>
      <c r="B85" t="s">
        <v>14</v>
      </c>
      <c r="C85" t="s">
        <v>214</v>
      </c>
      <c r="D85" t="s">
        <v>219</v>
      </c>
      <c r="E85">
        <v>26.779699999999998</v>
      </c>
      <c r="F85">
        <v>75.828199999999995</v>
      </c>
      <c r="G85">
        <v>12</v>
      </c>
    </row>
    <row r="86" spans="1:7" x14ac:dyDescent="0.3">
      <c r="A86" t="s">
        <v>220</v>
      </c>
      <c r="B86" t="s">
        <v>41</v>
      </c>
      <c r="C86" t="s">
        <v>221</v>
      </c>
      <c r="D86" t="s">
        <v>222</v>
      </c>
      <c r="E86">
        <v>18.165500000000002</v>
      </c>
      <c r="F86">
        <v>72.992900000000006</v>
      </c>
      <c r="G86">
        <v>12</v>
      </c>
    </row>
    <row r="87" spans="1:7" x14ac:dyDescent="0.3">
      <c r="A87" t="s">
        <v>223</v>
      </c>
      <c r="B87" t="s">
        <v>150</v>
      </c>
      <c r="C87" t="s">
        <v>221</v>
      </c>
      <c r="D87" t="s">
        <v>224</v>
      </c>
      <c r="E87">
        <v>28.125399999999999</v>
      </c>
      <c r="F87">
        <v>76.636799999999994</v>
      </c>
      <c r="G87">
        <v>12</v>
      </c>
    </row>
    <row r="88" spans="1:7" x14ac:dyDescent="0.3">
      <c r="A88" t="s">
        <v>225</v>
      </c>
      <c r="B88" t="s">
        <v>150</v>
      </c>
      <c r="C88" t="s">
        <v>221</v>
      </c>
      <c r="D88" t="s">
        <v>226</v>
      </c>
      <c r="E88">
        <v>12.3847</v>
      </c>
      <c r="F88">
        <v>77.053200000000004</v>
      </c>
      <c r="G88">
        <v>12</v>
      </c>
    </row>
    <row r="89" spans="1:7" x14ac:dyDescent="0.3">
      <c r="A89" t="s">
        <v>227</v>
      </c>
      <c r="B89" t="s">
        <v>45</v>
      </c>
      <c r="C89" t="s">
        <v>46</v>
      </c>
      <c r="D89" t="s">
        <v>228</v>
      </c>
      <c r="E89">
        <v>28.6539</v>
      </c>
      <c r="F89">
        <v>77.1905</v>
      </c>
      <c r="G89">
        <v>12</v>
      </c>
    </row>
    <row r="90" spans="1:7" x14ac:dyDescent="0.3">
      <c r="A90" t="s">
        <v>229</v>
      </c>
      <c r="B90" t="s">
        <v>41</v>
      </c>
      <c r="C90" t="s">
        <v>221</v>
      </c>
      <c r="D90" t="s">
        <v>230</v>
      </c>
      <c r="E90">
        <v>19.9758</v>
      </c>
      <c r="F90">
        <v>73.775999999999996</v>
      </c>
      <c r="G90">
        <v>12</v>
      </c>
    </row>
    <row r="91" spans="1:7" x14ac:dyDescent="0.3">
      <c r="A91" t="s">
        <v>231</v>
      </c>
      <c r="B91" t="s">
        <v>8</v>
      </c>
      <c r="C91" t="s">
        <v>87</v>
      </c>
      <c r="D91" t="s">
        <v>232</v>
      </c>
      <c r="E91">
        <v>28.411300000000001</v>
      </c>
      <c r="F91">
        <v>77.051000000000002</v>
      </c>
      <c r="G91">
        <v>12</v>
      </c>
    </row>
    <row r="92" spans="1:7" x14ac:dyDescent="0.3">
      <c r="A92" t="s">
        <v>233</v>
      </c>
      <c r="B92" t="s">
        <v>41</v>
      </c>
      <c r="C92" t="s">
        <v>221</v>
      </c>
      <c r="D92" t="s">
        <v>234</v>
      </c>
      <c r="E92">
        <v>20.213699999999999</v>
      </c>
      <c r="F92">
        <v>74.040999999999997</v>
      </c>
      <c r="G92">
        <v>12</v>
      </c>
    </row>
    <row r="93" spans="1:7" x14ac:dyDescent="0.3">
      <c r="A93" t="s">
        <v>235</v>
      </c>
      <c r="B93" t="s">
        <v>8</v>
      </c>
      <c r="C93" t="s">
        <v>87</v>
      </c>
      <c r="D93" t="s">
        <v>236</v>
      </c>
      <c r="E93">
        <v>28.553000000000001</v>
      </c>
      <c r="F93">
        <v>77.094399999999993</v>
      </c>
      <c r="G93">
        <v>12</v>
      </c>
    </row>
    <row r="94" spans="1:7" x14ac:dyDescent="0.3">
      <c r="A94" t="s">
        <v>237</v>
      </c>
      <c r="B94" t="s">
        <v>8</v>
      </c>
      <c r="C94" t="s">
        <v>87</v>
      </c>
      <c r="D94" t="s">
        <v>236</v>
      </c>
      <c r="E94">
        <v>28.553699999999999</v>
      </c>
      <c r="F94">
        <v>77.094300000000004</v>
      </c>
      <c r="G94">
        <v>12</v>
      </c>
    </row>
    <row r="95" spans="1:7" x14ac:dyDescent="0.3">
      <c r="A95" t="s">
        <v>238</v>
      </c>
      <c r="B95" t="s">
        <v>14</v>
      </c>
      <c r="C95" t="s">
        <v>214</v>
      </c>
      <c r="E95">
        <v>26.915900000000001</v>
      </c>
      <c r="F95">
        <v>75.722999999999999</v>
      </c>
      <c r="G95">
        <v>12</v>
      </c>
    </row>
    <row r="96" spans="1:7" x14ac:dyDescent="0.3">
      <c r="A96" t="s">
        <v>239</v>
      </c>
      <c r="B96" t="s">
        <v>41</v>
      </c>
      <c r="C96" t="s">
        <v>240</v>
      </c>
      <c r="E96">
        <v>19.7592</v>
      </c>
      <c r="F96">
        <v>74.476299999999995</v>
      </c>
      <c r="G96">
        <v>12</v>
      </c>
    </row>
    <row r="97" spans="1:7" x14ac:dyDescent="0.3">
      <c r="A97" t="s">
        <v>241</v>
      </c>
      <c r="B97" t="s">
        <v>41</v>
      </c>
      <c r="C97" t="s">
        <v>242</v>
      </c>
      <c r="E97">
        <v>20.8292</v>
      </c>
      <c r="F97">
        <v>74.748500000000007</v>
      </c>
      <c r="G97">
        <v>12</v>
      </c>
    </row>
    <row r="98" spans="1:7" x14ac:dyDescent="0.3">
      <c r="A98" t="s">
        <v>243</v>
      </c>
      <c r="B98" t="s">
        <v>8</v>
      </c>
      <c r="C98" t="s">
        <v>9</v>
      </c>
      <c r="E98">
        <v>28.366399999999999</v>
      </c>
      <c r="F98">
        <v>76.943600000000004</v>
      </c>
      <c r="G98">
        <v>12</v>
      </c>
    </row>
    <row r="99" spans="1:7" x14ac:dyDescent="0.3">
      <c r="A99" t="s">
        <v>244</v>
      </c>
      <c r="B99" t="s">
        <v>41</v>
      </c>
      <c r="C99" t="s">
        <v>245</v>
      </c>
      <c r="E99">
        <v>19.988299999999999</v>
      </c>
      <c r="F99">
        <v>72.748800000000003</v>
      </c>
      <c r="G99">
        <v>12</v>
      </c>
    </row>
    <row r="100" spans="1:7" x14ac:dyDescent="0.3">
      <c r="A100" t="s">
        <v>246</v>
      </c>
      <c r="B100" t="s">
        <v>64</v>
      </c>
      <c r="C100" t="s">
        <v>65</v>
      </c>
      <c r="E100">
        <v>78.065399999999997</v>
      </c>
      <c r="F100">
        <v>30.3886</v>
      </c>
      <c r="G100">
        <v>12</v>
      </c>
    </row>
    <row r="101" spans="1:7" x14ac:dyDescent="0.3">
      <c r="A101" t="s">
        <v>247</v>
      </c>
      <c r="B101" t="s">
        <v>14</v>
      </c>
      <c r="C101" t="s">
        <v>214</v>
      </c>
      <c r="E101">
        <v>26.880700000000001</v>
      </c>
      <c r="F101">
        <v>75.6143</v>
      </c>
      <c r="G101">
        <v>12</v>
      </c>
    </row>
    <row r="102" spans="1:7" x14ac:dyDescent="0.3">
      <c r="A102" t="s">
        <v>248</v>
      </c>
      <c r="B102" t="s">
        <v>41</v>
      </c>
      <c r="C102" t="s">
        <v>249</v>
      </c>
      <c r="E102">
        <v>18.700500000000002</v>
      </c>
      <c r="F102">
        <v>73.693299999999994</v>
      </c>
      <c r="G102">
        <v>12</v>
      </c>
    </row>
    <row r="103" spans="1:7" x14ac:dyDescent="0.3">
      <c r="A103" t="s">
        <v>250</v>
      </c>
      <c r="B103" t="s">
        <v>251</v>
      </c>
      <c r="C103" t="s">
        <v>252</v>
      </c>
      <c r="E103">
        <v>32.989899999999999</v>
      </c>
      <c r="F103">
        <v>74.9255</v>
      </c>
      <c r="G103">
        <v>12</v>
      </c>
    </row>
    <row r="104" spans="1:7" x14ac:dyDescent="0.3">
      <c r="A104" t="s">
        <v>253</v>
      </c>
      <c r="B104" t="s">
        <v>115</v>
      </c>
      <c r="C104" t="s">
        <v>254</v>
      </c>
      <c r="E104">
        <v>17.412299999999998</v>
      </c>
      <c r="F104">
        <v>78.459800000000001</v>
      </c>
      <c r="G104">
        <v>12</v>
      </c>
    </row>
    <row r="105" spans="1:7" x14ac:dyDescent="0.3">
      <c r="A105" t="s">
        <v>255</v>
      </c>
      <c r="B105" t="s">
        <v>115</v>
      </c>
      <c r="C105" t="s">
        <v>254</v>
      </c>
      <c r="E105">
        <v>17.412500000000001</v>
      </c>
      <c r="F105">
        <v>78.460300000000004</v>
      </c>
      <c r="G105">
        <v>12</v>
      </c>
    </row>
    <row r="106" spans="1:7" x14ac:dyDescent="0.3">
      <c r="A106" t="s">
        <v>256</v>
      </c>
      <c r="B106" t="s">
        <v>8</v>
      </c>
      <c r="C106" t="s">
        <v>257</v>
      </c>
      <c r="E106">
        <v>29.527999999999999</v>
      </c>
      <c r="F106">
        <v>75.132499999999993</v>
      </c>
      <c r="G106">
        <v>12</v>
      </c>
    </row>
    <row r="107" spans="1:7" x14ac:dyDescent="0.3">
      <c r="A107" t="s">
        <v>258</v>
      </c>
      <c r="B107" t="s">
        <v>18</v>
      </c>
      <c r="C107" t="s">
        <v>259</v>
      </c>
      <c r="E107">
        <v>28.580100000000002</v>
      </c>
      <c r="F107">
        <v>77.315200000000004</v>
      </c>
      <c r="G107">
        <v>12</v>
      </c>
    </row>
    <row r="108" spans="1:7" x14ac:dyDescent="0.3">
      <c r="A108" t="s">
        <v>260</v>
      </c>
      <c r="B108" t="s">
        <v>18</v>
      </c>
      <c r="C108" t="s">
        <v>211</v>
      </c>
      <c r="E108">
        <v>28.4648</v>
      </c>
      <c r="F108">
        <v>77.508399999999995</v>
      </c>
      <c r="G108">
        <v>12</v>
      </c>
    </row>
    <row r="109" spans="1:7" x14ac:dyDescent="0.3">
      <c r="A109" t="s">
        <v>261</v>
      </c>
      <c r="B109" t="s">
        <v>14</v>
      </c>
      <c r="C109" t="s">
        <v>262</v>
      </c>
      <c r="E109">
        <v>27.486999999999998</v>
      </c>
      <c r="F109">
        <v>76.052300000000002</v>
      </c>
      <c r="G109">
        <v>12</v>
      </c>
    </row>
    <row r="110" spans="1:7" x14ac:dyDescent="0.3">
      <c r="A110" t="s">
        <v>263</v>
      </c>
      <c r="B110" t="s">
        <v>8</v>
      </c>
      <c r="C110" t="s">
        <v>264</v>
      </c>
      <c r="E110">
        <v>30.2059</v>
      </c>
      <c r="F110">
        <v>76.857500000000002</v>
      </c>
      <c r="G110">
        <v>12</v>
      </c>
    </row>
    <row r="111" spans="1:7" x14ac:dyDescent="0.3">
      <c r="A111" t="s">
        <v>265</v>
      </c>
      <c r="B111" t="s">
        <v>14</v>
      </c>
      <c r="C111" t="s">
        <v>214</v>
      </c>
      <c r="E111">
        <v>26.912099999999999</v>
      </c>
      <c r="F111">
        <v>75.743300000000005</v>
      </c>
      <c r="G111">
        <v>12</v>
      </c>
    </row>
    <row r="112" spans="1:7" x14ac:dyDescent="0.3">
      <c r="A112" t="s">
        <v>266</v>
      </c>
      <c r="B112" t="s">
        <v>41</v>
      </c>
      <c r="C112" t="s">
        <v>267</v>
      </c>
      <c r="E112">
        <v>18.328900000000001</v>
      </c>
      <c r="F112">
        <v>74.779399999999995</v>
      </c>
      <c r="G112">
        <v>12</v>
      </c>
    </row>
    <row r="113" spans="1:7" x14ac:dyDescent="0.3">
      <c r="A113" t="s">
        <v>268</v>
      </c>
      <c r="B113" t="s">
        <v>14</v>
      </c>
      <c r="C113" t="s">
        <v>269</v>
      </c>
      <c r="E113">
        <v>28.1967</v>
      </c>
      <c r="F113">
        <v>76.812799999999996</v>
      </c>
      <c r="G113">
        <v>12</v>
      </c>
    </row>
    <row r="114" spans="1:7" x14ac:dyDescent="0.3">
      <c r="A114" t="s">
        <v>270</v>
      </c>
      <c r="B114" t="s">
        <v>18</v>
      </c>
      <c r="C114" t="s">
        <v>271</v>
      </c>
      <c r="E114">
        <v>27.832699999999999</v>
      </c>
      <c r="F114">
        <v>77.419399999999996</v>
      </c>
      <c r="G114">
        <v>12</v>
      </c>
    </row>
    <row r="115" spans="1:7" x14ac:dyDescent="0.3">
      <c r="A115" t="s">
        <v>272</v>
      </c>
      <c r="B115" t="s">
        <v>18</v>
      </c>
      <c r="C115" t="s">
        <v>273</v>
      </c>
      <c r="E115">
        <v>27.846800000000002</v>
      </c>
      <c r="F115">
        <v>77.408199999999994</v>
      </c>
      <c r="G115">
        <v>12</v>
      </c>
    </row>
    <row r="116" spans="1:7" x14ac:dyDescent="0.3">
      <c r="A116" t="s">
        <v>274</v>
      </c>
      <c r="B116" t="s">
        <v>41</v>
      </c>
      <c r="C116" t="s">
        <v>221</v>
      </c>
      <c r="E116">
        <v>19.970500000000001</v>
      </c>
      <c r="F116">
        <v>73.752799999999993</v>
      </c>
      <c r="G116">
        <v>12</v>
      </c>
    </row>
    <row r="117" spans="1:7" x14ac:dyDescent="0.3">
      <c r="A117" t="s">
        <v>275</v>
      </c>
      <c r="B117" t="s">
        <v>41</v>
      </c>
      <c r="C117" t="s">
        <v>42</v>
      </c>
      <c r="E117">
        <v>18.599599999999999</v>
      </c>
      <c r="F117">
        <v>73.780900000000003</v>
      </c>
      <c r="G117">
        <v>12</v>
      </c>
    </row>
    <row r="118" spans="1:7" x14ac:dyDescent="0.3">
      <c r="A118" t="s">
        <v>276</v>
      </c>
      <c r="B118" t="s">
        <v>150</v>
      </c>
      <c r="C118" t="s">
        <v>277</v>
      </c>
      <c r="E118">
        <v>13.9419</v>
      </c>
      <c r="F118">
        <v>75.581599999999995</v>
      </c>
      <c r="G118">
        <v>12</v>
      </c>
    </row>
    <row r="119" spans="1:7" x14ac:dyDescent="0.3">
      <c r="A119" t="s">
        <v>278</v>
      </c>
      <c r="B119" t="s">
        <v>150</v>
      </c>
      <c r="C119" t="s">
        <v>279</v>
      </c>
      <c r="E119">
        <v>13.145899999999999</v>
      </c>
      <c r="F119">
        <v>75.641900000000007</v>
      </c>
      <c r="G119">
        <v>12</v>
      </c>
    </row>
    <row r="120" spans="1:7" x14ac:dyDescent="0.3">
      <c r="A120" t="s">
        <v>280</v>
      </c>
      <c r="B120" t="s">
        <v>150</v>
      </c>
      <c r="C120" t="s">
        <v>281</v>
      </c>
      <c r="E120">
        <v>13.224399999999999</v>
      </c>
      <c r="F120">
        <v>74.980199999999996</v>
      </c>
      <c r="G120">
        <v>12</v>
      </c>
    </row>
    <row r="121" spans="1:7" x14ac:dyDescent="0.3">
      <c r="A121" t="s">
        <v>282</v>
      </c>
      <c r="B121" t="s">
        <v>150</v>
      </c>
      <c r="C121" t="s">
        <v>283</v>
      </c>
      <c r="E121">
        <v>12.987500000000001</v>
      </c>
      <c r="F121">
        <v>74.8048</v>
      </c>
      <c r="G121">
        <v>12</v>
      </c>
    </row>
    <row r="122" spans="1:7" x14ac:dyDescent="0.3">
      <c r="A122" t="s">
        <v>284</v>
      </c>
      <c r="B122" t="s">
        <v>150</v>
      </c>
      <c r="C122" t="s">
        <v>285</v>
      </c>
      <c r="E122">
        <v>13.2338</v>
      </c>
      <c r="F122">
        <v>74.747100000000003</v>
      </c>
      <c r="G122">
        <v>12</v>
      </c>
    </row>
    <row r="123" spans="1:7" x14ac:dyDescent="0.3">
      <c r="A123" t="s">
        <v>286</v>
      </c>
      <c r="B123" t="s">
        <v>150</v>
      </c>
      <c r="C123" t="s">
        <v>287</v>
      </c>
      <c r="E123">
        <v>13.4381</v>
      </c>
      <c r="F123">
        <v>74.743300000000005</v>
      </c>
      <c r="G123">
        <v>12</v>
      </c>
    </row>
    <row r="124" spans="1:7" x14ac:dyDescent="0.3">
      <c r="A124" t="s">
        <v>288</v>
      </c>
      <c r="B124" t="s">
        <v>150</v>
      </c>
      <c r="C124" t="s">
        <v>289</v>
      </c>
      <c r="E124">
        <v>13.618600000000001</v>
      </c>
      <c r="F124">
        <v>74.691900000000004</v>
      </c>
      <c r="G124">
        <v>12</v>
      </c>
    </row>
    <row r="125" spans="1:7" x14ac:dyDescent="0.3">
      <c r="A125" t="s">
        <v>290</v>
      </c>
      <c r="B125" t="s">
        <v>150</v>
      </c>
      <c r="C125" t="s">
        <v>291</v>
      </c>
      <c r="E125">
        <v>13.333399999999999</v>
      </c>
      <c r="F125">
        <v>74.788399999999996</v>
      </c>
      <c r="G125">
        <v>12</v>
      </c>
    </row>
    <row r="126" spans="1:7" x14ac:dyDescent="0.3">
      <c r="A126" t="s">
        <v>292</v>
      </c>
      <c r="B126" t="s">
        <v>150</v>
      </c>
      <c r="C126" t="s">
        <v>293</v>
      </c>
      <c r="E126">
        <v>13.331899999999999</v>
      </c>
      <c r="F126">
        <v>75.773099999999999</v>
      </c>
      <c r="G126">
        <v>12</v>
      </c>
    </row>
    <row r="127" spans="1:7" x14ac:dyDescent="0.3">
      <c r="A127" t="s">
        <v>294</v>
      </c>
      <c r="B127" t="s">
        <v>8</v>
      </c>
      <c r="C127" t="s">
        <v>87</v>
      </c>
      <c r="E127">
        <v>28.499700000000001</v>
      </c>
      <c r="F127">
        <v>77.0839</v>
      </c>
      <c r="G127">
        <v>12</v>
      </c>
    </row>
    <row r="128" spans="1:7" x14ac:dyDescent="0.3">
      <c r="A128" t="s">
        <v>295</v>
      </c>
      <c r="B128" t="s">
        <v>8</v>
      </c>
      <c r="C128" t="s">
        <v>9</v>
      </c>
      <c r="E128">
        <v>28.459700000000002</v>
      </c>
      <c r="F128">
        <v>77.075800000000001</v>
      </c>
      <c r="G128">
        <v>12</v>
      </c>
    </row>
    <row r="129" spans="1:7" x14ac:dyDescent="0.3">
      <c r="A129" t="s">
        <v>296</v>
      </c>
      <c r="B129" t="s">
        <v>150</v>
      </c>
      <c r="C129" t="s">
        <v>297</v>
      </c>
      <c r="E129">
        <v>13.074</v>
      </c>
      <c r="F129">
        <v>75.002499999999998</v>
      </c>
      <c r="G129">
        <v>12</v>
      </c>
    </row>
    <row r="130" spans="1:7" x14ac:dyDescent="0.3">
      <c r="A130" t="s">
        <v>298</v>
      </c>
      <c r="B130" t="s">
        <v>8</v>
      </c>
      <c r="C130" t="s">
        <v>9</v>
      </c>
      <c r="E130">
        <v>28.3687</v>
      </c>
      <c r="F130">
        <v>76.965999999999994</v>
      </c>
      <c r="G130">
        <v>12</v>
      </c>
    </row>
    <row r="131" spans="1:7" x14ac:dyDescent="0.3">
      <c r="A131" t="s">
        <v>299</v>
      </c>
      <c r="B131" t="s">
        <v>41</v>
      </c>
      <c r="C131" t="s">
        <v>300</v>
      </c>
      <c r="D131" t="s">
        <v>301</v>
      </c>
      <c r="E131">
        <v>13.169102000000001</v>
      </c>
      <c r="F131">
        <v>77.632018000000002</v>
      </c>
      <c r="G131">
        <v>6</v>
      </c>
    </row>
    <row r="132" spans="1:7" x14ac:dyDescent="0.3">
      <c r="A132" t="s">
        <v>302</v>
      </c>
      <c r="B132" t="s">
        <v>41</v>
      </c>
      <c r="C132" t="s">
        <v>300</v>
      </c>
      <c r="D132" t="s">
        <v>303</v>
      </c>
      <c r="E132">
        <v>12.989235499999999</v>
      </c>
      <c r="F132">
        <v>77.727907700000003</v>
      </c>
      <c r="G132">
        <v>6</v>
      </c>
    </row>
    <row r="133" spans="1:7" x14ac:dyDescent="0.3">
      <c r="A133" t="s">
        <v>304</v>
      </c>
      <c r="B133" t="s">
        <v>41</v>
      </c>
      <c r="C133" t="s">
        <v>300</v>
      </c>
      <c r="D133" t="s">
        <v>305</v>
      </c>
      <c r="E133">
        <v>12.9872999191284</v>
      </c>
      <c r="F133">
        <v>77.736396789550795</v>
      </c>
      <c r="G133">
        <v>6</v>
      </c>
    </row>
    <row r="134" spans="1:7" x14ac:dyDescent="0.3">
      <c r="A134" t="s">
        <v>306</v>
      </c>
      <c r="B134" t="s">
        <v>41</v>
      </c>
      <c r="C134" t="s">
        <v>300</v>
      </c>
      <c r="D134" t="s">
        <v>307</v>
      </c>
      <c r="E134">
        <v>12.9739999771118</v>
      </c>
      <c r="F134">
        <v>77.551399230957003</v>
      </c>
      <c r="G134">
        <v>6</v>
      </c>
    </row>
    <row r="135" spans="1:7" x14ac:dyDescent="0.3">
      <c r="A135" t="s">
        <v>308</v>
      </c>
      <c r="B135" t="s">
        <v>41</v>
      </c>
      <c r="C135" t="s">
        <v>300</v>
      </c>
      <c r="D135" t="s">
        <v>309</v>
      </c>
      <c r="E135">
        <v>13.011065</v>
      </c>
      <c r="F135">
        <v>77.554534000000004</v>
      </c>
      <c r="G135">
        <v>6</v>
      </c>
    </row>
    <row r="136" spans="1:7" x14ac:dyDescent="0.3">
      <c r="A136" t="s">
        <v>310</v>
      </c>
      <c r="B136" t="s">
        <v>41</v>
      </c>
      <c r="C136" t="s">
        <v>311</v>
      </c>
      <c r="D136" t="s">
        <v>312</v>
      </c>
      <c r="E136">
        <v>18.561918909924401</v>
      </c>
      <c r="F136">
        <v>73.916680726985405</v>
      </c>
      <c r="G136">
        <v>6</v>
      </c>
    </row>
    <row r="137" spans="1:7" x14ac:dyDescent="0.3">
      <c r="A137" t="s">
        <v>310</v>
      </c>
      <c r="B137" t="s">
        <v>313</v>
      </c>
      <c r="C137" t="s">
        <v>300</v>
      </c>
      <c r="D137" t="s">
        <v>314</v>
      </c>
      <c r="E137">
        <v>12.9970998764038</v>
      </c>
      <c r="F137">
        <v>77.696296691894503</v>
      </c>
      <c r="G137">
        <v>6</v>
      </c>
    </row>
    <row r="138" spans="1:7" x14ac:dyDescent="0.3">
      <c r="A138" t="s">
        <v>315</v>
      </c>
      <c r="B138" t="s">
        <v>313</v>
      </c>
      <c r="C138" t="s">
        <v>300</v>
      </c>
      <c r="D138" t="s">
        <v>316</v>
      </c>
      <c r="E138">
        <v>13.020907100000001</v>
      </c>
      <c r="F138">
        <v>77.597984100000005</v>
      </c>
      <c r="G138">
        <v>6</v>
      </c>
    </row>
    <row r="139" spans="1:7" x14ac:dyDescent="0.3">
      <c r="A139" t="s">
        <v>317</v>
      </c>
      <c r="B139" t="s">
        <v>318</v>
      </c>
      <c r="C139" t="s">
        <v>319</v>
      </c>
      <c r="D139" t="s">
        <v>320</v>
      </c>
      <c r="E139">
        <v>13.0902004241943</v>
      </c>
      <c r="F139">
        <v>80.217498779296903</v>
      </c>
      <c r="G139">
        <v>6</v>
      </c>
    </row>
    <row r="140" spans="1:7" x14ac:dyDescent="0.3">
      <c r="A140" t="s">
        <v>321</v>
      </c>
      <c r="B140" t="s">
        <v>181</v>
      </c>
      <c r="C140" t="s">
        <v>300</v>
      </c>
      <c r="D140" t="s">
        <v>322</v>
      </c>
      <c r="E140">
        <v>12.9689998626709</v>
      </c>
      <c r="F140">
        <v>77.636199951171903</v>
      </c>
      <c r="G140">
        <v>6</v>
      </c>
    </row>
    <row r="141" spans="1:7" x14ac:dyDescent="0.3">
      <c r="A141" t="s">
        <v>323</v>
      </c>
      <c r="B141" t="s">
        <v>181</v>
      </c>
      <c r="C141" t="s">
        <v>300</v>
      </c>
      <c r="D141" t="s">
        <v>324</v>
      </c>
      <c r="E141">
        <v>12.9730997085571</v>
      </c>
      <c r="F141">
        <v>77.603302001953097</v>
      </c>
      <c r="G141">
        <v>6</v>
      </c>
    </row>
    <row r="142" spans="1:7" x14ac:dyDescent="0.3">
      <c r="A142" t="s">
        <v>325</v>
      </c>
      <c r="B142" t="s">
        <v>14</v>
      </c>
      <c r="C142" t="s">
        <v>300</v>
      </c>
      <c r="D142" t="s">
        <v>326</v>
      </c>
      <c r="E142">
        <v>12.934100151061999</v>
      </c>
      <c r="F142">
        <v>77.517196655273395</v>
      </c>
      <c r="G142">
        <v>6</v>
      </c>
    </row>
    <row r="143" spans="1:7" x14ac:dyDescent="0.3">
      <c r="A143" t="s">
        <v>327</v>
      </c>
      <c r="B143" t="s">
        <v>14</v>
      </c>
      <c r="C143" t="s">
        <v>328</v>
      </c>
      <c r="D143" t="s">
        <v>329</v>
      </c>
      <c r="E143">
        <v>17.414199829101602</v>
      </c>
      <c r="F143">
        <v>78.407699584960895</v>
      </c>
      <c r="G143">
        <v>6</v>
      </c>
    </row>
    <row r="144" spans="1:7" x14ac:dyDescent="0.3">
      <c r="A144" t="s">
        <v>330</v>
      </c>
      <c r="B144" t="s">
        <v>331</v>
      </c>
      <c r="C144" t="s">
        <v>328</v>
      </c>
      <c r="D144" t="s">
        <v>332</v>
      </c>
      <c r="E144">
        <v>17.427019099999999</v>
      </c>
      <c r="F144">
        <v>78.443419199999994</v>
      </c>
      <c r="G144">
        <v>6</v>
      </c>
    </row>
    <row r="145" spans="1:7" x14ac:dyDescent="0.3">
      <c r="A145" t="s">
        <v>333</v>
      </c>
      <c r="B145" t="s">
        <v>331</v>
      </c>
      <c r="C145" t="s">
        <v>300</v>
      </c>
      <c r="D145" t="s">
        <v>334</v>
      </c>
      <c r="E145">
        <v>12.922504</v>
      </c>
      <c r="F145">
        <v>77.584760000000003</v>
      </c>
      <c r="G145">
        <v>6</v>
      </c>
    </row>
    <row r="146" spans="1:7" x14ac:dyDescent="0.3">
      <c r="A146" t="s">
        <v>335</v>
      </c>
      <c r="B146" t="s">
        <v>331</v>
      </c>
      <c r="C146" t="s">
        <v>300</v>
      </c>
      <c r="D146" t="s">
        <v>336</v>
      </c>
      <c r="E146">
        <v>13.057629</v>
      </c>
      <c r="F146">
        <v>77.587150699999995</v>
      </c>
      <c r="G146">
        <v>6</v>
      </c>
    </row>
    <row r="147" spans="1:7" x14ac:dyDescent="0.3">
      <c r="A147" t="s">
        <v>337</v>
      </c>
      <c r="B147" t="s">
        <v>331</v>
      </c>
      <c r="C147" t="s">
        <v>300</v>
      </c>
      <c r="D147" t="s">
        <v>338</v>
      </c>
      <c r="E147">
        <v>12.9756002426147</v>
      </c>
      <c r="F147">
        <v>77.641197204589801</v>
      </c>
      <c r="G147">
        <v>6</v>
      </c>
    </row>
    <row r="148" spans="1:7" x14ac:dyDescent="0.3">
      <c r="A148" t="s">
        <v>339</v>
      </c>
      <c r="B148" t="s">
        <v>115</v>
      </c>
      <c r="C148" t="s">
        <v>300</v>
      </c>
      <c r="D148" t="s">
        <v>340</v>
      </c>
      <c r="E148">
        <v>12.922300338745099</v>
      </c>
      <c r="F148">
        <v>77.495498657226605</v>
      </c>
      <c r="G148">
        <v>6</v>
      </c>
    </row>
    <row r="149" spans="1:7" x14ac:dyDescent="0.3">
      <c r="A149" t="s">
        <v>341</v>
      </c>
      <c r="B149" t="s">
        <v>115</v>
      </c>
      <c r="C149" t="s">
        <v>319</v>
      </c>
      <c r="D149" t="s">
        <v>342</v>
      </c>
      <c r="E149">
        <v>12.924970999999999</v>
      </c>
      <c r="F149">
        <v>80.233677</v>
      </c>
      <c r="G149">
        <v>6</v>
      </c>
    </row>
    <row r="150" spans="1:7" x14ac:dyDescent="0.3">
      <c r="A150" t="s">
        <v>343</v>
      </c>
      <c r="B150" t="s">
        <v>115</v>
      </c>
      <c r="C150" t="s">
        <v>319</v>
      </c>
      <c r="D150" t="s">
        <v>344</v>
      </c>
      <c r="E150">
        <v>12.991408399999999</v>
      </c>
      <c r="F150">
        <v>80.214305400000001</v>
      </c>
      <c r="G150">
        <v>6</v>
      </c>
    </row>
    <row r="151" spans="1:7" x14ac:dyDescent="0.3">
      <c r="A151" t="s">
        <v>345</v>
      </c>
      <c r="B151" t="s">
        <v>115</v>
      </c>
      <c r="C151" t="s">
        <v>319</v>
      </c>
      <c r="D151" t="s">
        <v>346</v>
      </c>
      <c r="E151">
        <v>13.049951999999999</v>
      </c>
      <c r="F151">
        <v>80.209498999999994</v>
      </c>
      <c r="G151">
        <v>6</v>
      </c>
    </row>
    <row r="152" spans="1:7" x14ac:dyDescent="0.3">
      <c r="A152" t="s">
        <v>347</v>
      </c>
      <c r="B152" t="s">
        <v>115</v>
      </c>
      <c r="C152" t="s">
        <v>319</v>
      </c>
      <c r="D152" t="s">
        <v>348</v>
      </c>
      <c r="E152">
        <v>13.0734394</v>
      </c>
      <c r="F152">
        <v>80.221495700000006</v>
      </c>
      <c r="G152">
        <v>6</v>
      </c>
    </row>
    <row r="153" spans="1:7" x14ac:dyDescent="0.3">
      <c r="A153" t="s">
        <v>349</v>
      </c>
      <c r="B153" t="s">
        <v>64</v>
      </c>
      <c r="C153" t="s">
        <v>319</v>
      </c>
      <c r="D153" t="s">
        <v>350</v>
      </c>
      <c r="E153">
        <v>13.006066799999999</v>
      </c>
      <c r="F153">
        <v>80.199983500000002</v>
      </c>
      <c r="G153">
        <v>6</v>
      </c>
    </row>
    <row r="154" spans="1:7" x14ac:dyDescent="0.3">
      <c r="A154" t="s">
        <v>351</v>
      </c>
      <c r="B154" t="s">
        <v>352</v>
      </c>
      <c r="C154" t="s">
        <v>300</v>
      </c>
      <c r="D154" t="s">
        <v>353</v>
      </c>
      <c r="E154">
        <v>13.023562999999999</v>
      </c>
      <c r="F154">
        <v>77.635274999999993</v>
      </c>
      <c r="G154">
        <v>6</v>
      </c>
    </row>
    <row r="155" spans="1:7" x14ac:dyDescent="0.3">
      <c r="A155" t="s">
        <v>354</v>
      </c>
      <c r="B155" t="s">
        <v>355</v>
      </c>
      <c r="C155" t="s">
        <v>328</v>
      </c>
      <c r="D155" t="s">
        <v>356</v>
      </c>
      <c r="E155">
        <v>17.485859000000001</v>
      </c>
      <c r="F155">
        <v>78.390420000000006</v>
      </c>
      <c r="G155">
        <v>6</v>
      </c>
    </row>
    <row r="156" spans="1:7" x14ac:dyDescent="0.3">
      <c r="A156" t="s">
        <v>357</v>
      </c>
      <c r="B156" t="s">
        <v>358</v>
      </c>
      <c r="C156" t="s">
        <v>328</v>
      </c>
      <c r="D156" t="s">
        <v>359</v>
      </c>
      <c r="E156">
        <v>17.456842000000002</v>
      </c>
      <c r="F156">
        <v>78.364575000000002</v>
      </c>
      <c r="G156">
        <v>6</v>
      </c>
    </row>
    <row r="157" spans="1:7" x14ac:dyDescent="0.3">
      <c r="A157" t="s">
        <v>360</v>
      </c>
      <c r="B157" t="s">
        <v>361</v>
      </c>
      <c r="C157" t="s">
        <v>319</v>
      </c>
      <c r="D157" t="s">
        <v>362</v>
      </c>
      <c r="E157">
        <v>13.060964999999999</v>
      </c>
      <c r="F157">
        <v>80.248508999999999</v>
      </c>
      <c r="G157">
        <v>6</v>
      </c>
    </row>
    <row r="158" spans="1:7" x14ac:dyDescent="0.3">
      <c r="A158" t="s">
        <v>363</v>
      </c>
      <c r="B158" t="s">
        <v>8</v>
      </c>
      <c r="C158" t="s">
        <v>364</v>
      </c>
      <c r="D158" t="s">
        <v>365</v>
      </c>
      <c r="E158">
        <v>28.633714000000001</v>
      </c>
      <c r="F158">
        <v>77.221903999999995</v>
      </c>
      <c r="G158">
        <v>6</v>
      </c>
    </row>
    <row r="159" spans="1:7" x14ac:dyDescent="0.3">
      <c r="A159" t="s">
        <v>366</v>
      </c>
      <c r="B159" t="s">
        <v>41</v>
      </c>
      <c r="C159" t="s">
        <v>300</v>
      </c>
      <c r="D159" t="s">
        <v>367</v>
      </c>
      <c r="E159">
        <v>12.9941754</v>
      </c>
      <c r="F159">
        <v>77.571209999999994</v>
      </c>
      <c r="G159">
        <v>6</v>
      </c>
    </row>
    <row r="160" spans="1:7" x14ac:dyDescent="0.3">
      <c r="A160" t="s">
        <v>368</v>
      </c>
      <c r="B160" t="s">
        <v>45</v>
      </c>
      <c r="C160" t="s">
        <v>328</v>
      </c>
      <c r="D160" t="s">
        <v>369</v>
      </c>
      <c r="E160">
        <v>17.441011</v>
      </c>
      <c r="F160">
        <v>78.503157999999999</v>
      </c>
      <c r="G160">
        <v>6</v>
      </c>
    </row>
    <row r="161" spans="1:7" x14ac:dyDescent="0.3">
      <c r="A161" t="s">
        <v>370</v>
      </c>
      <c r="B161" t="s">
        <v>371</v>
      </c>
      <c r="C161" t="s">
        <v>328</v>
      </c>
      <c r="D161" t="s">
        <v>372</v>
      </c>
      <c r="E161">
        <v>17.486819000000001</v>
      </c>
      <c r="F161">
        <v>78.543126900000004</v>
      </c>
      <c r="G161">
        <v>6</v>
      </c>
    </row>
    <row r="162" spans="1:7" x14ac:dyDescent="0.3">
      <c r="A162" t="s">
        <v>373</v>
      </c>
      <c r="B162" t="s">
        <v>181</v>
      </c>
      <c r="C162" t="s">
        <v>328</v>
      </c>
      <c r="D162" t="s">
        <v>374</v>
      </c>
      <c r="E162">
        <v>17.400594999999999</v>
      </c>
      <c r="F162">
        <v>78.508077999999998</v>
      </c>
      <c r="G162">
        <v>6</v>
      </c>
    </row>
    <row r="163" spans="1:7" x14ac:dyDescent="0.3">
      <c r="A163" t="s">
        <v>375</v>
      </c>
      <c r="B163" t="s">
        <v>45</v>
      </c>
      <c r="C163" t="s">
        <v>311</v>
      </c>
      <c r="D163" t="s">
        <v>376</v>
      </c>
      <c r="E163">
        <v>18.478838499999998</v>
      </c>
      <c r="F163">
        <v>73.901385599999998</v>
      </c>
      <c r="G163">
        <v>6</v>
      </c>
    </row>
    <row r="164" spans="1:7" x14ac:dyDescent="0.3">
      <c r="A164" t="s">
        <v>377</v>
      </c>
      <c r="B164" t="s">
        <v>45</v>
      </c>
      <c r="C164" t="s">
        <v>328</v>
      </c>
      <c r="D164" t="s">
        <v>378</v>
      </c>
      <c r="E164">
        <v>17.413978400000001</v>
      </c>
      <c r="F164">
        <v>78.327549200000007</v>
      </c>
      <c r="G164">
        <v>6</v>
      </c>
    </row>
    <row r="165" spans="1:7" x14ac:dyDescent="0.3">
      <c r="A165" t="s">
        <v>379</v>
      </c>
      <c r="B165" t="s">
        <v>331</v>
      </c>
      <c r="C165" t="s">
        <v>328</v>
      </c>
      <c r="D165" t="s">
        <v>380</v>
      </c>
      <c r="E165">
        <v>17.391683400000002</v>
      </c>
      <c r="F165">
        <v>78.476672399999998</v>
      </c>
      <c r="G165">
        <v>6</v>
      </c>
    </row>
    <row r="166" spans="1:7" x14ac:dyDescent="0.3">
      <c r="A166" t="s">
        <v>381</v>
      </c>
      <c r="B166" t="s">
        <v>331</v>
      </c>
      <c r="C166" t="s">
        <v>300</v>
      </c>
      <c r="D166" t="s">
        <v>382</v>
      </c>
      <c r="E166">
        <v>13.098157</v>
      </c>
      <c r="F166">
        <v>77.596729999999994</v>
      </c>
      <c r="G166">
        <v>6</v>
      </c>
    </row>
    <row r="167" spans="1:7" x14ac:dyDescent="0.3">
      <c r="A167" t="s">
        <v>383</v>
      </c>
      <c r="B167" t="s">
        <v>68</v>
      </c>
      <c r="C167" t="s">
        <v>300</v>
      </c>
      <c r="D167" t="s">
        <v>384</v>
      </c>
      <c r="E167">
        <v>13.028052000000001</v>
      </c>
      <c r="F167">
        <v>77.572997000000001</v>
      </c>
      <c r="G167">
        <v>6</v>
      </c>
    </row>
    <row r="168" spans="1:7" x14ac:dyDescent="0.3">
      <c r="A168" t="s">
        <v>385</v>
      </c>
      <c r="B168" t="s">
        <v>386</v>
      </c>
      <c r="C168" t="s">
        <v>311</v>
      </c>
      <c r="D168" t="s">
        <v>387</v>
      </c>
      <c r="E168">
        <v>18.505010299999999</v>
      </c>
      <c r="F168">
        <v>73.831623800000003</v>
      </c>
      <c r="G168">
        <v>6</v>
      </c>
    </row>
    <row r="169" spans="1:7" x14ac:dyDescent="0.3">
      <c r="A169" t="s">
        <v>388</v>
      </c>
      <c r="B169" t="s">
        <v>41</v>
      </c>
      <c r="C169" t="s">
        <v>311</v>
      </c>
      <c r="D169" t="s">
        <v>389</v>
      </c>
      <c r="E169">
        <v>18.588767799999999</v>
      </c>
      <c r="F169">
        <v>73.782523100000006</v>
      </c>
      <c r="G169">
        <v>6</v>
      </c>
    </row>
    <row r="170" spans="1:7" x14ac:dyDescent="0.3">
      <c r="A170" t="s">
        <v>390</v>
      </c>
      <c r="B170" t="s">
        <v>391</v>
      </c>
      <c r="C170" t="s">
        <v>311</v>
      </c>
      <c r="D170" t="s">
        <v>392</v>
      </c>
      <c r="E170">
        <v>18.523156700000001</v>
      </c>
      <c r="F170">
        <v>73.847692899999998</v>
      </c>
      <c r="G170">
        <v>6</v>
      </c>
    </row>
    <row r="171" spans="1:7" x14ac:dyDescent="0.3">
      <c r="A171" t="s">
        <v>393</v>
      </c>
      <c r="B171" t="s">
        <v>394</v>
      </c>
      <c r="C171" t="s">
        <v>311</v>
      </c>
      <c r="D171" t="s">
        <v>395</v>
      </c>
      <c r="E171">
        <v>18.525182000000001</v>
      </c>
      <c r="F171">
        <v>73.875860900000006</v>
      </c>
      <c r="G171">
        <v>6</v>
      </c>
    </row>
    <row r="172" spans="1:7" x14ac:dyDescent="0.3">
      <c r="A172" t="s">
        <v>396</v>
      </c>
      <c r="B172" t="s">
        <v>331</v>
      </c>
      <c r="C172" t="s">
        <v>300</v>
      </c>
      <c r="D172" t="s">
        <v>397</v>
      </c>
      <c r="E172">
        <v>12.960699999999999</v>
      </c>
      <c r="F172">
        <v>77.529185999999996</v>
      </c>
      <c r="G172">
        <v>6</v>
      </c>
    </row>
    <row r="173" spans="1:7" x14ac:dyDescent="0.3">
      <c r="A173" t="s">
        <v>398</v>
      </c>
      <c r="B173" t="s">
        <v>150</v>
      </c>
      <c r="C173" t="s">
        <v>319</v>
      </c>
      <c r="D173" t="s">
        <v>399</v>
      </c>
      <c r="E173">
        <v>13.061082300000001</v>
      </c>
      <c r="F173">
        <v>80.151933900000003</v>
      </c>
      <c r="G173">
        <v>6</v>
      </c>
    </row>
    <row r="174" spans="1:7" x14ac:dyDescent="0.3">
      <c r="A174" t="s">
        <v>400</v>
      </c>
      <c r="B174" t="s">
        <v>105</v>
      </c>
      <c r="C174" t="s">
        <v>319</v>
      </c>
      <c r="D174" t="s">
        <v>401</v>
      </c>
      <c r="E174">
        <v>12.950085899999999</v>
      </c>
      <c r="F174">
        <v>80.236562599999999</v>
      </c>
      <c r="G174">
        <v>6</v>
      </c>
    </row>
    <row r="175" spans="1:7" x14ac:dyDescent="0.3">
      <c r="A175" t="s">
        <v>402</v>
      </c>
      <c r="B175" t="s">
        <v>68</v>
      </c>
      <c r="C175" t="s">
        <v>319</v>
      </c>
      <c r="D175" t="s">
        <v>403</v>
      </c>
      <c r="E175">
        <v>13.037040899999999</v>
      </c>
      <c r="F175">
        <v>80.139879500000006</v>
      </c>
      <c r="G175">
        <v>6</v>
      </c>
    </row>
    <row r="176" spans="1:7" x14ac:dyDescent="0.3">
      <c r="A176" t="s">
        <v>404</v>
      </c>
      <c r="B176" t="s">
        <v>405</v>
      </c>
      <c r="C176" t="s">
        <v>328</v>
      </c>
      <c r="D176" t="s">
        <v>406</v>
      </c>
      <c r="E176">
        <v>17.452666000000001</v>
      </c>
      <c r="F176">
        <v>78.380342999999996</v>
      </c>
      <c r="G176">
        <v>6</v>
      </c>
    </row>
    <row r="177" spans="1:7" x14ac:dyDescent="0.3">
      <c r="A177" t="s">
        <v>407</v>
      </c>
      <c r="B177" t="s">
        <v>45</v>
      </c>
      <c r="C177" t="s">
        <v>319</v>
      </c>
      <c r="D177" t="s">
        <v>408</v>
      </c>
      <c r="E177">
        <v>12.9149592</v>
      </c>
      <c r="F177">
        <v>80.192066600000004</v>
      </c>
      <c r="G177">
        <v>6</v>
      </c>
    </row>
    <row r="178" spans="1:7" x14ac:dyDescent="0.3">
      <c r="A178" t="s">
        <v>409</v>
      </c>
      <c r="B178" t="s">
        <v>386</v>
      </c>
      <c r="C178" t="s">
        <v>328</v>
      </c>
      <c r="D178" t="s">
        <v>410</v>
      </c>
      <c r="E178">
        <v>17.447469000000002</v>
      </c>
      <c r="F178">
        <v>78.571749999999994</v>
      </c>
      <c r="G178">
        <v>6</v>
      </c>
    </row>
    <row r="179" spans="1:7" x14ac:dyDescent="0.3">
      <c r="A179" t="s">
        <v>411</v>
      </c>
      <c r="B179" t="s">
        <v>355</v>
      </c>
      <c r="C179" t="s">
        <v>412</v>
      </c>
      <c r="D179" t="s">
        <v>413</v>
      </c>
      <c r="E179">
        <v>23.033166900000001</v>
      </c>
      <c r="F179">
        <v>72.556813300000002</v>
      </c>
      <c r="G179">
        <v>6</v>
      </c>
    </row>
    <row r="180" spans="1:7" x14ac:dyDescent="0.3">
      <c r="A180" t="s">
        <v>414</v>
      </c>
      <c r="B180" t="s">
        <v>355</v>
      </c>
      <c r="C180" t="s">
        <v>415</v>
      </c>
      <c r="D180" t="s">
        <v>416</v>
      </c>
      <c r="E180">
        <v>9.9608539999999994</v>
      </c>
      <c r="F180">
        <v>76.293920700000001</v>
      </c>
      <c r="G180">
        <v>6</v>
      </c>
    </row>
    <row r="181" spans="1:7" x14ac:dyDescent="0.3">
      <c r="A181" t="s">
        <v>417</v>
      </c>
      <c r="B181" t="s">
        <v>418</v>
      </c>
      <c r="C181" t="s">
        <v>415</v>
      </c>
      <c r="D181" t="s">
        <v>419</v>
      </c>
      <c r="E181">
        <v>9.9878415999999994</v>
      </c>
      <c r="F181">
        <v>76.282733300000004</v>
      </c>
      <c r="G181">
        <v>6</v>
      </c>
    </row>
    <row r="182" spans="1:7" x14ac:dyDescent="0.3">
      <c r="A182" t="s">
        <v>420</v>
      </c>
      <c r="B182" t="s">
        <v>49</v>
      </c>
      <c r="C182" t="s">
        <v>415</v>
      </c>
      <c r="D182" t="s">
        <v>421</v>
      </c>
      <c r="E182">
        <v>9.9779338000000006</v>
      </c>
      <c r="F182">
        <v>76.2808706</v>
      </c>
      <c r="G182">
        <v>6</v>
      </c>
    </row>
    <row r="183" spans="1:7" x14ac:dyDescent="0.3">
      <c r="A183" t="s">
        <v>422</v>
      </c>
      <c r="B183" t="s">
        <v>49</v>
      </c>
      <c r="C183" t="s">
        <v>412</v>
      </c>
      <c r="D183" t="s">
        <v>423</v>
      </c>
      <c r="E183">
        <v>23.044056000000001</v>
      </c>
      <c r="F183">
        <v>72.509961599999997</v>
      </c>
      <c r="G183">
        <v>6</v>
      </c>
    </row>
    <row r="184" spans="1:7" x14ac:dyDescent="0.3">
      <c r="A184" t="s">
        <v>424</v>
      </c>
      <c r="B184" t="s">
        <v>49</v>
      </c>
      <c r="C184" t="s">
        <v>412</v>
      </c>
      <c r="D184" t="s">
        <v>425</v>
      </c>
      <c r="E184">
        <v>23.045739999999999</v>
      </c>
      <c r="F184">
        <v>72.483755000000002</v>
      </c>
      <c r="G184">
        <v>6</v>
      </c>
    </row>
    <row r="185" spans="1:7" x14ac:dyDescent="0.3">
      <c r="A185" t="s">
        <v>426</v>
      </c>
      <c r="B185" t="s">
        <v>49</v>
      </c>
      <c r="C185" t="s">
        <v>300</v>
      </c>
      <c r="D185" t="s">
        <v>427</v>
      </c>
      <c r="E185">
        <v>12.917819</v>
      </c>
      <c r="F185">
        <v>77.649209999999997</v>
      </c>
      <c r="G185">
        <v>6</v>
      </c>
    </row>
    <row r="186" spans="1:7" x14ac:dyDescent="0.3">
      <c r="A186" t="s">
        <v>428</v>
      </c>
      <c r="B186" t="s">
        <v>49</v>
      </c>
      <c r="C186" t="s">
        <v>429</v>
      </c>
      <c r="D186" t="s">
        <v>430</v>
      </c>
      <c r="E186">
        <v>18.989356000000001</v>
      </c>
      <c r="F186">
        <v>72.825233999999995</v>
      </c>
      <c r="G186">
        <v>6</v>
      </c>
    </row>
    <row r="187" spans="1:7" x14ac:dyDescent="0.3">
      <c r="A187" t="s">
        <v>431</v>
      </c>
      <c r="B187" t="s">
        <v>49</v>
      </c>
      <c r="C187" t="s">
        <v>319</v>
      </c>
      <c r="D187" t="s">
        <v>432</v>
      </c>
      <c r="E187">
        <v>13.080546500000001</v>
      </c>
      <c r="F187">
        <v>80.197131999999996</v>
      </c>
      <c r="G187">
        <v>6</v>
      </c>
    </row>
    <row r="188" spans="1:7" x14ac:dyDescent="0.3">
      <c r="A188" t="s">
        <v>433</v>
      </c>
      <c r="B188" t="s">
        <v>150</v>
      </c>
      <c r="C188" t="s">
        <v>328</v>
      </c>
      <c r="D188" t="s">
        <v>434</v>
      </c>
      <c r="E188">
        <v>17.3998101</v>
      </c>
      <c r="F188">
        <v>78.555116699999999</v>
      </c>
      <c r="G188">
        <v>6</v>
      </c>
    </row>
    <row r="189" spans="1:7" x14ac:dyDescent="0.3">
      <c r="A189" t="s">
        <v>435</v>
      </c>
      <c r="B189" t="s">
        <v>150</v>
      </c>
      <c r="C189" t="s">
        <v>415</v>
      </c>
      <c r="D189" t="s">
        <v>436</v>
      </c>
      <c r="E189">
        <v>9.9447030999999999</v>
      </c>
      <c r="F189">
        <v>76.292509899999999</v>
      </c>
      <c r="G189">
        <v>6</v>
      </c>
    </row>
    <row r="190" spans="1:7" x14ac:dyDescent="0.3">
      <c r="A190" t="s">
        <v>437</v>
      </c>
      <c r="B190" t="s">
        <v>150</v>
      </c>
      <c r="C190" t="s">
        <v>438</v>
      </c>
      <c r="D190" t="s">
        <v>439</v>
      </c>
      <c r="E190">
        <v>11.2582475</v>
      </c>
      <c r="F190">
        <v>75.774777099999994</v>
      </c>
      <c r="G190">
        <v>6</v>
      </c>
    </row>
    <row r="191" spans="1:7" x14ac:dyDescent="0.3">
      <c r="A191" t="s">
        <v>440</v>
      </c>
      <c r="B191" t="s">
        <v>49</v>
      </c>
      <c r="C191" t="s">
        <v>438</v>
      </c>
      <c r="D191" t="s">
        <v>441</v>
      </c>
      <c r="E191">
        <v>11.269805699999999</v>
      </c>
      <c r="F191">
        <v>75.843645499999994</v>
      </c>
      <c r="G191">
        <v>6</v>
      </c>
    </row>
    <row r="192" spans="1:7" x14ac:dyDescent="0.3">
      <c r="A192" t="s">
        <v>442</v>
      </c>
      <c r="B192" t="s">
        <v>49</v>
      </c>
      <c r="C192" t="s">
        <v>311</v>
      </c>
      <c r="D192" t="s">
        <v>443</v>
      </c>
      <c r="E192">
        <v>18.520778133176499</v>
      </c>
      <c r="F192">
        <v>73.8405353264273</v>
      </c>
      <c r="G192">
        <v>6</v>
      </c>
    </row>
    <row r="193" spans="1:7" x14ac:dyDescent="0.3">
      <c r="A193" t="s">
        <v>444</v>
      </c>
      <c r="B193" t="s">
        <v>14</v>
      </c>
      <c r="C193" t="s">
        <v>319</v>
      </c>
      <c r="D193" t="s">
        <v>445</v>
      </c>
      <c r="E193">
        <v>13.0406526</v>
      </c>
      <c r="F193">
        <v>80.232646000000003</v>
      </c>
      <c r="G193">
        <v>6</v>
      </c>
    </row>
    <row r="194" spans="1:7" x14ac:dyDescent="0.3">
      <c r="A194" t="s">
        <v>446</v>
      </c>
      <c r="B194" t="s">
        <v>418</v>
      </c>
      <c r="C194" t="s">
        <v>311</v>
      </c>
      <c r="D194" t="s">
        <v>447</v>
      </c>
      <c r="E194">
        <v>18.560481875967799</v>
      </c>
      <c r="F194">
        <v>73.805040988109297</v>
      </c>
      <c r="G194">
        <v>6</v>
      </c>
    </row>
    <row r="195" spans="1:7" x14ac:dyDescent="0.3">
      <c r="A195" t="s">
        <v>448</v>
      </c>
      <c r="B195" t="s">
        <v>150</v>
      </c>
      <c r="C195" t="s">
        <v>449</v>
      </c>
      <c r="D195" t="s">
        <v>450</v>
      </c>
      <c r="E195">
        <v>11.026888899999999</v>
      </c>
      <c r="F195">
        <v>76.948569300000003</v>
      </c>
      <c r="G195">
        <v>6</v>
      </c>
    </row>
    <row r="196" spans="1:7" x14ac:dyDescent="0.3">
      <c r="A196" t="s">
        <v>451</v>
      </c>
      <c r="B196" t="s">
        <v>49</v>
      </c>
      <c r="C196" t="s">
        <v>412</v>
      </c>
      <c r="D196" t="s">
        <v>452</v>
      </c>
      <c r="E196">
        <v>23.160601100000001</v>
      </c>
      <c r="F196">
        <v>72.542739100000006</v>
      </c>
      <c r="G196">
        <v>6</v>
      </c>
    </row>
    <row r="197" spans="1:7" x14ac:dyDescent="0.3">
      <c r="A197" t="s">
        <v>453</v>
      </c>
      <c r="B197" t="s">
        <v>49</v>
      </c>
      <c r="C197" t="s">
        <v>449</v>
      </c>
      <c r="D197" t="s">
        <v>454</v>
      </c>
      <c r="E197">
        <v>11.080994199999999</v>
      </c>
      <c r="F197">
        <v>76.991148899999999</v>
      </c>
      <c r="G197">
        <v>6</v>
      </c>
    </row>
    <row r="198" spans="1:7" x14ac:dyDescent="0.3">
      <c r="A198" t="s">
        <v>455</v>
      </c>
      <c r="B198" t="s">
        <v>18</v>
      </c>
      <c r="C198" t="s">
        <v>412</v>
      </c>
      <c r="D198" t="s">
        <v>456</v>
      </c>
      <c r="E198">
        <v>23.1347369</v>
      </c>
      <c r="F198">
        <v>72.541764999999998</v>
      </c>
      <c r="G198">
        <v>6</v>
      </c>
    </row>
    <row r="199" spans="1:7" x14ac:dyDescent="0.3">
      <c r="A199" t="s">
        <v>457</v>
      </c>
      <c r="B199" t="s">
        <v>41</v>
      </c>
      <c r="C199" t="s">
        <v>458</v>
      </c>
      <c r="D199" t="s">
        <v>459</v>
      </c>
      <c r="E199">
        <v>22.466843699999998</v>
      </c>
      <c r="F199">
        <v>88.311155099999993</v>
      </c>
      <c r="G199">
        <v>6</v>
      </c>
    </row>
    <row r="200" spans="1:7" x14ac:dyDescent="0.3">
      <c r="A200" t="s">
        <v>460</v>
      </c>
      <c r="B200" t="s">
        <v>49</v>
      </c>
      <c r="C200" t="s">
        <v>449</v>
      </c>
      <c r="D200" t="s">
        <v>461</v>
      </c>
      <c r="E200">
        <v>10.9984009</v>
      </c>
      <c r="F200">
        <v>76.976531600000001</v>
      </c>
      <c r="G200">
        <v>6</v>
      </c>
    </row>
    <row r="201" spans="1:7" x14ac:dyDescent="0.3">
      <c r="A201" t="s">
        <v>462</v>
      </c>
      <c r="B201" t="s">
        <v>463</v>
      </c>
      <c r="C201" t="s">
        <v>429</v>
      </c>
      <c r="D201" t="s">
        <v>464</v>
      </c>
      <c r="E201">
        <v>19.106207000000001</v>
      </c>
      <c r="F201">
        <v>72.860260999999994</v>
      </c>
      <c r="G201">
        <v>6</v>
      </c>
    </row>
    <row r="202" spans="1:7" x14ac:dyDescent="0.3">
      <c r="A202" t="s">
        <v>465</v>
      </c>
      <c r="B202" t="s">
        <v>463</v>
      </c>
      <c r="C202" t="s">
        <v>429</v>
      </c>
      <c r="D202" t="s">
        <v>466</v>
      </c>
      <c r="E202">
        <v>19.180666168539599</v>
      </c>
      <c r="F202">
        <v>72.946847236364704</v>
      </c>
      <c r="G202">
        <v>6</v>
      </c>
    </row>
    <row r="203" spans="1:7" x14ac:dyDescent="0.3">
      <c r="A203" t="s">
        <v>467</v>
      </c>
      <c r="B203" t="s">
        <v>463</v>
      </c>
      <c r="C203" t="s">
        <v>319</v>
      </c>
      <c r="D203" t="s">
        <v>468</v>
      </c>
      <c r="E203">
        <v>13.0223</v>
      </c>
      <c r="F203">
        <v>80.174899999999994</v>
      </c>
      <c r="G203">
        <v>6</v>
      </c>
    </row>
    <row r="204" spans="1:7" x14ac:dyDescent="0.3">
      <c r="A204" t="s">
        <v>469</v>
      </c>
      <c r="B204" t="s">
        <v>463</v>
      </c>
      <c r="C204" t="s">
        <v>429</v>
      </c>
      <c r="D204" t="s">
        <v>470</v>
      </c>
      <c r="E204">
        <v>19.1303012111998</v>
      </c>
      <c r="F204">
        <v>72.822297234266799</v>
      </c>
      <c r="G204">
        <v>6</v>
      </c>
    </row>
    <row r="205" spans="1:7" x14ac:dyDescent="0.3">
      <c r="A205" t="s">
        <v>471</v>
      </c>
      <c r="B205" t="s">
        <v>8</v>
      </c>
      <c r="C205" t="s">
        <v>311</v>
      </c>
      <c r="D205" t="s">
        <v>472</v>
      </c>
      <c r="E205">
        <v>18.4931152837874</v>
      </c>
      <c r="F205">
        <v>73.815486593164806</v>
      </c>
      <c r="G205">
        <v>6</v>
      </c>
    </row>
    <row r="206" spans="1:7" x14ac:dyDescent="0.3">
      <c r="A206" t="s">
        <v>473</v>
      </c>
      <c r="B206" t="s">
        <v>8</v>
      </c>
      <c r="C206" t="s">
        <v>311</v>
      </c>
      <c r="D206" t="s">
        <v>474</v>
      </c>
      <c r="E206">
        <v>18.518672599999999</v>
      </c>
      <c r="F206">
        <v>73.830296500000003</v>
      </c>
      <c r="G206">
        <v>6</v>
      </c>
    </row>
    <row r="207" spans="1:7" x14ac:dyDescent="0.3">
      <c r="A207" t="s">
        <v>475</v>
      </c>
      <c r="B207" t="s">
        <v>14</v>
      </c>
      <c r="C207" t="s">
        <v>476</v>
      </c>
      <c r="D207" t="s">
        <v>477</v>
      </c>
      <c r="E207">
        <v>28.4109579</v>
      </c>
      <c r="F207">
        <v>77.042484000000002</v>
      </c>
      <c r="G207">
        <v>6</v>
      </c>
    </row>
    <row r="208" spans="1:7" x14ac:dyDescent="0.3">
      <c r="A208" t="s">
        <v>478</v>
      </c>
      <c r="B208" t="s">
        <v>18</v>
      </c>
      <c r="C208" t="s">
        <v>429</v>
      </c>
      <c r="D208" t="s">
        <v>479</v>
      </c>
      <c r="E208">
        <v>19.240236400000001</v>
      </c>
      <c r="F208">
        <v>72.8481819</v>
      </c>
      <c r="G208">
        <v>6</v>
      </c>
    </row>
    <row r="209" spans="1:7" x14ac:dyDescent="0.3">
      <c r="A209" t="s">
        <v>480</v>
      </c>
      <c r="B209" t="s">
        <v>41</v>
      </c>
      <c r="C209" t="s">
        <v>438</v>
      </c>
      <c r="D209" t="s">
        <v>481</v>
      </c>
      <c r="E209">
        <v>11.2586377</v>
      </c>
      <c r="F209">
        <v>75.785704600000003</v>
      </c>
      <c r="G209">
        <v>6</v>
      </c>
    </row>
    <row r="210" spans="1:7" x14ac:dyDescent="0.3">
      <c r="A210" t="s">
        <v>482</v>
      </c>
      <c r="B210" t="s">
        <v>14</v>
      </c>
      <c r="C210" t="s">
        <v>319</v>
      </c>
      <c r="D210" t="s">
        <v>483</v>
      </c>
      <c r="E210">
        <v>13.117155</v>
      </c>
      <c r="F210">
        <v>80.099969999999999</v>
      </c>
      <c r="G210">
        <v>6</v>
      </c>
    </row>
    <row r="211" spans="1:7" x14ac:dyDescent="0.3">
      <c r="A211" t="s">
        <v>484</v>
      </c>
      <c r="B211" t="s">
        <v>41</v>
      </c>
      <c r="C211" t="s">
        <v>415</v>
      </c>
      <c r="D211" t="s">
        <v>485</v>
      </c>
      <c r="E211">
        <v>10.0244123</v>
      </c>
      <c r="F211">
        <v>76.308955800000007</v>
      </c>
      <c r="G211">
        <v>6</v>
      </c>
    </row>
    <row r="212" spans="1:7" x14ac:dyDescent="0.3">
      <c r="A212" t="s">
        <v>486</v>
      </c>
      <c r="B212" t="s">
        <v>41</v>
      </c>
      <c r="C212" t="s">
        <v>487</v>
      </c>
      <c r="D212" t="s">
        <v>488</v>
      </c>
      <c r="E212">
        <v>28.595229100000001</v>
      </c>
      <c r="F212">
        <v>77.382221299999998</v>
      </c>
      <c r="G212">
        <v>6</v>
      </c>
    </row>
    <row r="213" spans="1:7" x14ac:dyDescent="0.3">
      <c r="A213" t="s">
        <v>489</v>
      </c>
      <c r="B213" t="s">
        <v>490</v>
      </c>
      <c r="C213" t="s">
        <v>491</v>
      </c>
      <c r="D213" t="s">
        <v>492</v>
      </c>
      <c r="E213">
        <v>22.7229189</v>
      </c>
      <c r="F213">
        <v>75.879361299999999</v>
      </c>
      <c r="G213">
        <v>6</v>
      </c>
    </row>
    <row r="214" spans="1:7" x14ac:dyDescent="0.3">
      <c r="A214" t="s">
        <v>493</v>
      </c>
      <c r="B214" t="s">
        <v>41</v>
      </c>
      <c r="C214" t="s">
        <v>491</v>
      </c>
      <c r="D214" t="s">
        <v>494</v>
      </c>
      <c r="E214">
        <v>22.695975399999998</v>
      </c>
      <c r="F214">
        <v>75.842210300000005</v>
      </c>
      <c r="G214">
        <v>6</v>
      </c>
    </row>
    <row r="215" spans="1:7" x14ac:dyDescent="0.3">
      <c r="A215" t="s">
        <v>495</v>
      </c>
      <c r="B215" t="s">
        <v>115</v>
      </c>
      <c r="C215" t="s">
        <v>491</v>
      </c>
      <c r="D215" t="s">
        <v>496</v>
      </c>
      <c r="E215">
        <v>22.689781</v>
      </c>
      <c r="F215">
        <v>75.866901999999996</v>
      </c>
      <c r="G215">
        <v>6</v>
      </c>
    </row>
    <row r="216" spans="1:7" x14ac:dyDescent="0.3">
      <c r="A216" t="s">
        <v>497</v>
      </c>
      <c r="B216" t="s">
        <v>45</v>
      </c>
      <c r="C216" t="s">
        <v>364</v>
      </c>
      <c r="D216" t="s">
        <v>498</v>
      </c>
      <c r="E216">
        <v>28.646011000000001</v>
      </c>
      <c r="F216">
        <v>77.296796000000001</v>
      </c>
      <c r="G216">
        <v>6</v>
      </c>
    </row>
    <row r="217" spans="1:7" x14ac:dyDescent="0.3">
      <c r="A217" t="s">
        <v>499</v>
      </c>
      <c r="B217" t="s">
        <v>45</v>
      </c>
      <c r="C217" t="s">
        <v>364</v>
      </c>
      <c r="D217" t="s">
        <v>500</v>
      </c>
      <c r="E217">
        <v>28.689019999999999</v>
      </c>
      <c r="F217">
        <v>77.323102000000006</v>
      </c>
      <c r="G217">
        <v>6</v>
      </c>
    </row>
    <row r="218" spans="1:7" x14ac:dyDescent="0.3">
      <c r="A218" t="s">
        <v>501</v>
      </c>
      <c r="B218" t="s">
        <v>502</v>
      </c>
      <c r="C218" t="s">
        <v>503</v>
      </c>
      <c r="D218" t="s">
        <v>504</v>
      </c>
      <c r="E218">
        <v>21.2404762</v>
      </c>
      <c r="F218">
        <v>81.657497500000005</v>
      </c>
      <c r="G218">
        <v>6</v>
      </c>
    </row>
    <row r="219" spans="1:7" x14ac:dyDescent="0.3">
      <c r="A219" t="s">
        <v>505</v>
      </c>
      <c r="B219" t="s">
        <v>506</v>
      </c>
      <c r="C219" t="s">
        <v>503</v>
      </c>
      <c r="D219" t="s">
        <v>507</v>
      </c>
      <c r="E219">
        <v>21.134229000000001</v>
      </c>
      <c r="F219">
        <v>81.7723096</v>
      </c>
      <c r="G219">
        <v>6</v>
      </c>
    </row>
    <row r="220" spans="1:7" x14ac:dyDescent="0.3">
      <c r="A220" t="s">
        <v>508</v>
      </c>
      <c r="B220" t="s">
        <v>45</v>
      </c>
      <c r="C220" t="s">
        <v>412</v>
      </c>
      <c r="D220" t="s">
        <v>509</v>
      </c>
      <c r="E220">
        <v>23.028197299999999</v>
      </c>
      <c r="F220">
        <v>72.543289200000004</v>
      </c>
      <c r="G220">
        <v>6</v>
      </c>
    </row>
    <row r="221" spans="1:7" x14ac:dyDescent="0.3">
      <c r="A221" t="s">
        <v>510</v>
      </c>
      <c r="B221" t="s">
        <v>511</v>
      </c>
      <c r="C221" t="s">
        <v>512</v>
      </c>
      <c r="D221" t="s">
        <v>513</v>
      </c>
      <c r="E221">
        <v>10.8024024</v>
      </c>
      <c r="F221">
        <v>78.682418100000007</v>
      </c>
      <c r="G221">
        <v>6</v>
      </c>
    </row>
    <row r="222" spans="1:7" x14ac:dyDescent="0.3">
      <c r="A222" t="s">
        <v>514</v>
      </c>
      <c r="B222" t="s">
        <v>386</v>
      </c>
      <c r="C222" t="s">
        <v>512</v>
      </c>
      <c r="D222" t="s">
        <v>515</v>
      </c>
      <c r="E222">
        <v>10.7967137</v>
      </c>
      <c r="F222">
        <v>78.756346699999995</v>
      </c>
      <c r="G222">
        <v>6</v>
      </c>
    </row>
    <row r="223" spans="1:7" x14ac:dyDescent="0.3">
      <c r="A223" t="s">
        <v>516</v>
      </c>
      <c r="B223" t="s">
        <v>41</v>
      </c>
      <c r="C223" t="s">
        <v>476</v>
      </c>
      <c r="D223" t="s">
        <v>517</v>
      </c>
      <c r="E223">
        <v>28.467282300000001</v>
      </c>
      <c r="F223">
        <v>77.092763199999993</v>
      </c>
      <c r="G223">
        <v>6</v>
      </c>
    </row>
    <row r="224" spans="1:7" x14ac:dyDescent="0.3">
      <c r="A224" t="s">
        <v>518</v>
      </c>
      <c r="B224" t="s">
        <v>41</v>
      </c>
      <c r="C224" t="s">
        <v>519</v>
      </c>
      <c r="D224" t="s">
        <v>520</v>
      </c>
      <c r="E224">
        <v>20.0120574</v>
      </c>
      <c r="F224">
        <v>73.746188399999994</v>
      </c>
      <c r="G224">
        <v>6</v>
      </c>
    </row>
    <row r="225" spans="1:7" x14ac:dyDescent="0.3">
      <c r="A225" t="s">
        <v>521</v>
      </c>
      <c r="B225" t="s">
        <v>41</v>
      </c>
      <c r="C225" t="s">
        <v>519</v>
      </c>
      <c r="D225" t="s">
        <v>522</v>
      </c>
      <c r="E225">
        <v>20.0144062</v>
      </c>
      <c r="F225">
        <v>73.698344800000001</v>
      </c>
      <c r="G225">
        <v>6</v>
      </c>
    </row>
    <row r="226" spans="1:7" x14ac:dyDescent="0.3">
      <c r="A226" t="s">
        <v>523</v>
      </c>
      <c r="B226" t="s">
        <v>41</v>
      </c>
      <c r="C226" t="s">
        <v>524</v>
      </c>
      <c r="D226" t="s">
        <v>525</v>
      </c>
      <c r="E226">
        <v>26.901567</v>
      </c>
      <c r="F226">
        <v>75.751925999999997</v>
      </c>
      <c r="G226">
        <v>6</v>
      </c>
    </row>
    <row r="227" spans="1:7" x14ac:dyDescent="0.3">
      <c r="A227" t="s">
        <v>526</v>
      </c>
      <c r="B227" t="s">
        <v>41</v>
      </c>
      <c r="C227" t="s">
        <v>429</v>
      </c>
      <c r="D227" t="s">
        <v>527</v>
      </c>
      <c r="E227">
        <v>19.153811418286601</v>
      </c>
      <c r="F227">
        <v>72.855795719373106</v>
      </c>
      <c r="G227">
        <v>6</v>
      </c>
    </row>
    <row r="228" spans="1:7" x14ac:dyDescent="0.3">
      <c r="A228" t="s">
        <v>528</v>
      </c>
      <c r="B228" t="s">
        <v>41</v>
      </c>
      <c r="C228" t="s">
        <v>449</v>
      </c>
      <c r="D228" t="s">
        <v>529</v>
      </c>
      <c r="E228">
        <v>11.0113482</v>
      </c>
      <c r="F228">
        <v>76.959815899999995</v>
      </c>
      <c r="G228">
        <v>6</v>
      </c>
    </row>
    <row r="229" spans="1:7" x14ac:dyDescent="0.3">
      <c r="A229" t="s">
        <v>530</v>
      </c>
      <c r="B229" t="s">
        <v>41</v>
      </c>
      <c r="C229" t="s">
        <v>429</v>
      </c>
      <c r="D229" t="s">
        <v>531</v>
      </c>
      <c r="E229">
        <v>19.052316305375999</v>
      </c>
      <c r="F229">
        <v>72.901635810936796</v>
      </c>
      <c r="G229">
        <v>6</v>
      </c>
    </row>
    <row r="230" spans="1:7" x14ac:dyDescent="0.3">
      <c r="A230" t="s">
        <v>532</v>
      </c>
      <c r="B230" t="s">
        <v>361</v>
      </c>
      <c r="C230" t="s">
        <v>319</v>
      </c>
      <c r="D230" t="s">
        <v>533</v>
      </c>
      <c r="E230">
        <v>12.9917014</v>
      </c>
      <c r="F230">
        <v>80.232101999999998</v>
      </c>
      <c r="G230">
        <v>6</v>
      </c>
    </row>
    <row r="231" spans="1:7" x14ac:dyDescent="0.3">
      <c r="A231" t="s">
        <v>534</v>
      </c>
      <c r="B231" t="s">
        <v>45</v>
      </c>
      <c r="C231" t="s">
        <v>415</v>
      </c>
      <c r="D231" t="s">
        <v>535</v>
      </c>
      <c r="E231">
        <v>9.9801400000000005</v>
      </c>
      <c r="F231">
        <v>76.317364600000005</v>
      </c>
      <c r="G231">
        <v>6</v>
      </c>
    </row>
    <row r="232" spans="1:7" x14ac:dyDescent="0.3">
      <c r="A232" t="s">
        <v>536</v>
      </c>
      <c r="B232" t="s">
        <v>41</v>
      </c>
      <c r="C232" t="s">
        <v>476</v>
      </c>
      <c r="D232" t="s">
        <v>537</v>
      </c>
      <c r="E232">
        <v>28.4493495</v>
      </c>
      <c r="F232">
        <v>77.031596699999994</v>
      </c>
      <c r="G232">
        <v>6</v>
      </c>
    </row>
    <row r="233" spans="1:7" x14ac:dyDescent="0.3">
      <c r="A233" t="s">
        <v>538</v>
      </c>
      <c r="B233" t="s">
        <v>41</v>
      </c>
      <c r="C233" t="s">
        <v>429</v>
      </c>
      <c r="D233" t="s">
        <v>539</v>
      </c>
      <c r="E233">
        <v>18.928454509660899</v>
      </c>
      <c r="F233">
        <v>72.832030313899693</v>
      </c>
      <c r="G233">
        <v>6</v>
      </c>
    </row>
    <row r="234" spans="1:7" x14ac:dyDescent="0.3">
      <c r="A234" t="s">
        <v>540</v>
      </c>
      <c r="B234" t="s">
        <v>41</v>
      </c>
      <c r="C234" t="s">
        <v>300</v>
      </c>
      <c r="D234" t="s">
        <v>541</v>
      </c>
      <c r="E234">
        <v>12.971406</v>
      </c>
      <c r="F234">
        <v>77.595799</v>
      </c>
      <c r="G234">
        <v>6</v>
      </c>
    </row>
    <row r="235" spans="1:7" x14ac:dyDescent="0.3">
      <c r="A235" t="s">
        <v>542</v>
      </c>
      <c r="B235" t="s">
        <v>386</v>
      </c>
      <c r="C235" t="s">
        <v>512</v>
      </c>
      <c r="D235" t="s">
        <v>543</v>
      </c>
      <c r="E235">
        <v>10.833099300000001</v>
      </c>
      <c r="F235">
        <v>78.684533700000003</v>
      </c>
      <c r="G235">
        <v>6</v>
      </c>
    </row>
    <row r="236" spans="1:7" x14ac:dyDescent="0.3">
      <c r="A236" t="s">
        <v>544</v>
      </c>
      <c r="B236" t="s">
        <v>49</v>
      </c>
      <c r="C236" t="s">
        <v>545</v>
      </c>
      <c r="D236" t="s">
        <v>546</v>
      </c>
      <c r="E236">
        <v>28.691014213153601</v>
      </c>
      <c r="F236">
        <v>77.486384992674004</v>
      </c>
      <c r="G236">
        <v>6</v>
      </c>
    </row>
    <row r="237" spans="1:7" x14ac:dyDescent="0.3">
      <c r="A237" t="s">
        <v>547</v>
      </c>
      <c r="B237" t="s">
        <v>41</v>
      </c>
      <c r="C237" t="s">
        <v>487</v>
      </c>
      <c r="D237" t="s">
        <v>548</v>
      </c>
      <c r="E237">
        <v>28.596757499999999</v>
      </c>
      <c r="F237">
        <v>77.328268899999998</v>
      </c>
      <c r="G237">
        <v>6</v>
      </c>
    </row>
    <row r="238" spans="1:7" x14ac:dyDescent="0.3">
      <c r="A238" t="s">
        <v>549</v>
      </c>
      <c r="B238" t="s">
        <v>115</v>
      </c>
      <c r="C238" t="s">
        <v>429</v>
      </c>
      <c r="D238" t="s">
        <v>550</v>
      </c>
      <c r="E238">
        <v>19.031329899999999</v>
      </c>
      <c r="F238">
        <v>72.8809653</v>
      </c>
      <c r="G238">
        <v>6</v>
      </c>
    </row>
    <row r="239" spans="1:7" x14ac:dyDescent="0.3">
      <c r="A239" t="s">
        <v>551</v>
      </c>
      <c r="B239" t="s">
        <v>502</v>
      </c>
      <c r="C239" t="s">
        <v>545</v>
      </c>
      <c r="D239" t="s">
        <v>552</v>
      </c>
      <c r="E239">
        <v>28.646366499999999</v>
      </c>
      <c r="F239">
        <v>77.367840044179999</v>
      </c>
      <c r="G239">
        <v>6</v>
      </c>
    </row>
    <row r="240" spans="1:7" x14ac:dyDescent="0.3">
      <c r="A240" t="s">
        <v>553</v>
      </c>
      <c r="B240" t="s">
        <v>502</v>
      </c>
      <c r="C240" t="s">
        <v>524</v>
      </c>
      <c r="D240" t="s">
        <v>554</v>
      </c>
      <c r="E240">
        <v>26.911545</v>
      </c>
      <c r="F240">
        <v>75.748760000000004</v>
      </c>
      <c r="G240">
        <v>6</v>
      </c>
    </row>
    <row r="241" spans="1:7" x14ac:dyDescent="0.3">
      <c r="A241" t="s">
        <v>555</v>
      </c>
      <c r="B241" t="s">
        <v>511</v>
      </c>
      <c r="C241" t="s">
        <v>556</v>
      </c>
      <c r="D241" t="s">
        <v>557</v>
      </c>
      <c r="E241">
        <v>15.360651000000001</v>
      </c>
      <c r="F241">
        <v>75.126773999999997</v>
      </c>
      <c r="G241">
        <v>6</v>
      </c>
    </row>
    <row r="242" spans="1:7" x14ac:dyDescent="0.3">
      <c r="A242" t="s">
        <v>558</v>
      </c>
      <c r="B242" t="s">
        <v>463</v>
      </c>
      <c r="C242" t="s">
        <v>556</v>
      </c>
      <c r="D242" t="s">
        <v>559</v>
      </c>
      <c r="E242">
        <v>15.351334</v>
      </c>
      <c r="F242">
        <v>75.141650999999996</v>
      </c>
      <c r="G242">
        <v>6</v>
      </c>
    </row>
    <row r="243" spans="1:7" x14ac:dyDescent="0.3">
      <c r="A243" t="s">
        <v>560</v>
      </c>
      <c r="B243" t="s">
        <v>41</v>
      </c>
      <c r="C243" t="s">
        <v>556</v>
      </c>
      <c r="D243" t="s">
        <v>561</v>
      </c>
      <c r="E243">
        <v>15.351171000000001</v>
      </c>
      <c r="F243">
        <v>75.126191000000006</v>
      </c>
      <c r="G243">
        <v>6</v>
      </c>
    </row>
    <row r="244" spans="1:7" x14ac:dyDescent="0.3">
      <c r="A244" t="s">
        <v>562</v>
      </c>
      <c r="B244" t="s">
        <v>386</v>
      </c>
      <c r="C244" t="s">
        <v>319</v>
      </c>
      <c r="D244" t="s">
        <v>563</v>
      </c>
      <c r="E244">
        <v>12.914903300000001</v>
      </c>
      <c r="F244">
        <v>80.126647199999994</v>
      </c>
      <c r="G244">
        <v>6</v>
      </c>
    </row>
    <row r="245" spans="1:7" x14ac:dyDescent="0.3">
      <c r="A245" t="s">
        <v>564</v>
      </c>
      <c r="B245" t="s">
        <v>386</v>
      </c>
      <c r="C245" t="s">
        <v>565</v>
      </c>
      <c r="D245" t="s">
        <v>566</v>
      </c>
      <c r="E245">
        <v>21.191701599999998</v>
      </c>
      <c r="F245">
        <v>72.790032800000006</v>
      </c>
      <c r="G245">
        <v>6</v>
      </c>
    </row>
    <row r="246" spans="1:7" x14ac:dyDescent="0.3">
      <c r="A246" t="s">
        <v>567</v>
      </c>
      <c r="B246" t="s">
        <v>386</v>
      </c>
      <c r="C246" t="s">
        <v>364</v>
      </c>
      <c r="D246" t="s">
        <v>568</v>
      </c>
      <c r="E246">
        <v>28.7328878</v>
      </c>
      <c r="F246">
        <v>77.084122500000007</v>
      </c>
      <c r="G246">
        <v>6</v>
      </c>
    </row>
    <row r="247" spans="1:7" x14ac:dyDescent="0.3">
      <c r="A247" t="s">
        <v>569</v>
      </c>
      <c r="B247" t="s">
        <v>386</v>
      </c>
      <c r="C247" t="s">
        <v>524</v>
      </c>
      <c r="D247" t="s">
        <v>570</v>
      </c>
      <c r="E247">
        <v>26.854201</v>
      </c>
      <c r="F247">
        <v>75.794614999999993</v>
      </c>
      <c r="G247">
        <v>6</v>
      </c>
    </row>
    <row r="248" spans="1:7" x14ac:dyDescent="0.3">
      <c r="A248" t="s">
        <v>571</v>
      </c>
      <c r="B248" t="s">
        <v>386</v>
      </c>
      <c r="C248" t="s">
        <v>364</v>
      </c>
      <c r="D248" t="s">
        <v>572</v>
      </c>
      <c r="E248">
        <v>28.570513099999999</v>
      </c>
      <c r="F248">
        <v>77.236888800000003</v>
      </c>
      <c r="G248">
        <v>6</v>
      </c>
    </row>
    <row r="249" spans="1:7" x14ac:dyDescent="0.3">
      <c r="A249" t="s">
        <v>573</v>
      </c>
      <c r="B249" t="s">
        <v>386</v>
      </c>
      <c r="C249" t="s">
        <v>438</v>
      </c>
      <c r="D249" t="s">
        <v>574</v>
      </c>
      <c r="E249">
        <v>11.248533</v>
      </c>
      <c r="F249">
        <v>75.833448700000005</v>
      </c>
      <c r="G249">
        <v>6</v>
      </c>
    </row>
    <row r="250" spans="1:7" x14ac:dyDescent="0.3">
      <c r="A250" t="s">
        <v>575</v>
      </c>
      <c r="B250" t="s">
        <v>386</v>
      </c>
      <c r="C250" t="s">
        <v>328</v>
      </c>
      <c r="D250" t="s">
        <v>576</v>
      </c>
      <c r="E250">
        <v>17.4306503</v>
      </c>
      <c r="F250">
        <v>78.402003500000006</v>
      </c>
      <c r="G250">
        <v>6</v>
      </c>
    </row>
    <row r="251" spans="1:7" x14ac:dyDescent="0.3">
      <c r="A251" t="s">
        <v>577</v>
      </c>
      <c r="B251" t="s">
        <v>386</v>
      </c>
      <c r="C251" t="s">
        <v>328</v>
      </c>
      <c r="D251" t="s">
        <v>578</v>
      </c>
      <c r="E251">
        <v>17.4453566</v>
      </c>
      <c r="F251">
        <v>78.355601399999998</v>
      </c>
      <c r="G251">
        <v>6</v>
      </c>
    </row>
    <row r="252" spans="1:7" x14ac:dyDescent="0.3">
      <c r="A252" t="s">
        <v>579</v>
      </c>
      <c r="B252" t="s">
        <v>386</v>
      </c>
      <c r="C252" t="s">
        <v>319</v>
      </c>
      <c r="D252" t="s">
        <v>580</v>
      </c>
      <c r="E252">
        <v>12.9644294</v>
      </c>
      <c r="F252">
        <v>80.2118897</v>
      </c>
      <c r="G252">
        <v>6</v>
      </c>
    </row>
    <row r="253" spans="1:7" x14ac:dyDescent="0.3">
      <c r="A253" t="s">
        <v>581</v>
      </c>
      <c r="B253" t="s">
        <v>68</v>
      </c>
      <c r="C253" t="s">
        <v>328</v>
      </c>
      <c r="D253" t="s">
        <v>582</v>
      </c>
      <c r="E253">
        <v>17.46377</v>
      </c>
      <c r="F253">
        <v>78.308800000000005</v>
      </c>
      <c r="G253">
        <v>6</v>
      </c>
    </row>
    <row r="254" spans="1:7" x14ac:dyDescent="0.3">
      <c r="A254" t="s">
        <v>583</v>
      </c>
      <c r="B254" t="s">
        <v>41</v>
      </c>
      <c r="C254" t="s">
        <v>512</v>
      </c>
      <c r="D254" t="s">
        <v>584</v>
      </c>
      <c r="E254">
        <v>10.824077600000001</v>
      </c>
      <c r="F254">
        <v>78.684925000000007</v>
      </c>
      <c r="G254">
        <v>6</v>
      </c>
    </row>
    <row r="255" spans="1:7" x14ac:dyDescent="0.3">
      <c r="A255" t="s">
        <v>585</v>
      </c>
      <c r="B255" t="s">
        <v>68</v>
      </c>
      <c r="C255" t="s">
        <v>328</v>
      </c>
      <c r="D255" t="s">
        <v>586</v>
      </c>
      <c r="E255">
        <v>17.347629999999999</v>
      </c>
      <c r="F255">
        <v>78.475397000000001</v>
      </c>
      <c r="G255">
        <v>6</v>
      </c>
    </row>
    <row r="256" spans="1:7" x14ac:dyDescent="0.3">
      <c r="A256" t="s">
        <v>587</v>
      </c>
      <c r="B256" t="s">
        <v>68</v>
      </c>
      <c r="C256" t="s">
        <v>565</v>
      </c>
      <c r="D256" t="s">
        <v>588</v>
      </c>
      <c r="E256">
        <v>21.145173700000001</v>
      </c>
      <c r="F256">
        <v>72.756948699999995</v>
      </c>
      <c r="G256">
        <v>6</v>
      </c>
    </row>
    <row r="257" spans="1:7" x14ac:dyDescent="0.3">
      <c r="A257" t="s">
        <v>589</v>
      </c>
      <c r="B257" t="s">
        <v>45</v>
      </c>
      <c r="C257" t="s">
        <v>311</v>
      </c>
      <c r="D257" t="s">
        <v>590</v>
      </c>
      <c r="E257">
        <v>18.648377246378999</v>
      </c>
      <c r="F257">
        <v>73.829866260840106</v>
      </c>
      <c r="G257">
        <v>6</v>
      </c>
    </row>
    <row r="258" spans="1:7" x14ac:dyDescent="0.3">
      <c r="A258" t="s">
        <v>591</v>
      </c>
      <c r="B258" t="s">
        <v>45</v>
      </c>
      <c r="C258" t="s">
        <v>592</v>
      </c>
      <c r="D258" t="s">
        <v>593</v>
      </c>
      <c r="E258">
        <v>17.731454500000002</v>
      </c>
      <c r="F258">
        <v>83.340574899999993</v>
      </c>
      <c r="G258">
        <v>6</v>
      </c>
    </row>
    <row r="259" spans="1:7" x14ac:dyDescent="0.3">
      <c r="A259" t="s">
        <v>594</v>
      </c>
      <c r="B259" t="s">
        <v>41</v>
      </c>
      <c r="C259" t="s">
        <v>592</v>
      </c>
      <c r="D259" t="s">
        <v>595</v>
      </c>
      <c r="E259">
        <v>17.727626999999998</v>
      </c>
      <c r="F259">
        <v>83.295731200000006</v>
      </c>
      <c r="G259">
        <v>6</v>
      </c>
    </row>
    <row r="260" spans="1:7" x14ac:dyDescent="0.3">
      <c r="A260" t="s">
        <v>596</v>
      </c>
      <c r="B260" t="s">
        <v>41</v>
      </c>
      <c r="C260" t="s">
        <v>429</v>
      </c>
      <c r="D260" t="s">
        <v>597</v>
      </c>
      <c r="E260">
        <v>19.0640261000026</v>
      </c>
      <c r="F260">
        <v>73.019715430026196</v>
      </c>
      <c r="G260">
        <v>6</v>
      </c>
    </row>
    <row r="261" spans="1:7" x14ac:dyDescent="0.3">
      <c r="A261" t="s">
        <v>598</v>
      </c>
      <c r="B261" t="s">
        <v>41</v>
      </c>
      <c r="C261" t="s">
        <v>415</v>
      </c>
      <c r="D261" t="s">
        <v>599</v>
      </c>
      <c r="E261">
        <v>9.9721366000000007</v>
      </c>
      <c r="F261">
        <v>76.302076499999998</v>
      </c>
      <c r="G261">
        <v>6</v>
      </c>
    </row>
    <row r="262" spans="1:7" x14ac:dyDescent="0.3">
      <c r="A262" t="s">
        <v>600</v>
      </c>
      <c r="B262" t="s">
        <v>8</v>
      </c>
      <c r="C262" t="s">
        <v>415</v>
      </c>
      <c r="D262" t="s">
        <v>601</v>
      </c>
      <c r="E262">
        <v>9.9618511199951207</v>
      </c>
      <c r="F262">
        <v>76.31884765625</v>
      </c>
      <c r="G262">
        <v>6</v>
      </c>
    </row>
    <row r="263" spans="1:7" x14ac:dyDescent="0.3">
      <c r="A263" t="s">
        <v>602</v>
      </c>
      <c r="B263" t="s">
        <v>8</v>
      </c>
      <c r="C263" t="s">
        <v>415</v>
      </c>
      <c r="D263" t="s">
        <v>603</v>
      </c>
      <c r="E263">
        <v>10.0231762</v>
      </c>
      <c r="F263">
        <v>76.341164399999997</v>
      </c>
      <c r="G263">
        <v>6</v>
      </c>
    </row>
    <row r="264" spans="1:7" x14ac:dyDescent="0.3">
      <c r="A264" t="s">
        <v>604</v>
      </c>
      <c r="B264" t="s">
        <v>8</v>
      </c>
      <c r="C264" t="s">
        <v>415</v>
      </c>
      <c r="D264" t="s">
        <v>605</v>
      </c>
      <c r="E264">
        <v>9.9449301000000006</v>
      </c>
      <c r="F264">
        <v>76.335421100000005</v>
      </c>
      <c r="G264">
        <v>6</v>
      </c>
    </row>
    <row r="265" spans="1:7" x14ac:dyDescent="0.3">
      <c r="A265" t="s">
        <v>606</v>
      </c>
      <c r="B265" t="s">
        <v>8</v>
      </c>
      <c r="C265" t="s">
        <v>438</v>
      </c>
      <c r="D265" t="s">
        <v>607</v>
      </c>
      <c r="E265">
        <v>11.264453</v>
      </c>
      <c r="F265">
        <v>75.777366200000003</v>
      </c>
      <c r="G265">
        <v>6</v>
      </c>
    </row>
    <row r="266" spans="1:7" x14ac:dyDescent="0.3">
      <c r="A266" t="s">
        <v>608</v>
      </c>
      <c r="B266" t="s">
        <v>41</v>
      </c>
      <c r="C266" t="s">
        <v>300</v>
      </c>
      <c r="D266" t="s">
        <v>609</v>
      </c>
      <c r="E266">
        <v>12.9062039682694</v>
      </c>
      <c r="F266">
        <v>77.590809542309501</v>
      </c>
      <c r="G266">
        <v>6</v>
      </c>
    </row>
    <row r="267" spans="1:7" x14ac:dyDescent="0.3">
      <c r="A267" t="s">
        <v>610</v>
      </c>
      <c r="B267" t="s">
        <v>41</v>
      </c>
      <c r="C267" t="s">
        <v>429</v>
      </c>
      <c r="D267" t="s">
        <v>611</v>
      </c>
      <c r="E267">
        <v>19.024608894870401</v>
      </c>
      <c r="F267">
        <v>72.842820210727993</v>
      </c>
      <c r="G267">
        <v>6</v>
      </c>
    </row>
    <row r="268" spans="1:7" x14ac:dyDescent="0.3">
      <c r="A268" t="s">
        <v>612</v>
      </c>
      <c r="B268" t="s">
        <v>41</v>
      </c>
      <c r="C268" t="s">
        <v>519</v>
      </c>
      <c r="D268" t="s">
        <v>613</v>
      </c>
      <c r="E268">
        <v>19.978230702647402</v>
      </c>
      <c r="F268">
        <v>73.746852805904496</v>
      </c>
      <c r="G268">
        <v>6</v>
      </c>
    </row>
    <row r="269" spans="1:7" x14ac:dyDescent="0.3">
      <c r="A269" t="s">
        <v>614</v>
      </c>
      <c r="B269" t="s">
        <v>41</v>
      </c>
      <c r="C269" t="s">
        <v>519</v>
      </c>
      <c r="D269" t="s">
        <v>615</v>
      </c>
      <c r="E269">
        <v>19.971448873709701</v>
      </c>
      <c r="F269">
        <v>73.755905410840896</v>
      </c>
      <c r="G269">
        <v>6</v>
      </c>
    </row>
    <row r="270" spans="1:7" x14ac:dyDescent="0.3">
      <c r="A270" t="s">
        <v>616</v>
      </c>
      <c r="B270" t="s">
        <v>41</v>
      </c>
      <c r="C270" t="s">
        <v>429</v>
      </c>
      <c r="D270" t="s">
        <v>617</v>
      </c>
      <c r="E270">
        <v>19.159395199999999</v>
      </c>
      <c r="F270">
        <v>72.945111999999995</v>
      </c>
      <c r="G270">
        <v>6</v>
      </c>
    </row>
    <row r="271" spans="1:7" x14ac:dyDescent="0.3">
      <c r="A271" t="s">
        <v>618</v>
      </c>
      <c r="B271" t="s">
        <v>68</v>
      </c>
      <c r="C271" t="s">
        <v>429</v>
      </c>
      <c r="D271" t="s">
        <v>619</v>
      </c>
      <c r="E271">
        <v>19.144775822447201</v>
      </c>
      <c r="F271">
        <v>72.937146628405102</v>
      </c>
      <c r="G271">
        <v>6</v>
      </c>
    </row>
    <row r="272" spans="1:7" x14ac:dyDescent="0.3">
      <c r="A272" t="s">
        <v>620</v>
      </c>
      <c r="B272" t="s">
        <v>41</v>
      </c>
      <c r="C272" t="s">
        <v>512</v>
      </c>
      <c r="D272" t="s">
        <v>621</v>
      </c>
      <c r="E272">
        <v>10.826708500000001</v>
      </c>
      <c r="F272">
        <v>78.695911600000002</v>
      </c>
      <c r="G272">
        <v>6</v>
      </c>
    </row>
    <row r="273" spans="1:7" x14ac:dyDescent="0.3">
      <c r="A273" t="s">
        <v>622</v>
      </c>
      <c r="B273" t="s">
        <v>181</v>
      </c>
      <c r="C273" t="s">
        <v>491</v>
      </c>
      <c r="D273" t="s">
        <v>623</v>
      </c>
      <c r="E273">
        <v>22.719446300000001</v>
      </c>
      <c r="F273">
        <v>75.884180999999998</v>
      </c>
      <c r="G273">
        <v>6</v>
      </c>
    </row>
    <row r="274" spans="1:7" x14ac:dyDescent="0.3">
      <c r="A274" t="s">
        <v>624</v>
      </c>
      <c r="B274" t="s">
        <v>18</v>
      </c>
      <c r="C274" t="s">
        <v>625</v>
      </c>
      <c r="D274" t="s">
        <v>626</v>
      </c>
      <c r="E274">
        <v>8.4997772000000005</v>
      </c>
      <c r="F274">
        <v>76.954264699999996</v>
      </c>
      <c r="G274">
        <v>6</v>
      </c>
    </row>
    <row r="275" spans="1:7" x14ac:dyDescent="0.3">
      <c r="A275" t="s">
        <v>627</v>
      </c>
      <c r="B275" t="s">
        <v>511</v>
      </c>
      <c r="C275" t="s">
        <v>592</v>
      </c>
      <c r="D275" t="s">
        <v>628</v>
      </c>
      <c r="E275">
        <v>17.800083799999999</v>
      </c>
      <c r="F275">
        <v>83.3473927</v>
      </c>
      <c r="G275">
        <v>6</v>
      </c>
    </row>
    <row r="276" spans="1:7" x14ac:dyDescent="0.3">
      <c r="A276" t="s">
        <v>629</v>
      </c>
      <c r="B276" t="s">
        <v>463</v>
      </c>
      <c r="C276" t="s">
        <v>592</v>
      </c>
      <c r="D276" t="s">
        <v>630</v>
      </c>
      <c r="E276">
        <v>17.686180499999999</v>
      </c>
      <c r="F276">
        <v>83.206528500000005</v>
      </c>
      <c r="G276">
        <v>6</v>
      </c>
    </row>
    <row r="277" spans="1:7" x14ac:dyDescent="0.3">
      <c r="A277" t="s">
        <v>631</v>
      </c>
      <c r="B277" t="s">
        <v>463</v>
      </c>
      <c r="C277" t="s">
        <v>592</v>
      </c>
      <c r="D277" t="s">
        <v>632</v>
      </c>
      <c r="E277">
        <v>17.685142899999999</v>
      </c>
      <c r="F277">
        <v>83.157866400000003</v>
      </c>
      <c r="G277">
        <v>6</v>
      </c>
    </row>
    <row r="278" spans="1:7" x14ac:dyDescent="0.3">
      <c r="A278" t="s">
        <v>633</v>
      </c>
      <c r="B278" t="s">
        <v>463</v>
      </c>
      <c r="C278" t="s">
        <v>449</v>
      </c>
      <c r="D278" t="s">
        <v>634</v>
      </c>
      <c r="E278">
        <v>10.961166199999999</v>
      </c>
      <c r="F278">
        <v>76.954831999999996</v>
      </c>
      <c r="G278">
        <v>6</v>
      </c>
    </row>
    <row r="279" spans="1:7" x14ac:dyDescent="0.3">
      <c r="A279" t="s">
        <v>635</v>
      </c>
      <c r="B279" t="s">
        <v>405</v>
      </c>
      <c r="C279" t="s">
        <v>449</v>
      </c>
      <c r="D279" t="s">
        <v>636</v>
      </c>
      <c r="E279">
        <v>11.024978000000001</v>
      </c>
      <c r="F279">
        <v>77.166726499999996</v>
      </c>
      <c r="G279">
        <v>6</v>
      </c>
    </row>
    <row r="280" spans="1:7" x14ac:dyDescent="0.3">
      <c r="A280" t="s">
        <v>637</v>
      </c>
      <c r="B280" t="s">
        <v>41</v>
      </c>
      <c r="C280" t="s">
        <v>449</v>
      </c>
      <c r="D280" t="s">
        <v>638</v>
      </c>
      <c r="E280">
        <v>11.175031499999999</v>
      </c>
      <c r="F280">
        <v>77.263438500000007</v>
      </c>
      <c r="G280">
        <v>6</v>
      </c>
    </row>
    <row r="281" spans="1:7" x14ac:dyDescent="0.3">
      <c r="A281" t="s">
        <v>639</v>
      </c>
      <c r="B281" t="s">
        <v>463</v>
      </c>
      <c r="C281" t="s">
        <v>491</v>
      </c>
      <c r="D281" t="s">
        <v>640</v>
      </c>
      <c r="E281">
        <v>22.7431448</v>
      </c>
      <c r="F281">
        <v>75.884112299999998</v>
      </c>
      <c r="G281">
        <v>6</v>
      </c>
    </row>
    <row r="282" spans="1:7" x14ac:dyDescent="0.3">
      <c r="A282" t="s">
        <v>641</v>
      </c>
      <c r="B282" t="s">
        <v>463</v>
      </c>
      <c r="C282" t="s">
        <v>519</v>
      </c>
      <c r="D282" t="s">
        <v>642</v>
      </c>
      <c r="E282">
        <v>19.994445484869701</v>
      </c>
      <c r="F282">
        <v>73.764436759524003</v>
      </c>
      <c r="G282">
        <v>6</v>
      </c>
    </row>
    <row r="283" spans="1:7" x14ac:dyDescent="0.3">
      <c r="A283" t="s">
        <v>643</v>
      </c>
      <c r="B283" t="s">
        <v>463</v>
      </c>
      <c r="C283" t="s">
        <v>438</v>
      </c>
      <c r="D283" t="s">
        <v>644</v>
      </c>
      <c r="E283">
        <v>11.2541077</v>
      </c>
      <c r="F283">
        <v>75.771278300000006</v>
      </c>
      <c r="G283">
        <v>6</v>
      </c>
    </row>
    <row r="284" spans="1:7" x14ac:dyDescent="0.3">
      <c r="A284" t="s">
        <v>645</v>
      </c>
      <c r="B284" t="s">
        <v>115</v>
      </c>
      <c r="C284" t="s">
        <v>646</v>
      </c>
      <c r="D284" t="s">
        <v>647</v>
      </c>
      <c r="E284">
        <v>10.9882867</v>
      </c>
      <c r="F284">
        <v>76.225087400000007</v>
      </c>
      <c r="G284">
        <v>6</v>
      </c>
    </row>
    <row r="285" spans="1:7" x14ac:dyDescent="0.3">
      <c r="A285" t="s">
        <v>648</v>
      </c>
      <c r="B285" t="s">
        <v>115</v>
      </c>
      <c r="C285" t="s">
        <v>412</v>
      </c>
      <c r="D285" t="s">
        <v>649</v>
      </c>
      <c r="E285">
        <v>22.999239800000002</v>
      </c>
      <c r="F285">
        <v>72.659458400000005</v>
      </c>
      <c r="G285">
        <v>6</v>
      </c>
    </row>
    <row r="286" spans="1:7" x14ac:dyDescent="0.3">
      <c r="A286" t="s">
        <v>650</v>
      </c>
      <c r="B286" t="s">
        <v>115</v>
      </c>
      <c r="C286" t="s">
        <v>300</v>
      </c>
      <c r="D286" t="s">
        <v>651</v>
      </c>
      <c r="E286">
        <v>12.971272000000001</v>
      </c>
      <c r="F286">
        <v>77.614552000000003</v>
      </c>
      <c r="G286">
        <v>6</v>
      </c>
    </row>
    <row r="287" spans="1:7" x14ac:dyDescent="0.3">
      <c r="A287" t="s">
        <v>652</v>
      </c>
      <c r="B287" t="s">
        <v>405</v>
      </c>
      <c r="C287" t="s">
        <v>364</v>
      </c>
      <c r="D287" t="s">
        <v>653</v>
      </c>
      <c r="E287">
        <v>28.683936899999999</v>
      </c>
      <c r="F287">
        <v>77.202296799999999</v>
      </c>
      <c r="G287">
        <v>6</v>
      </c>
    </row>
    <row r="288" spans="1:7" x14ac:dyDescent="0.3">
      <c r="A288" t="s">
        <v>654</v>
      </c>
      <c r="B288" t="s">
        <v>418</v>
      </c>
      <c r="C288" t="s">
        <v>364</v>
      </c>
      <c r="D288" t="s">
        <v>655</v>
      </c>
      <c r="E288">
        <v>28.716914500000001</v>
      </c>
      <c r="F288">
        <v>77.168537999999998</v>
      </c>
      <c r="G288">
        <v>6</v>
      </c>
    </row>
    <row r="289" spans="1:7" x14ac:dyDescent="0.3">
      <c r="A289" t="s">
        <v>656</v>
      </c>
      <c r="B289" t="s">
        <v>502</v>
      </c>
      <c r="C289" t="s">
        <v>311</v>
      </c>
      <c r="D289" t="s">
        <v>657</v>
      </c>
      <c r="E289">
        <v>18.653242532425899</v>
      </c>
      <c r="F289">
        <v>73.803401325309295</v>
      </c>
      <c r="G289">
        <v>6</v>
      </c>
    </row>
    <row r="290" spans="1:7" x14ac:dyDescent="0.3">
      <c r="A290" t="s">
        <v>658</v>
      </c>
      <c r="B290" t="s">
        <v>490</v>
      </c>
      <c r="C290" t="s">
        <v>659</v>
      </c>
      <c r="D290" t="s">
        <v>660</v>
      </c>
      <c r="E290">
        <v>15.484519601322299</v>
      </c>
      <c r="F290">
        <v>73.809121797394994</v>
      </c>
      <c r="G290">
        <v>6</v>
      </c>
    </row>
    <row r="291" spans="1:7" x14ac:dyDescent="0.3">
      <c r="A291" t="s">
        <v>661</v>
      </c>
      <c r="B291" t="s">
        <v>14</v>
      </c>
      <c r="C291" t="s">
        <v>659</v>
      </c>
      <c r="D291" t="s">
        <v>662</v>
      </c>
      <c r="E291">
        <v>15.5000488654027</v>
      </c>
      <c r="F291">
        <v>73.914127312739197</v>
      </c>
      <c r="G291">
        <v>6</v>
      </c>
    </row>
    <row r="292" spans="1:7" x14ac:dyDescent="0.3">
      <c r="A292" t="s">
        <v>663</v>
      </c>
      <c r="B292" t="s">
        <v>14</v>
      </c>
      <c r="C292" t="s">
        <v>438</v>
      </c>
      <c r="D292" t="s">
        <v>664</v>
      </c>
      <c r="E292">
        <v>11.2648469</v>
      </c>
      <c r="F292">
        <v>75.810971300000006</v>
      </c>
      <c r="G292">
        <v>6</v>
      </c>
    </row>
    <row r="293" spans="1:7" x14ac:dyDescent="0.3">
      <c r="A293" t="s">
        <v>665</v>
      </c>
      <c r="B293" t="s">
        <v>49</v>
      </c>
      <c r="C293" t="s">
        <v>319</v>
      </c>
      <c r="D293" t="s">
        <v>666</v>
      </c>
      <c r="E293">
        <v>12.8291702</v>
      </c>
      <c r="F293">
        <v>80.2298531</v>
      </c>
      <c r="G293">
        <v>6</v>
      </c>
    </row>
    <row r="294" spans="1:7" x14ac:dyDescent="0.3">
      <c r="A294" t="s">
        <v>667</v>
      </c>
      <c r="B294" t="s">
        <v>18</v>
      </c>
      <c r="C294" t="s">
        <v>668</v>
      </c>
      <c r="D294" t="s">
        <v>669</v>
      </c>
      <c r="E294">
        <v>12.298036</v>
      </c>
      <c r="F294">
        <v>76.663957999999994</v>
      </c>
      <c r="G294">
        <v>6</v>
      </c>
    </row>
    <row r="295" spans="1:7" x14ac:dyDescent="0.3">
      <c r="A295" t="s">
        <v>670</v>
      </c>
      <c r="B295" t="s">
        <v>463</v>
      </c>
      <c r="C295" t="s">
        <v>668</v>
      </c>
      <c r="D295" t="s">
        <v>671</v>
      </c>
      <c r="E295">
        <v>12.326612000000001</v>
      </c>
      <c r="F295">
        <v>76.626866000000007</v>
      </c>
      <c r="G295">
        <v>6</v>
      </c>
    </row>
    <row r="296" spans="1:7" x14ac:dyDescent="0.3">
      <c r="A296" t="s">
        <v>672</v>
      </c>
      <c r="B296" t="s">
        <v>49</v>
      </c>
      <c r="C296" t="s">
        <v>319</v>
      </c>
      <c r="D296" t="s">
        <v>673</v>
      </c>
      <c r="E296">
        <v>13.041662131357301</v>
      </c>
      <c r="F296">
        <v>80.126447402814094</v>
      </c>
      <c r="G296">
        <v>6</v>
      </c>
    </row>
    <row r="297" spans="1:7" x14ac:dyDescent="0.3">
      <c r="A297" t="s">
        <v>674</v>
      </c>
      <c r="B297" t="s">
        <v>49</v>
      </c>
      <c r="C297" t="s">
        <v>319</v>
      </c>
      <c r="D297" t="s">
        <v>675</v>
      </c>
      <c r="E297">
        <v>12.9966632</v>
      </c>
      <c r="F297">
        <v>80.251779200000001</v>
      </c>
      <c r="G297">
        <v>6</v>
      </c>
    </row>
    <row r="298" spans="1:7" x14ac:dyDescent="0.3">
      <c r="A298" t="s">
        <v>676</v>
      </c>
      <c r="B298" t="s">
        <v>41</v>
      </c>
      <c r="C298" t="s">
        <v>319</v>
      </c>
      <c r="D298" t="s">
        <v>677</v>
      </c>
      <c r="E298">
        <v>13.125598999999999</v>
      </c>
      <c r="F298">
        <v>80.224150100000003</v>
      </c>
      <c r="G298">
        <v>6</v>
      </c>
    </row>
    <row r="299" spans="1:7" x14ac:dyDescent="0.3">
      <c r="A299" t="s">
        <v>678</v>
      </c>
      <c r="B299" t="s">
        <v>502</v>
      </c>
      <c r="C299" t="s">
        <v>319</v>
      </c>
      <c r="D299" t="s">
        <v>679</v>
      </c>
      <c r="E299">
        <v>12.905671399999999</v>
      </c>
      <c r="F299">
        <v>80.142139099999994</v>
      </c>
      <c r="G299">
        <v>6</v>
      </c>
    </row>
    <row r="300" spans="1:7" x14ac:dyDescent="0.3">
      <c r="A300" t="s">
        <v>680</v>
      </c>
      <c r="B300" t="s">
        <v>313</v>
      </c>
      <c r="C300" t="s">
        <v>524</v>
      </c>
      <c r="D300" t="s">
        <v>681</v>
      </c>
      <c r="E300">
        <v>26.8898540600064</v>
      </c>
      <c r="F300">
        <v>75.808977542244904</v>
      </c>
      <c r="G300">
        <v>6</v>
      </c>
    </row>
    <row r="301" spans="1:7" x14ac:dyDescent="0.3">
      <c r="A301" t="s">
        <v>682</v>
      </c>
      <c r="B301" t="s">
        <v>68</v>
      </c>
      <c r="C301" t="s">
        <v>476</v>
      </c>
      <c r="D301" t="s">
        <v>683</v>
      </c>
      <c r="E301">
        <v>28.434958999999999</v>
      </c>
      <c r="F301">
        <v>77.044274299999998</v>
      </c>
      <c r="G301">
        <v>6</v>
      </c>
    </row>
    <row r="302" spans="1:7" x14ac:dyDescent="0.3">
      <c r="A302" t="s">
        <v>684</v>
      </c>
      <c r="B302" t="s">
        <v>68</v>
      </c>
      <c r="C302" t="s">
        <v>476</v>
      </c>
      <c r="D302" t="s">
        <v>685</v>
      </c>
      <c r="E302">
        <v>28.5184277</v>
      </c>
      <c r="F302">
        <v>77.071902199999997</v>
      </c>
      <c r="G302">
        <v>6</v>
      </c>
    </row>
    <row r="303" spans="1:7" x14ac:dyDescent="0.3">
      <c r="A303" t="s">
        <v>686</v>
      </c>
      <c r="B303" t="s">
        <v>150</v>
      </c>
      <c r="C303" t="s">
        <v>625</v>
      </c>
      <c r="D303" t="s">
        <v>687</v>
      </c>
      <c r="E303">
        <v>8.5493330000000007</v>
      </c>
      <c r="F303">
        <v>76.877257</v>
      </c>
      <c r="G303">
        <v>6</v>
      </c>
    </row>
    <row r="304" spans="1:7" x14ac:dyDescent="0.3">
      <c r="A304" t="s">
        <v>688</v>
      </c>
      <c r="B304" t="s">
        <v>150</v>
      </c>
      <c r="C304" t="s">
        <v>659</v>
      </c>
      <c r="D304" t="s">
        <v>689</v>
      </c>
      <c r="E304">
        <v>15.4701676</v>
      </c>
      <c r="F304">
        <v>73.826127099999994</v>
      </c>
      <c r="G304">
        <v>6</v>
      </c>
    </row>
    <row r="305" spans="1:7" x14ac:dyDescent="0.3">
      <c r="A305" t="s">
        <v>690</v>
      </c>
      <c r="B305" t="s">
        <v>150</v>
      </c>
      <c r="C305" t="s">
        <v>659</v>
      </c>
      <c r="D305" t="s">
        <v>691</v>
      </c>
      <c r="E305">
        <v>15.485333300000001</v>
      </c>
      <c r="F305">
        <v>73.813587100000007</v>
      </c>
      <c r="G305">
        <v>6</v>
      </c>
    </row>
    <row r="306" spans="1:7" x14ac:dyDescent="0.3">
      <c r="A306" t="s">
        <v>692</v>
      </c>
      <c r="B306" t="s">
        <v>150</v>
      </c>
      <c r="C306" t="s">
        <v>503</v>
      </c>
      <c r="D306" t="s">
        <v>693</v>
      </c>
      <c r="E306">
        <v>21.188934199999998</v>
      </c>
      <c r="F306">
        <v>81.701523199999997</v>
      </c>
      <c r="G306">
        <v>6</v>
      </c>
    </row>
    <row r="307" spans="1:7" x14ac:dyDescent="0.3">
      <c r="A307" t="s">
        <v>694</v>
      </c>
      <c r="B307" t="s">
        <v>150</v>
      </c>
      <c r="C307" t="s">
        <v>524</v>
      </c>
      <c r="D307" t="s">
        <v>695</v>
      </c>
      <c r="E307">
        <v>26.8433189</v>
      </c>
      <c r="F307">
        <v>75.8037396</v>
      </c>
      <c r="G307">
        <v>6</v>
      </c>
    </row>
    <row r="308" spans="1:7" x14ac:dyDescent="0.3">
      <c r="A308" t="s">
        <v>696</v>
      </c>
      <c r="B308" t="s">
        <v>150</v>
      </c>
      <c r="C308" t="s">
        <v>412</v>
      </c>
      <c r="D308" t="s">
        <v>697</v>
      </c>
      <c r="E308">
        <v>23.116852300000001</v>
      </c>
      <c r="F308">
        <v>72.628852199999997</v>
      </c>
      <c r="G308">
        <v>6</v>
      </c>
    </row>
    <row r="309" spans="1:7" x14ac:dyDescent="0.3">
      <c r="A309" t="s">
        <v>698</v>
      </c>
      <c r="B309" t="s">
        <v>49</v>
      </c>
      <c r="C309" t="s">
        <v>364</v>
      </c>
      <c r="D309" t="s">
        <v>699</v>
      </c>
      <c r="E309">
        <v>28.6990084</v>
      </c>
      <c r="F309">
        <v>77.183327399999996</v>
      </c>
      <c r="G309">
        <v>6</v>
      </c>
    </row>
    <row r="310" spans="1:7" x14ac:dyDescent="0.3">
      <c r="A310" t="s">
        <v>700</v>
      </c>
      <c r="B310" t="s">
        <v>49</v>
      </c>
      <c r="C310" t="s">
        <v>412</v>
      </c>
      <c r="D310" t="s">
        <v>701</v>
      </c>
      <c r="E310">
        <v>23.040248999999999</v>
      </c>
      <c r="F310">
        <v>72.630711199999993</v>
      </c>
      <c r="G310">
        <v>6</v>
      </c>
    </row>
    <row r="311" spans="1:7" x14ac:dyDescent="0.3">
      <c r="A311" t="s">
        <v>702</v>
      </c>
      <c r="B311" t="s">
        <v>115</v>
      </c>
      <c r="C311" t="s">
        <v>519</v>
      </c>
      <c r="D311" t="s">
        <v>703</v>
      </c>
      <c r="E311">
        <v>20.005202902104401</v>
      </c>
      <c r="F311">
        <v>73.791297380718007</v>
      </c>
      <c r="G311">
        <v>6</v>
      </c>
    </row>
    <row r="312" spans="1:7" x14ac:dyDescent="0.3">
      <c r="A312" t="s">
        <v>704</v>
      </c>
      <c r="B312" t="s">
        <v>115</v>
      </c>
      <c r="C312" t="s">
        <v>311</v>
      </c>
      <c r="D312" t="s">
        <v>705</v>
      </c>
      <c r="E312">
        <v>18.707715404018099</v>
      </c>
      <c r="F312">
        <v>73.682293073016893</v>
      </c>
      <c r="G312">
        <v>6</v>
      </c>
    </row>
    <row r="313" spans="1:7" x14ac:dyDescent="0.3">
      <c r="A313" t="s">
        <v>706</v>
      </c>
      <c r="B313" t="s">
        <v>115</v>
      </c>
      <c r="C313" t="s">
        <v>311</v>
      </c>
      <c r="D313" t="s">
        <v>707</v>
      </c>
      <c r="E313">
        <v>18.5267515</v>
      </c>
      <c r="F313">
        <v>73.877938200000003</v>
      </c>
      <c r="G313">
        <v>6</v>
      </c>
    </row>
    <row r="314" spans="1:7" x14ac:dyDescent="0.3">
      <c r="A314" t="s">
        <v>708</v>
      </c>
      <c r="B314" t="s">
        <v>115</v>
      </c>
      <c r="C314" t="s">
        <v>524</v>
      </c>
      <c r="D314" t="s">
        <v>709</v>
      </c>
      <c r="E314">
        <v>26.963612000000001</v>
      </c>
      <c r="F314">
        <v>75.781022399999998</v>
      </c>
      <c r="G314">
        <v>6</v>
      </c>
    </row>
    <row r="315" spans="1:7" x14ac:dyDescent="0.3">
      <c r="A315" t="s">
        <v>710</v>
      </c>
      <c r="B315" t="s">
        <v>115</v>
      </c>
      <c r="C315" t="s">
        <v>311</v>
      </c>
      <c r="D315" t="s">
        <v>711</v>
      </c>
      <c r="E315">
        <v>18.4845962800607</v>
      </c>
      <c r="F315">
        <v>73.849681999794498</v>
      </c>
      <c r="G315">
        <v>6</v>
      </c>
    </row>
    <row r="316" spans="1:7" x14ac:dyDescent="0.3">
      <c r="A316" t="s">
        <v>712</v>
      </c>
      <c r="B316" t="s">
        <v>41</v>
      </c>
      <c r="C316" t="s">
        <v>524</v>
      </c>
      <c r="D316" t="s">
        <v>713</v>
      </c>
      <c r="E316">
        <v>26.854720199999999</v>
      </c>
      <c r="F316">
        <v>75.773170800000003</v>
      </c>
      <c r="G316">
        <v>6</v>
      </c>
    </row>
    <row r="317" spans="1:7" x14ac:dyDescent="0.3">
      <c r="A317" t="s">
        <v>714</v>
      </c>
      <c r="B317" t="s">
        <v>41</v>
      </c>
      <c r="C317" t="s">
        <v>659</v>
      </c>
      <c r="D317" t="s">
        <v>715</v>
      </c>
      <c r="E317">
        <v>15.5230657</v>
      </c>
      <c r="F317">
        <v>73.825913</v>
      </c>
      <c r="G317">
        <v>6</v>
      </c>
    </row>
    <row r="318" spans="1:7" x14ac:dyDescent="0.3">
      <c r="A318" t="s">
        <v>716</v>
      </c>
      <c r="B318" t="s">
        <v>41</v>
      </c>
      <c r="C318" t="s">
        <v>328</v>
      </c>
      <c r="D318" t="s">
        <v>717</v>
      </c>
      <c r="E318">
        <v>17.443545799999999</v>
      </c>
      <c r="F318">
        <v>78.479827400000005</v>
      </c>
      <c r="G318">
        <v>6</v>
      </c>
    </row>
    <row r="319" spans="1:7" x14ac:dyDescent="0.3">
      <c r="A319" t="s">
        <v>718</v>
      </c>
      <c r="B319" t="s">
        <v>41</v>
      </c>
      <c r="C319" t="s">
        <v>300</v>
      </c>
      <c r="D319" t="s">
        <v>719</v>
      </c>
      <c r="E319">
        <v>12.982728</v>
      </c>
      <c r="F319">
        <v>77.594178999999997</v>
      </c>
      <c r="G319">
        <v>6</v>
      </c>
    </row>
    <row r="320" spans="1:7" x14ac:dyDescent="0.3">
      <c r="A320" t="s">
        <v>720</v>
      </c>
      <c r="B320" t="s">
        <v>41</v>
      </c>
      <c r="C320" t="s">
        <v>300</v>
      </c>
      <c r="D320" t="s">
        <v>721</v>
      </c>
      <c r="E320">
        <v>12.980553</v>
      </c>
      <c r="F320">
        <v>77.603318000000002</v>
      </c>
      <c r="G320">
        <v>6</v>
      </c>
    </row>
    <row r="321" spans="1:7" x14ac:dyDescent="0.3">
      <c r="A321" t="s">
        <v>722</v>
      </c>
      <c r="B321" t="s">
        <v>41</v>
      </c>
      <c r="C321" t="s">
        <v>723</v>
      </c>
      <c r="D321" t="s">
        <v>724</v>
      </c>
      <c r="E321">
        <v>16.4992397</v>
      </c>
      <c r="F321">
        <v>80.648196299999995</v>
      </c>
      <c r="G321">
        <v>6</v>
      </c>
    </row>
    <row r="322" spans="1:7" x14ac:dyDescent="0.3">
      <c r="A322" t="s">
        <v>725</v>
      </c>
      <c r="B322" t="s">
        <v>45</v>
      </c>
      <c r="C322" t="s">
        <v>668</v>
      </c>
      <c r="D322" t="s">
        <v>726</v>
      </c>
      <c r="E322">
        <v>12.325053</v>
      </c>
      <c r="F322">
        <v>76.611337000000006</v>
      </c>
      <c r="G322">
        <v>6</v>
      </c>
    </row>
    <row r="323" spans="1:7" x14ac:dyDescent="0.3">
      <c r="A323" t="s">
        <v>727</v>
      </c>
      <c r="B323" t="s">
        <v>18</v>
      </c>
      <c r="C323" t="s">
        <v>723</v>
      </c>
      <c r="D323" t="s">
        <v>728</v>
      </c>
      <c r="E323">
        <v>16.5009139</v>
      </c>
      <c r="F323">
        <v>80.647292699999994</v>
      </c>
      <c r="G323">
        <v>6</v>
      </c>
    </row>
    <row r="324" spans="1:7" x14ac:dyDescent="0.3">
      <c r="A324" t="s">
        <v>729</v>
      </c>
      <c r="B324" t="s">
        <v>8</v>
      </c>
      <c r="C324" t="s">
        <v>429</v>
      </c>
      <c r="D324" t="s">
        <v>730</v>
      </c>
      <c r="E324">
        <v>18.9917205</v>
      </c>
      <c r="F324">
        <v>72.841513000000006</v>
      </c>
      <c r="G324">
        <v>6</v>
      </c>
    </row>
    <row r="325" spans="1:7" x14ac:dyDescent="0.3">
      <c r="A325" t="s">
        <v>731</v>
      </c>
      <c r="B325" t="s">
        <v>45</v>
      </c>
      <c r="C325" t="s">
        <v>311</v>
      </c>
      <c r="D325" t="s">
        <v>732</v>
      </c>
      <c r="E325">
        <v>18.5105106</v>
      </c>
      <c r="F325">
        <v>73.781902200000005</v>
      </c>
      <c r="G325">
        <v>6</v>
      </c>
    </row>
    <row r="326" spans="1:7" x14ac:dyDescent="0.3">
      <c r="A326" t="s">
        <v>733</v>
      </c>
      <c r="B326" t="s">
        <v>45</v>
      </c>
      <c r="C326" t="s">
        <v>476</v>
      </c>
      <c r="D326" t="s">
        <v>734</v>
      </c>
      <c r="E326">
        <v>28.428213</v>
      </c>
      <c r="F326">
        <v>77.140545799999998</v>
      </c>
      <c r="G326">
        <v>6</v>
      </c>
    </row>
    <row r="327" spans="1:7" x14ac:dyDescent="0.3">
      <c r="A327" t="s">
        <v>735</v>
      </c>
      <c r="B327" t="s">
        <v>41</v>
      </c>
      <c r="C327" t="s">
        <v>412</v>
      </c>
      <c r="D327" t="s">
        <v>736</v>
      </c>
      <c r="E327">
        <v>23.231620800000002</v>
      </c>
      <c r="F327">
        <v>72.668205799999996</v>
      </c>
      <c r="G327">
        <v>6</v>
      </c>
    </row>
    <row r="328" spans="1:7" x14ac:dyDescent="0.3">
      <c r="A328" t="s">
        <v>737</v>
      </c>
      <c r="B328" t="s">
        <v>41</v>
      </c>
      <c r="C328" t="s">
        <v>412</v>
      </c>
      <c r="D328" t="s">
        <v>738</v>
      </c>
      <c r="E328">
        <v>23.231052399999999</v>
      </c>
      <c r="F328">
        <v>72.648583000000002</v>
      </c>
      <c r="G328">
        <v>6</v>
      </c>
    </row>
    <row r="329" spans="1:7" x14ac:dyDescent="0.3">
      <c r="A329" t="s">
        <v>739</v>
      </c>
      <c r="B329" t="s">
        <v>41</v>
      </c>
      <c r="C329" t="s">
        <v>300</v>
      </c>
      <c r="D329" t="s">
        <v>740</v>
      </c>
      <c r="E329">
        <v>13.189056000000001</v>
      </c>
      <c r="F329">
        <v>77.644524000000004</v>
      </c>
      <c r="G329">
        <v>6</v>
      </c>
    </row>
    <row r="330" spans="1:7" x14ac:dyDescent="0.3">
      <c r="A330" t="s">
        <v>741</v>
      </c>
      <c r="B330" t="s">
        <v>68</v>
      </c>
      <c r="C330" t="s">
        <v>556</v>
      </c>
      <c r="D330" t="s">
        <v>742</v>
      </c>
      <c r="E330">
        <v>15.387874999999999</v>
      </c>
      <c r="F330">
        <v>75.101617899999994</v>
      </c>
      <c r="G330">
        <v>6</v>
      </c>
    </row>
    <row r="331" spans="1:7" x14ac:dyDescent="0.3">
      <c r="A331" t="s">
        <v>743</v>
      </c>
      <c r="B331" t="s">
        <v>150</v>
      </c>
      <c r="C331" t="s">
        <v>659</v>
      </c>
      <c r="D331" t="s">
        <v>744</v>
      </c>
      <c r="E331">
        <v>15.594048727439899</v>
      </c>
      <c r="F331">
        <v>73.734902334123802</v>
      </c>
      <c r="G331">
        <v>6</v>
      </c>
    </row>
    <row r="332" spans="1:7" x14ac:dyDescent="0.3">
      <c r="A332" t="s">
        <v>745</v>
      </c>
      <c r="B332" t="s">
        <v>41</v>
      </c>
      <c r="C332" t="s">
        <v>746</v>
      </c>
      <c r="D332" t="s">
        <v>747</v>
      </c>
      <c r="E332">
        <v>26.7286006</v>
      </c>
      <c r="F332">
        <v>88.416357500000004</v>
      </c>
      <c r="G332">
        <v>6</v>
      </c>
    </row>
    <row r="333" spans="1:7" x14ac:dyDescent="0.3">
      <c r="A333" t="s">
        <v>748</v>
      </c>
      <c r="B333" t="s">
        <v>41</v>
      </c>
      <c r="C333" t="s">
        <v>746</v>
      </c>
      <c r="D333" t="s">
        <v>749</v>
      </c>
      <c r="E333">
        <v>26.755578499999999</v>
      </c>
      <c r="F333">
        <v>88.441823200000002</v>
      </c>
      <c r="G333">
        <v>6</v>
      </c>
    </row>
    <row r="334" spans="1:7" x14ac:dyDescent="0.3">
      <c r="A334" t="s">
        <v>750</v>
      </c>
      <c r="B334" t="s">
        <v>41</v>
      </c>
      <c r="C334" t="s">
        <v>668</v>
      </c>
      <c r="D334" t="s">
        <v>751</v>
      </c>
      <c r="E334">
        <v>12.316689</v>
      </c>
      <c r="F334">
        <v>76.603223</v>
      </c>
      <c r="G334">
        <v>6</v>
      </c>
    </row>
    <row r="335" spans="1:7" x14ac:dyDescent="0.3">
      <c r="A335" t="s">
        <v>752</v>
      </c>
      <c r="B335" t="s">
        <v>18</v>
      </c>
      <c r="C335" t="s">
        <v>503</v>
      </c>
      <c r="D335" t="s">
        <v>753</v>
      </c>
      <c r="E335">
        <v>21.243932000000001</v>
      </c>
      <c r="F335">
        <v>81.634728300000006</v>
      </c>
      <c r="G335">
        <v>6</v>
      </c>
    </row>
    <row r="336" spans="1:7" x14ac:dyDescent="0.3">
      <c r="A336" t="s">
        <v>754</v>
      </c>
      <c r="B336" t="s">
        <v>18</v>
      </c>
      <c r="C336" t="s">
        <v>364</v>
      </c>
      <c r="D336" t="s">
        <v>755</v>
      </c>
      <c r="E336">
        <v>28.625590899999999</v>
      </c>
      <c r="F336">
        <v>77.1009332</v>
      </c>
      <c r="G336">
        <v>6</v>
      </c>
    </row>
    <row r="337" spans="1:7" x14ac:dyDescent="0.3">
      <c r="A337" t="s">
        <v>756</v>
      </c>
      <c r="B337" t="s">
        <v>115</v>
      </c>
      <c r="C337" t="s">
        <v>565</v>
      </c>
      <c r="D337" t="s">
        <v>757</v>
      </c>
      <c r="E337">
        <v>21.152949599999999</v>
      </c>
      <c r="F337">
        <v>72.778544999999994</v>
      </c>
      <c r="G337">
        <v>6</v>
      </c>
    </row>
    <row r="338" spans="1:7" x14ac:dyDescent="0.3">
      <c r="A338" t="s">
        <v>758</v>
      </c>
      <c r="B338" t="s">
        <v>115</v>
      </c>
      <c r="C338" t="s">
        <v>759</v>
      </c>
      <c r="D338" t="s">
        <v>760</v>
      </c>
      <c r="E338">
        <v>26.845889499999998</v>
      </c>
      <c r="F338">
        <v>80.937918400000001</v>
      </c>
      <c r="G338">
        <v>6</v>
      </c>
    </row>
    <row r="339" spans="1:7" x14ac:dyDescent="0.3">
      <c r="A339" t="s">
        <v>761</v>
      </c>
      <c r="B339" t="s">
        <v>115</v>
      </c>
      <c r="C339" t="s">
        <v>429</v>
      </c>
      <c r="D339" t="s">
        <v>762</v>
      </c>
      <c r="E339">
        <v>19.0687045429028</v>
      </c>
      <c r="F339">
        <v>73.022986920699907</v>
      </c>
      <c r="G339">
        <v>6</v>
      </c>
    </row>
    <row r="340" spans="1:7" x14ac:dyDescent="0.3">
      <c r="A340" t="s">
        <v>763</v>
      </c>
      <c r="B340" t="s">
        <v>115</v>
      </c>
      <c r="C340" t="s">
        <v>625</v>
      </c>
      <c r="D340" t="s">
        <v>764</v>
      </c>
      <c r="E340">
        <v>8.5145049000000004</v>
      </c>
      <c r="F340">
        <v>76.943717300000003</v>
      </c>
      <c r="G340">
        <v>6</v>
      </c>
    </row>
    <row r="341" spans="1:7" x14ac:dyDescent="0.3">
      <c r="A341" t="s">
        <v>765</v>
      </c>
      <c r="B341" t="s">
        <v>49</v>
      </c>
      <c r="C341" t="s">
        <v>319</v>
      </c>
      <c r="D341" t="s">
        <v>766</v>
      </c>
      <c r="E341">
        <v>13.012477129717499</v>
      </c>
      <c r="F341">
        <v>80.220603289663103</v>
      </c>
      <c r="G341">
        <v>6</v>
      </c>
    </row>
    <row r="342" spans="1:7" x14ac:dyDescent="0.3">
      <c r="A342" t="s">
        <v>767</v>
      </c>
      <c r="B342" t="s">
        <v>18</v>
      </c>
      <c r="C342" t="s">
        <v>625</v>
      </c>
      <c r="D342" t="s">
        <v>768</v>
      </c>
      <c r="E342">
        <v>8.4547742394457899</v>
      </c>
      <c r="F342">
        <v>77.002449035377794</v>
      </c>
      <c r="G342">
        <v>6</v>
      </c>
    </row>
    <row r="343" spans="1:7" x14ac:dyDescent="0.3">
      <c r="A343" t="s">
        <v>769</v>
      </c>
      <c r="B343" t="s">
        <v>18</v>
      </c>
      <c r="C343" t="s">
        <v>625</v>
      </c>
      <c r="D343" t="s">
        <v>770</v>
      </c>
      <c r="E343">
        <v>8.5339646298222291</v>
      </c>
      <c r="F343">
        <v>76.880734118697106</v>
      </c>
      <c r="G343">
        <v>6</v>
      </c>
    </row>
    <row r="344" spans="1:7" x14ac:dyDescent="0.3">
      <c r="A344" t="s">
        <v>771</v>
      </c>
      <c r="B344" t="s">
        <v>41</v>
      </c>
      <c r="C344" t="s">
        <v>328</v>
      </c>
      <c r="D344" t="s">
        <v>772</v>
      </c>
      <c r="E344">
        <v>17.377497000000002</v>
      </c>
      <c r="F344">
        <v>78.558084899999997</v>
      </c>
      <c r="G344">
        <v>6</v>
      </c>
    </row>
    <row r="345" spans="1:7" x14ac:dyDescent="0.3">
      <c r="A345" t="s">
        <v>773</v>
      </c>
      <c r="B345" t="s">
        <v>41</v>
      </c>
      <c r="C345" t="s">
        <v>759</v>
      </c>
      <c r="D345" t="s">
        <v>774</v>
      </c>
      <c r="E345">
        <v>26.897955700000001</v>
      </c>
      <c r="F345">
        <v>80.966458900000006</v>
      </c>
      <c r="G345">
        <v>6</v>
      </c>
    </row>
    <row r="346" spans="1:7" x14ac:dyDescent="0.3">
      <c r="A346" t="s">
        <v>775</v>
      </c>
      <c r="B346" t="s">
        <v>68</v>
      </c>
      <c r="C346" t="s">
        <v>759</v>
      </c>
      <c r="D346" t="s">
        <v>776</v>
      </c>
      <c r="E346">
        <v>26.872754700000002</v>
      </c>
      <c r="F346">
        <v>80.940711899999997</v>
      </c>
      <c r="G346">
        <v>6</v>
      </c>
    </row>
    <row r="347" spans="1:7" x14ac:dyDescent="0.3">
      <c r="A347" t="s">
        <v>777</v>
      </c>
      <c r="B347" t="s">
        <v>68</v>
      </c>
      <c r="C347" t="s">
        <v>759</v>
      </c>
      <c r="D347" t="s">
        <v>778</v>
      </c>
      <c r="E347">
        <v>26.799112399999999</v>
      </c>
      <c r="F347">
        <v>80.898258900000002</v>
      </c>
      <c r="G347">
        <v>6</v>
      </c>
    </row>
    <row r="348" spans="1:7" x14ac:dyDescent="0.3">
      <c r="A348" t="s">
        <v>779</v>
      </c>
      <c r="B348" t="s">
        <v>8</v>
      </c>
      <c r="C348" t="s">
        <v>545</v>
      </c>
      <c r="D348" t="s">
        <v>780</v>
      </c>
      <c r="E348">
        <v>28.674931600000001</v>
      </c>
      <c r="F348">
        <v>77.398238199999994</v>
      </c>
      <c r="G348">
        <v>6</v>
      </c>
    </row>
    <row r="349" spans="1:7" x14ac:dyDescent="0.3">
      <c r="A349" t="s">
        <v>781</v>
      </c>
      <c r="B349" t="s">
        <v>150</v>
      </c>
      <c r="C349" t="s">
        <v>487</v>
      </c>
      <c r="D349" t="s">
        <v>782</v>
      </c>
      <c r="E349">
        <v>28.4646154</v>
      </c>
      <c r="F349">
        <v>77.508034300000006</v>
      </c>
      <c r="G349">
        <v>6</v>
      </c>
    </row>
    <row r="350" spans="1:7" x14ac:dyDescent="0.3">
      <c r="A350" t="s">
        <v>783</v>
      </c>
      <c r="B350" t="s">
        <v>41</v>
      </c>
      <c r="C350" t="s">
        <v>438</v>
      </c>
      <c r="D350" t="s">
        <v>784</v>
      </c>
      <c r="E350">
        <v>11.296198</v>
      </c>
      <c r="F350">
        <v>75.830781700000003</v>
      </c>
      <c r="G350">
        <v>6</v>
      </c>
    </row>
    <row r="351" spans="1:7" x14ac:dyDescent="0.3">
      <c r="A351" t="s">
        <v>785</v>
      </c>
      <c r="B351" t="s">
        <v>45</v>
      </c>
      <c r="C351" t="s">
        <v>746</v>
      </c>
      <c r="D351" t="s">
        <v>786</v>
      </c>
      <c r="E351">
        <v>26.7321074</v>
      </c>
      <c r="F351">
        <v>88.432271200000002</v>
      </c>
      <c r="G351">
        <v>6</v>
      </c>
    </row>
    <row r="352" spans="1:7" x14ac:dyDescent="0.3">
      <c r="A352" t="s">
        <v>787</v>
      </c>
      <c r="B352" t="s">
        <v>41</v>
      </c>
      <c r="C352" t="s">
        <v>592</v>
      </c>
      <c r="D352" t="s">
        <v>788</v>
      </c>
      <c r="E352">
        <v>17.799256</v>
      </c>
      <c r="F352">
        <v>83.210796999999999</v>
      </c>
      <c r="G352">
        <v>6</v>
      </c>
    </row>
    <row r="353" spans="1:7" x14ac:dyDescent="0.3">
      <c r="A353" t="s">
        <v>789</v>
      </c>
      <c r="B353" t="s">
        <v>49</v>
      </c>
      <c r="C353" t="s">
        <v>790</v>
      </c>
      <c r="D353" t="s">
        <v>791</v>
      </c>
      <c r="E353">
        <v>21.129812213883</v>
      </c>
      <c r="F353">
        <v>79.114860717733507</v>
      </c>
      <c r="G353">
        <v>6</v>
      </c>
    </row>
    <row r="354" spans="1:7" x14ac:dyDescent="0.3">
      <c r="A354" t="s">
        <v>792</v>
      </c>
      <c r="B354" t="s">
        <v>14</v>
      </c>
      <c r="C354" t="s">
        <v>790</v>
      </c>
      <c r="D354" t="s">
        <v>793</v>
      </c>
      <c r="E354">
        <v>21.148294</v>
      </c>
      <c r="F354">
        <v>79.128433999999999</v>
      </c>
      <c r="G354">
        <v>6</v>
      </c>
    </row>
    <row r="355" spans="1:7" x14ac:dyDescent="0.3">
      <c r="A355" t="s">
        <v>794</v>
      </c>
      <c r="B355" t="s">
        <v>386</v>
      </c>
      <c r="C355" t="s">
        <v>487</v>
      </c>
      <c r="D355" t="s">
        <v>795</v>
      </c>
      <c r="E355">
        <v>28.512393599999999</v>
      </c>
      <c r="F355">
        <v>77.374311300000002</v>
      </c>
      <c r="G355">
        <v>6</v>
      </c>
    </row>
    <row r="356" spans="1:7" x14ac:dyDescent="0.3">
      <c r="A356" t="s">
        <v>796</v>
      </c>
      <c r="B356" t="s">
        <v>68</v>
      </c>
      <c r="C356" t="s">
        <v>300</v>
      </c>
      <c r="D356" t="s">
        <v>797</v>
      </c>
      <c r="E356">
        <v>13.025618</v>
      </c>
      <c r="F356">
        <v>77.629121999999995</v>
      </c>
      <c r="G356">
        <v>6</v>
      </c>
    </row>
    <row r="357" spans="1:7" x14ac:dyDescent="0.3">
      <c r="A357" t="s">
        <v>798</v>
      </c>
      <c r="B357" t="s">
        <v>41</v>
      </c>
      <c r="C357" t="s">
        <v>503</v>
      </c>
      <c r="D357" t="s">
        <v>799</v>
      </c>
      <c r="E357">
        <v>21.239993999999999</v>
      </c>
      <c r="F357">
        <v>81.684089799999995</v>
      </c>
      <c r="G357">
        <v>6</v>
      </c>
    </row>
    <row r="358" spans="1:7" x14ac:dyDescent="0.3">
      <c r="A358" t="s">
        <v>800</v>
      </c>
      <c r="B358" t="s">
        <v>18</v>
      </c>
      <c r="C358" t="s">
        <v>429</v>
      </c>
      <c r="D358" t="s">
        <v>801</v>
      </c>
      <c r="E358">
        <v>19.114614599999999</v>
      </c>
      <c r="F358">
        <v>72.884094099999999</v>
      </c>
      <c r="G358">
        <v>6</v>
      </c>
    </row>
    <row r="359" spans="1:7" x14ac:dyDescent="0.3">
      <c r="A359" t="s">
        <v>802</v>
      </c>
      <c r="B359" t="s">
        <v>18</v>
      </c>
      <c r="C359" t="s">
        <v>300</v>
      </c>
      <c r="D359" t="s">
        <v>803</v>
      </c>
      <c r="E359">
        <v>12.942047000000001</v>
      </c>
      <c r="F359">
        <v>77.631058999999993</v>
      </c>
      <c r="G359">
        <v>6</v>
      </c>
    </row>
    <row r="360" spans="1:7" x14ac:dyDescent="0.3">
      <c r="A360" t="s">
        <v>804</v>
      </c>
      <c r="B360" t="s">
        <v>64</v>
      </c>
      <c r="C360" t="s">
        <v>659</v>
      </c>
      <c r="D360" t="s">
        <v>805</v>
      </c>
      <c r="E360">
        <v>15.225126400000001</v>
      </c>
      <c r="F360">
        <v>73.979532800000001</v>
      </c>
      <c r="G360">
        <v>6</v>
      </c>
    </row>
    <row r="361" spans="1:7" x14ac:dyDescent="0.3">
      <c r="A361" t="s">
        <v>806</v>
      </c>
      <c r="B361" t="s">
        <v>807</v>
      </c>
      <c r="C361" t="s">
        <v>311</v>
      </c>
      <c r="D361" t="s">
        <v>808</v>
      </c>
      <c r="E361">
        <v>18.487922539829501</v>
      </c>
      <c r="F361">
        <v>73.872762703908904</v>
      </c>
      <c r="G361">
        <v>6</v>
      </c>
    </row>
    <row r="362" spans="1:7" x14ac:dyDescent="0.3">
      <c r="A362" t="s">
        <v>809</v>
      </c>
      <c r="B362" t="s">
        <v>49</v>
      </c>
      <c r="C362" t="s">
        <v>646</v>
      </c>
      <c r="D362" t="s">
        <v>810</v>
      </c>
      <c r="E362">
        <v>10.9841315056431</v>
      </c>
      <c r="F362">
        <v>75.997859110153996</v>
      </c>
      <c r="G362">
        <v>6</v>
      </c>
    </row>
    <row r="363" spans="1:7" x14ac:dyDescent="0.3">
      <c r="A363" t="s">
        <v>811</v>
      </c>
      <c r="B363" t="s">
        <v>386</v>
      </c>
      <c r="C363" t="s">
        <v>519</v>
      </c>
      <c r="D363" t="s">
        <v>812</v>
      </c>
      <c r="E363">
        <v>19.961511900000001</v>
      </c>
      <c r="F363">
        <v>73.827291200000005</v>
      </c>
      <c r="G363">
        <v>6</v>
      </c>
    </row>
    <row r="364" spans="1:7" x14ac:dyDescent="0.3">
      <c r="A364" t="s">
        <v>813</v>
      </c>
      <c r="B364" t="s">
        <v>150</v>
      </c>
      <c r="C364" t="s">
        <v>659</v>
      </c>
      <c r="D364" t="s">
        <v>814</v>
      </c>
      <c r="E364">
        <v>15.570625222964701</v>
      </c>
      <c r="F364">
        <v>73.791586861943301</v>
      </c>
      <c r="G364">
        <v>6</v>
      </c>
    </row>
    <row r="365" spans="1:7" x14ac:dyDescent="0.3">
      <c r="A365" t="s">
        <v>815</v>
      </c>
      <c r="B365" t="s">
        <v>386</v>
      </c>
      <c r="C365" t="s">
        <v>300</v>
      </c>
      <c r="D365" t="s">
        <v>816</v>
      </c>
      <c r="E365">
        <v>12.876702999999999</v>
      </c>
      <c r="F365">
        <v>77.646505000000005</v>
      </c>
      <c r="G365">
        <v>6</v>
      </c>
    </row>
    <row r="366" spans="1:7" x14ac:dyDescent="0.3">
      <c r="A366" t="s">
        <v>817</v>
      </c>
      <c r="B366" t="s">
        <v>386</v>
      </c>
      <c r="C366" t="s">
        <v>625</v>
      </c>
      <c r="D366" t="s">
        <v>818</v>
      </c>
      <c r="E366">
        <v>8.5513563000000001</v>
      </c>
      <c r="F366">
        <v>76.972623400000003</v>
      </c>
      <c r="G366">
        <v>6</v>
      </c>
    </row>
    <row r="367" spans="1:7" x14ac:dyDescent="0.3">
      <c r="A367" t="s">
        <v>819</v>
      </c>
      <c r="B367" t="s">
        <v>41</v>
      </c>
      <c r="C367" t="s">
        <v>300</v>
      </c>
      <c r="D367" t="s">
        <v>820</v>
      </c>
      <c r="E367">
        <v>13.022914999999999</v>
      </c>
      <c r="F367">
        <v>77.639337999999995</v>
      </c>
      <c r="G367">
        <v>6</v>
      </c>
    </row>
    <row r="368" spans="1:7" x14ac:dyDescent="0.3">
      <c r="A368" t="s">
        <v>821</v>
      </c>
      <c r="B368" t="s">
        <v>181</v>
      </c>
      <c r="C368" t="s">
        <v>790</v>
      </c>
      <c r="D368" t="s">
        <v>822</v>
      </c>
      <c r="E368">
        <v>21.139399980533799</v>
      </c>
      <c r="F368">
        <v>79.060476483156194</v>
      </c>
      <c r="G368">
        <v>6</v>
      </c>
    </row>
    <row r="369" spans="1:7" x14ac:dyDescent="0.3">
      <c r="A369" t="s">
        <v>823</v>
      </c>
      <c r="B369" t="s">
        <v>14</v>
      </c>
      <c r="C369" t="s">
        <v>429</v>
      </c>
      <c r="D369" t="s">
        <v>824</v>
      </c>
      <c r="E369">
        <v>19.045208293587098</v>
      </c>
      <c r="F369">
        <v>72.841541746613601</v>
      </c>
      <c r="G369">
        <v>6</v>
      </c>
    </row>
    <row r="370" spans="1:7" x14ac:dyDescent="0.3">
      <c r="A370" t="s">
        <v>825</v>
      </c>
      <c r="B370" t="s">
        <v>105</v>
      </c>
      <c r="C370" t="s">
        <v>519</v>
      </c>
      <c r="D370" t="s">
        <v>826</v>
      </c>
      <c r="E370">
        <v>19.996279038995901</v>
      </c>
      <c r="F370">
        <v>73.803359184254305</v>
      </c>
      <c r="G370">
        <v>6</v>
      </c>
    </row>
    <row r="371" spans="1:7" x14ac:dyDescent="0.3">
      <c r="A371" t="s">
        <v>827</v>
      </c>
      <c r="B371" t="s">
        <v>105</v>
      </c>
      <c r="C371" t="s">
        <v>319</v>
      </c>
      <c r="D371" t="s">
        <v>828</v>
      </c>
      <c r="E371">
        <v>13.044485</v>
      </c>
      <c r="F371">
        <v>80.268708000000004</v>
      </c>
      <c r="G371">
        <v>6</v>
      </c>
    </row>
    <row r="372" spans="1:7" x14ac:dyDescent="0.3">
      <c r="A372" t="s">
        <v>829</v>
      </c>
      <c r="B372" t="s">
        <v>511</v>
      </c>
      <c r="C372" t="s">
        <v>449</v>
      </c>
      <c r="D372" t="s">
        <v>830</v>
      </c>
      <c r="E372">
        <v>10.8556755</v>
      </c>
      <c r="F372">
        <v>76.862331999999995</v>
      </c>
      <c r="G372">
        <v>6</v>
      </c>
    </row>
    <row r="373" spans="1:7" x14ac:dyDescent="0.3">
      <c r="A373" t="s">
        <v>831</v>
      </c>
      <c r="B373" t="s">
        <v>41</v>
      </c>
      <c r="C373" t="s">
        <v>449</v>
      </c>
      <c r="D373" t="s">
        <v>832</v>
      </c>
      <c r="E373">
        <v>11.138138477319</v>
      </c>
      <c r="F373">
        <v>76.940731032283907</v>
      </c>
      <c r="G373">
        <v>6</v>
      </c>
    </row>
    <row r="374" spans="1:7" x14ac:dyDescent="0.3">
      <c r="A374" t="s">
        <v>833</v>
      </c>
      <c r="B374" t="s">
        <v>150</v>
      </c>
      <c r="C374" t="s">
        <v>300</v>
      </c>
      <c r="D374" t="s">
        <v>834</v>
      </c>
      <c r="E374">
        <v>12.863595</v>
      </c>
      <c r="F374">
        <v>77.590926999999994</v>
      </c>
      <c r="G374">
        <v>6</v>
      </c>
    </row>
    <row r="375" spans="1:7" x14ac:dyDescent="0.3">
      <c r="A375" t="s">
        <v>835</v>
      </c>
      <c r="B375" t="s">
        <v>41</v>
      </c>
      <c r="C375" t="s">
        <v>438</v>
      </c>
      <c r="D375" t="s">
        <v>836</v>
      </c>
      <c r="E375">
        <v>11.318516300000001</v>
      </c>
      <c r="F375">
        <v>75.884281400000006</v>
      </c>
      <c r="G375">
        <v>6</v>
      </c>
    </row>
    <row r="376" spans="1:7" x14ac:dyDescent="0.3">
      <c r="A376" t="s">
        <v>837</v>
      </c>
      <c r="B376" t="s">
        <v>49</v>
      </c>
      <c r="C376" t="s">
        <v>565</v>
      </c>
      <c r="D376" t="s">
        <v>838</v>
      </c>
      <c r="E376">
        <v>21.148373200000002</v>
      </c>
      <c r="F376">
        <v>72.765473900000003</v>
      </c>
      <c r="G376">
        <v>6</v>
      </c>
    </row>
    <row r="377" spans="1:7" x14ac:dyDescent="0.3">
      <c r="A377" t="s">
        <v>839</v>
      </c>
      <c r="B377" t="s">
        <v>49</v>
      </c>
      <c r="C377" t="s">
        <v>565</v>
      </c>
      <c r="D377" t="s">
        <v>840</v>
      </c>
      <c r="E377">
        <v>21.212694426151099</v>
      </c>
      <c r="F377">
        <v>72.8451179602812</v>
      </c>
      <c r="G377">
        <v>6</v>
      </c>
    </row>
    <row r="378" spans="1:7" x14ac:dyDescent="0.3">
      <c r="A378" t="s">
        <v>841</v>
      </c>
      <c r="B378" t="s">
        <v>842</v>
      </c>
      <c r="C378" t="s">
        <v>659</v>
      </c>
      <c r="D378" t="s">
        <v>843</v>
      </c>
      <c r="E378">
        <v>15.2697635073183</v>
      </c>
      <c r="F378">
        <v>73.954950448685295</v>
      </c>
      <c r="G378">
        <v>6</v>
      </c>
    </row>
    <row r="379" spans="1:7" x14ac:dyDescent="0.3">
      <c r="A379" t="s">
        <v>844</v>
      </c>
      <c r="B379" t="s">
        <v>845</v>
      </c>
      <c r="C379" t="s">
        <v>476</v>
      </c>
      <c r="D379" t="s">
        <v>846</v>
      </c>
      <c r="E379">
        <v>28.4195244</v>
      </c>
      <c r="F379">
        <v>77.088514399999994</v>
      </c>
      <c r="G379">
        <v>6</v>
      </c>
    </row>
    <row r="380" spans="1:7" x14ac:dyDescent="0.3">
      <c r="A380" t="s">
        <v>847</v>
      </c>
      <c r="B380" t="s">
        <v>14</v>
      </c>
      <c r="C380" t="s">
        <v>848</v>
      </c>
      <c r="D380" t="s">
        <v>849</v>
      </c>
      <c r="G380">
        <v>6</v>
      </c>
    </row>
    <row r="381" spans="1:7" x14ac:dyDescent="0.3">
      <c r="A381" t="s">
        <v>850</v>
      </c>
      <c r="B381" t="s">
        <v>511</v>
      </c>
      <c r="C381" t="s">
        <v>848</v>
      </c>
      <c r="D381" t="s">
        <v>851</v>
      </c>
      <c r="E381">
        <v>26.176336200000001</v>
      </c>
      <c r="F381">
        <v>91.740470799999997</v>
      </c>
      <c r="G381">
        <v>6</v>
      </c>
    </row>
    <row r="382" spans="1:7" x14ac:dyDescent="0.3">
      <c r="A382" t="s">
        <v>852</v>
      </c>
      <c r="B382" t="s">
        <v>45</v>
      </c>
      <c r="C382" t="s">
        <v>412</v>
      </c>
      <c r="D382" t="s">
        <v>853</v>
      </c>
      <c r="E382">
        <v>23.073552599999999</v>
      </c>
      <c r="F382">
        <v>72.520875000000004</v>
      </c>
      <c r="G382">
        <v>6</v>
      </c>
    </row>
    <row r="383" spans="1:7" x14ac:dyDescent="0.3">
      <c r="A383" t="s">
        <v>854</v>
      </c>
      <c r="B383" t="s">
        <v>41</v>
      </c>
      <c r="C383" t="s">
        <v>545</v>
      </c>
      <c r="D383" t="s">
        <v>855</v>
      </c>
      <c r="E383">
        <v>28.6635603</v>
      </c>
      <c r="F383">
        <v>77.374005699999998</v>
      </c>
      <c r="G383">
        <v>6</v>
      </c>
    </row>
    <row r="384" spans="1:7" x14ac:dyDescent="0.3">
      <c r="A384" t="s">
        <v>856</v>
      </c>
      <c r="B384" t="s">
        <v>45</v>
      </c>
      <c r="C384" t="s">
        <v>848</v>
      </c>
      <c r="D384" t="s">
        <v>857</v>
      </c>
      <c r="E384">
        <v>26.112203000000001</v>
      </c>
      <c r="F384">
        <v>91.724157599999998</v>
      </c>
      <c r="G384">
        <v>6</v>
      </c>
    </row>
    <row r="385" spans="1:7" x14ac:dyDescent="0.3">
      <c r="A385" t="s">
        <v>858</v>
      </c>
      <c r="B385" t="s">
        <v>45</v>
      </c>
      <c r="C385" t="s">
        <v>859</v>
      </c>
      <c r="D385" t="s">
        <v>860</v>
      </c>
      <c r="E385">
        <v>28.3520623</v>
      </c>
      <c r="F385">
        <v>77.300794199999999</v>
      </c>
      <c r="G385">
        <v>6</v>
      </c>
    </row>
    <row r="386" spans="1:7" x14ac:dyDescent="0.3">
      <c r="A386" t="s">
        <v>861</v>
      </c>
      <c r="B386" t="s">
        <v>181</v>
      </c>
      <c r="C386" t="s">
        <v>848</v>
      </c>
      <c r="D386" t="s">
        <v>862</v>
      </c>
      <c r="E386">
        <v>26.172605999999998</v>
      </c>
      <c r="F386">
        <v>91.7293442</v>
      </c>
      <c r="G386">
        <v>6</v>
      </c>
    </row>
    <row r="387" spans="1:7" x14ac:dyDescent="0.3">
      <c r="A387" t="s">
        <v>863</v>
      </c>
      <c r="B387" t="s">
        <v>14</v>
      </c>
      <c r="C387" t="s">
        <v>300</v>
      </c>
      <c r="D387" t="s">
        <v>864</v>
      </c>
      <c r="E387">
        <v>12.904089000000001</v>
      </c>
      <c r="F387">
        <v>77.662250999999998</v>
      </c>
      <c r="G387">
        <v>6</v>
      </c>
    </row>
    <row r="388" spans="1:7" x14ac:dyDescent="0.3">
      <c r="A388" t="s">
        <v>865</v>
      </c>
      <c r="B388" t="s">
        <v>14</v>
      </c>
      <c r="C388" t="s">
        <v>866</v>
      </c>
      <c r="D388" t="s">
        <v>867</v>
      </c>
      <c r="E388">
        <v>15.868772</v>
      </c>
      <c r="F388">
        <v>74.487863000000004</v>
      </c>
      <c r="G388">
        <v>6</v>
      </c>
    </row>
    <row r="389" spans="1:7" x14ac:dyDescent="0.3">
      <c r="A389" t="s">
        <v>868</v>
      </c>
      <c r="B389" t="s">
        <v>14</v>
      </c>
      <c r="C389" t="s">
        <v>848</v>
      </c>
      <c r="D389" t="s">
        <v>869</v>
      </c>
      <c r="E389">
        <v>26.170766</v>
      </c>
      <c r="F389">
        <v>91.760817599999996</v>
      </c>
      <c r="G389">
        <v>6</v>
      </c>
    </row>
    <row r="390" spans="1:7" x14ac:dyDescent="0.3">
      <c r="A390" t="s">
        <v>870</v>
      </c>
      <c r="B390" t="s">
        <v>45</v>
      </c>
      <c r="C390" t="s">
        <v>723</v>
      </c>
      <c r="D390" t="s">
        <v>871</v>
      </c>
      <c r="E390">
        <v>16.500726400000001</v>
      </c>
      <c r="F390">
        <v>80.657429199999996</v>
      </c>
      <c r="G390">
        <v>6</v>
      </c>
    </row>
    <row r="391" spans="1:7" x14ac:dyDescent="0.3">
      <c r="A391" t="s">
        <v>872</v>
      </c>
      <c r="B391" t="s">
        <v>41</v>
      </c>
      <c r="C391" t="s">
        <v>319</v>
      </c>
      <c r="D391" t="s">
        <v>873</v>
      </c>
      <c r="E391">
        <v>13.1221926</v>
      </c>
      <c r="F391">
        <v>80.189001700000006</v>
      </c>
      <c r="G391">
        <v>6</v>
      </c>
    </row>
    <row r="392" spans="1:7" x14ac:dyDescent="0.3">
      <c r="A392" t="s">
        <v>874</v>
      </c>
      <c r="B392" t="s">
        <v>41</v>
      </c>
      <c r="C392" t="s">
        <v>875</v>
      </c>
      <c r="D392" t="s">
        <v>876</v>
      </c>
      <c r="E392">
        <v>13.6226445</v>
      </c>
      <c r="F392">
        <v>79.414697000000004</v>
      </c>
      <c r="G392">
        <v>6</v>
      </c>
    </row>
    <row r="393" spans="1:7" x14ac:dyDescent="0.3">
      <c r="A393" t="s">
        <v>877</v>
      </c>
      <c r="B393" t="s">
        <v>41</v>
      </c>
      <c r="C393" t="s">
        <v>592</v>
      </c>
      <c r="D393" t="s">
        <v>878</v>
      </c>
      <c r="E393">
        <v>17.808350099999998</v>
      </c>
      <c r="F393">
        <v>83.388800599999996</v>
      </c>
      <c r="G393">
        <v>6</v>
      </c>
    </row>
    <row r="394" spans="1:7" x14ac:dyDescent="0.3">
      <c r="A394" t="s">
        <v>879</v>
      </c>
      <c r="B394" t="s">
        <v>41</v>
      </c>
      <c r="C394" t="s">
        <v>880</v>
      </c>
      <c r="D394" t="s">
        <v>881</v>
      </c>
      <c r="E394">
        <v>19.871912330989002</v>
      </c>
      <c r="F394">
        <v>75.325188076686501</v>
      </c>
      <c r="G394">
        <v>6</v>
      </c>
    </row>
    <row r="395" spans="1:7" x14ac:dyDescent="0.3">
      <c r="A395" t="s">
        <v>882</v>
      </c>
      <c r="B395" t="s">
        <v>41</v>
      </c>
      <c r="C395" t="s">
        <v>646</v>
      </c>
      <c r="D395" t="s">
        <v>883</v>
      </c>
      <c r="E395">
        <v>11.0522217</v>
      </c>
      <c r="F395">
        <v>76.075397800000005</v>
      </c>
      <c r="G395">
        <v>6</v>
      </c>
    </row>
    <row r="396" spans="1:7" x14ac:dyDescent="0.3">
      <c r="A396" t="s">
        <v>884</v>
      </c>
      <c r="B396" t="s">
        <v>49</v>
      </c>
      <c r="C396" t="s">
        <v>885</v>
      </c>
      <c r="D396" t="s">
        <v>886</v>
      </c>
      <c r="E396">
        <v>10.923581199999999</v>
      </c>
      <c r="F396">
        <v>75.913120500000005</v>
      </c>
      <c r="G396">
        <v>6</v>
      </c>
    </row>
    <row r="397" spans="1:7" x14ac:dyDescent="0.3">
      <c r="A397" t="s">
        <v>887</v>
      </c>
      <c r="B397" t="s">
        <v>386</v>
      </c>
      <c r="C397" t="s">
        <v>888</v>
      </c>
      <c r="D397" t="s">
        <v>889</v>
      </c>
      <c r="E397">
        <v>16.707579432168298</v>
      </c>
      <c r="F397">
        <v>74.251069384460607</v>
      </c>
      <c r="G397">
        <v>6</v>
      </c>
    </row>
    <row r="398" spans="1:7" x14ac:dyDescent="0.3">
      <c r="A398" t="s">
        <v>890</v>
      </c>
      <c r="B398" t="s">
        <v>68</v>
      </c>
      <c r="C398" t="s">
        <v>300</v>
      </c>
      <c r="D398" t="s">
        <v>891</v>
      </c>
      <c r="E398">
        <v>12.982706</v>
      </c>
      <c r="F398">
        <v>77.560699</v>
      </c>
      <c r="G398">
        <v>6</v>
      </c>
    </row>
    <row r="399" spans="1:7" x14ac:dyDescent="0.3">
      <c r="A399" t="s">
        <v>892</v>
      </c>
      <c r="B399" t="s">
        <v>807</v>
      </c>
      <c r="C399" t="s">
        <v>319</v>
      </c>
      <c r="D399" t="s">
        <v>893</v>
      </c>
      <c r="E399">
        <v>12.623810199999999</v>
      </c>
      <c r="F399">
        <v>80.1947665</v>
      </c>
      <c r="G399">
        <v>6</v>
      </c>
    </row>
    <row r="400" spans="1:7" x14ac:dyDescent="0.3">
      <c r="A400" t="s">
        <v>894</v>
      </c>
      <c r="B400" t="s">
        <v>115</v>
      </c>
      <c r="C400" t="s">
        <v>895</v>
      </c>
      <c r="D400" t="s">
        <v>896</v>
      </c>
      <c r="E400">
        <v>11.868744605859</v>
      </c>
      <c r="F400">
        <v>75.366022126805504</v>
      </c>
      <c r="G400">
        <v>6</v>
      </c>
    </row>
    <row r="401" spans="1:7" x14ac:dyDescent="0.3">
      <c r="A401" t="s">
        <v>897</v>
      </c>
      <c r="B401" t="s">
        <v>807</v>
      </c>
      <c r="C401" t="s">
        <v>895</v>
      </c>
      <c r="D401" t="s">
        <v>898</v>
      </c>
      <c r="E401">
        <v>11.7455443615496</v>
      </c>
      <c r="F401">
        <v>75.495019703062098</v>
      </c>
      <c r="G401">
        <v>6</v>
      </c>
    </row>
    <row r="402" spans="1:7" x14ac:dyDescent="0.3">
      <c r="A402" t="s">
        <v>899</v>
      </c>
      <c r="B402" t="s">
        <v>807</v>
      </c>
      <c r="C402" t="s">
        <v>487</v>
      </c>
      <c r="D402" t="s">
        <v>900</v>
      </c>
      <c r="E402">
        <v>28.580660000000002</v>
      </c>
      <c r="F402">
        <v>77.374970000000005</v>
      </c>
      <c r="G402">
        <v>6</v>
      </c>
    </row>
    <row r="403" spans="1:7" x14ac:dyDescent="0.3">
      <c r="A403" t="s">
        <v>901</v>
      </c>
      <c r="B403" t="s">
        <v>807</v>
      </c>
      <c r="C403" t="s">
        <v>895</v>
      </c>
      <c r="D403" t="s">
        <v>902</v>
      </c>
      <c r="E403">
        <v>12.0256266201313</v>
      </c>
      <c r="F403">
        <v>75.367177336021001</v>
      </c>
      <c r="G403">
        <v>6</v>
      </c>
    </row>
    <row r="404" spans="1:7" x14ac:dyDescent="0.3">
      <c r="A404" t="s">
        <v>903</v>
      </c>
      <c r="B404" t="s">
        <v>115</v>
      </c>
      <c r="C404" t="s">
        <v>646</v>
      </c>
      <c r="D404" t="s">
        <v>904</v>
      </c>
      <c r="E404">
        <v>10.8878</v>
      </c>
      <c r="F404">
        <v>76.189668999999995</v>
      </c>
      <c r="G404">
        <v>6</v>
      </c>
    </row>
    <row r="405" spans="1:7" x14ac:dyDescent="0.3">
      <c r="A405" t="s">
        <v>905</v>
      </c>
      <c r="B405" t="s">
        <v>115</v>
      </c>
      <c r="C405" t="s">
        <v>300</v>
      </c>
      <c r="D405" t="s">
        <v>906</v>
      </c>
      <c r="E405">
        <v>13.008305</v>
      </c>
      <c r="F405">
        <v>77.571179000000001</v>
      </c>
      <c r="G405">
        <v>6</v>
      </c>
    </row>
    <row r="406" spans="1:7" x14ac:dyDescent="0.3">
      <c r="A406" t="s">
        <v>907</v>
      </c>
      <c r="B406" t="s">
        <v>115</v>
      </c>
      <c r="C406" t="s">
        <v>512</v>
      </c>
      <c r="D406" t="s">
        <v>908</v>
      </c>
      <c r="E406">
        <v>10.799797</v>
      </c>
      <c r="F406">
        <v>78.680705200000006</v>
      </c>
      <c r="G406">
        <v>6</v>
      </c>
    </row>
    <row r="407" spans="1:7" x14ac:dyDescent="0.3">
      <c r="A407" t="s">
        <v>909</v>
      </c>
      <c r="B407" t="s">
        <v>115</v>
      </c>
      <c r="C407" t="s">
        <v>300</v>
      </c>
      <c r="D407" t="s">
        <v>910</v>
      </c>
      <c r="E407">
        <v>12.922427000000001</v>
      </c>
      <c r="F407">
        <v>77.668422000000007</v>
      </c>
      <c r="G407">
        <v>6</v>
      </c>
    </row>
    <row r="408" spans="1:7" x14ac:dyDescent="0.3">
      <c r="A408" t="s">
        <v>911</v>
      </c>
      <c r="B408" t="s">
        <v>150</v>
      </c>
      <c r="C408" t="s">
        <v>429</v>
      </c>
      <c r="D408" t="s">
        <v>912</v>
      </c>
      <c r="E408">
        <v>18.994535153037098</v>
      </c>
      <c r="F408">
        <v>73.115132418965601</v>
      </c>
      <c r="G408">
        <v>6</v>
      </c>
    </row>
    <row r="409" spans="1:7" x14ac:dyDescent="0.3">
      <c r="A409" t="s">
        <v>913</v>
      </c>
      <c r="B409" t="s">
        <v>45</v>
      </c>
      <c r="C409" t="s">
        <v>300</v>
      </c>
      <c r="D409" t="s">
        <v>914</v>
      </c>
      <c r="E409">
        <v>12.976338999999999</v>
      </c>
      <c r="F409">
        <v>77.619716999999994</v>
      </c>
      <c r="G409">
        <v>6</v>
      </c>
    </row>
    <row r="410" spans="1:7" x14ac:dyDescent="0.3">
      <c r="A410" t="s">
        <v>915</v>
      </c>
      <c r="B410" t="s">
        <v>45</v>
      </c>
      <c r="C410" t="s">
        <v>916</v>
      </c>
      <c r="D410" t="s">
        <v>917</v>
      </c>
      <c r="E410">
        <v>30.338256099999999</v>
      </c>
      <c r="F410">
        <v>8.0584541000000005</v>
      </c>
      <c r="G410">
        <v>6</v>
      </c>
    </row>
    <row r="411" spans="1:7" x14ac:dyDescent="0.3">
      <c r="A411" t="s">
        <v>918</v>
      </c>
      <c r="B411" t="s">
        <v>45</v>
      </c>
      <c r="C411" t="s">
        <v>364</v>
      </c>
      <c r="D411" t="s">
        <v>919</v>
      </c>
      <c r="E411">
        <v>28.6486023</v>
      </c>
      <c r="F411">
        <v>77.114701400000001</v>
      </c>
      <c r="G411">
        <v>6</v>
      </c>
    </row>
    <row r="412" spans="1:7" x14ac:dyDescent="0.3">
      <c r="A412" t="s">
        <v>920</v>
      </c>
      <c r="B412" t="s">
        <v>45</v>
      </c>
      <c r="C412" t="s">
        <v>429</v>
      </c>
      <c r="D412" t="s">
        <v>921</v>
      </c>
      <c r="E412">
        <v>18.9014249045997</v>
      </c>
      <c r="F412">
        <v>73.236578853307904</v>
      </c>
      <c r="G412">
        <v>6</v>
      </c>
    </row>
    <row r="413" spans="1:7" x14ac:dyDescent="0.3">
      <c r="A413" t="s">
        <v>922</v>
      </c>
      <c r="B413" t="s">
        <v>181</v>
      </c>
      <c r="C413" t="s">
        <v>923</v>
      </c>
      <c r="D413" t="s">
        <v>924</v>
      </c>
      <c r="E413">
        <v>12.878593499999999</v>
      </c>
      <c r="F413">
        <v>74.851321600000006</v>
      </c>
      <c r="G413">
        <v>6</v>
      </c>
    </row>
    <row r="414" spans="1:7" x14ac:dyDescent="0.3">
      <c r="A414" t="s">
        <v>925</v>
      </c>
      <c r="B414" t="s">
        <v>181</v>
      </c>
      <c r="C414" t="s">
        <v>895</v>
      </c>
      <c r="D414" t="s">
        <v>926</v>
      </c>
      <c r="E414">
        <v>11.874321999999999</v>
      </c>
      <c r="F414">
        <v>75.387200000000007</v>
      </c>
      <c r="G414">
        <v>6</v>
      </c>
    </row>
    <row r="415" spans="1:7" x14ac:dyDescent="0.3">
      <c r="A415" t="s">
        <v>927</v>
      </c>
      <c r="B415" t="s">
        <v>150</v>
      </c>
      <c r="C415" t="s">
        <v>928</v>
      </c>
      <c r="D415" t="s">
        <v>929</v>
      </c>
      <c r="E415">
        <v>10.542809999999999</v>
      </c>
      <c r="F415">
        <v>76.184562</v>
      </c>
      <c r="G415">
        <v>6</v>
      </c>
    </row>
    <row r="416" spans="1:7" x14ac:dyDescent="0.3">
      <c r="A416" t="s">
        <v>930</v>
      </c>
      <c r="B416" t="s">
        <v>41</v>
      </c>
      <c r="C416" t="s">
        <v>875</v>
      </c>
      <c r="D416" t="s">
        <v>931</v>
      </c>
      <c r="E416">
        <v>13.6292765</v>
      </c>
      <c r="F416">
        <v>79.461988300000002</v>
      </c>
      <c r="G416">
        <v>6</v>
      </c>
    </row>
    <row r="417" spans="1:7" x14ac:dyDescent="0.3">
      <c r="A417" t="s">
        <v>932</v>
      </c>
      <c r="B417" t="s">
        <v>405</v>
      </c>
      <c r="C417" t="s">
        <v>933</v>
      </c>
      <c r="D417" t="s">
        <v>934</v>
      </c>
      <c r="E417">
        <v>10.770167000000001</v>
      </c>
      <c r="F417">
        <v>76.637861000000001</v>
      </c>
      <c r="G417">
        <v>6</v>
      </c>
    </row>
    <row r="418" spans="1:7" x14ac:dyDescent="0.3">
      <c r="A418" t="s">
        <v>935</v>
      </c>
      <c r="B418" t="s">
        <v>313</v>
      </c>
      <c r="C418" t="s">
        <v>659</v>
      </c>
      <c r="D418" t="s">
        <v>936</v>
      </c>
      <c r="E418">
        <v>15.516250599999999</v>
      </c>
      <c r="F418">
        <v>73.768446499999996</v>
      </c>
      <c r="G418">
        <v>6</v>
      </c>
    </row>
    <row r="419" spans="1:7" x14ac:dyDescent="0.3">
      <c r="A419" t="s">
        <v>937</v>
      </c>
      <c r="B419" t="s">
        <v>463</v>
      </c>
      <c r="C419" t="s">
        <v>888</v>
      </c>
      <c r="D419" t="s">
        <v>938</v>
      </c>
      <c r="E419">
        <v>16.6936726519418</v>
      </c>
      <c r="F419">
        <v>74.241029926169801</v>
      </c>
      <c r="G419">
        <v>6</v>
      </c>
    </row>
    <row r="420" spans="1:7" x14ac:dyDescent="0.3">
      <c r="A420" t="s">
        <v>939</v>
      </c>
      <c r="B420" t="s">
        <v>807</v>
      </c>
      <c r="C420" t="s">
        <v>888</v>
      </c>
      <c r="D420" t="s">
        <v>940</v>
      </c>
      <c r="E420">
        <v>16.685693100000002</v>
      </c>
      <c r="F420">
        <v>74.208422299999995</v>
      </c>
      <c r="G420">
        <v>6</v>
      </c>
    </row>
    <row r="421" spans="1:7" x14ac:dyDescent="0.3">
      <c r="A421" t="s">
        <v>941</v>
      </c>
      <c r="B421" t="s">
        <v>506</v>
      </c>
      <c r="C421" t="s">
        <v>746</v>
      </c>
      <c r="D421" t="s">
        <v>942</v>
      </c>
      <c r="E421">
        <v>26.7055489</v>
      </c>
      <c r="F421">
        <v>88.438044700000006</v>
      </c>
      <c r="G421">
        <v>6</v>
      </c>
    </row>
    <row r="422" spans="1:7" x14ac:dyDescent="0.3">
      <c r="A422" t="s">
        <v>943</v>
      </c>
      <c r="B422" t="s">
        <v>45</v>
      </c>
      <c r="C422" t="s">
        <v>875</v>
      </c>
      <c r="D422" t="s">
        <v>944</v>
      </c>
      <c r="E422">
        <v>13.648073</v>
      </c>
      <c r="F422">
        <v>79.446494000000001</v>
      </c>
      <c r="G422">
        <v>6</v>
      </c>
    </row>
    <row r="423" spans="1:7" x14ac:dyDescent="0.3">
      <c r="A423" t="s">
        <v>945</v>
      </c>
      <c r="B423" t="s">
        <v>181</v>
      </c>
      <c r="C423" t="s">
        <v>746</v>
      </c>
      <c r="D423" t="s">
        <v>946</v>
      </c>
      <c r="E423">
        <v>26.761870600000002</v>
      </c>
      <c r="F423">
        <v>88.338818200000006</v>
      </c>
      <c r="G423">
        <v>6</v>
      </c>
    </row>
    <row r="424" spans="1:7" x14ac:dyDescent="0.3">
      <c r="A424" t="s">
        <v>947</v>
      </c>
      <c r="B424" t="s">
        <v>41</v>
      </c>
      <c r="C424" t="s">
        <v>429</v>
      </c>
      <c r="D424" t="s">
        <v>948</v>
      </c>
      <c r="E424">
        <v>18.6509966955593</v>
      </c>
      <c r="F424">
        <v>72.874070920326702</v>
      </c>
      <c r="G424">
        <v>6</v>
      </c>
    </row>
    <row r="425" spans="1:7" x14ac:dyDescent="0.3">
      <c r="A425" t="s">
        <v>949</v>
      </c>
      <c r="B425" t="s">
        <v>41</v>
      </c>
      <c r="C425" t="s">
        <v>524</v>
      </c>
      <c r="D425" t="s">
        <v>950</v>
      </c>
      <c r="E425">
        <v>26.883879990811401</v>
      </c>
      <c r="F425">
        <v>75.739791815292094</v>
      </c>
      <c r="G425">
        <v>6</v>
      </c>
    </row>
    <row r="426" spans="1:7" x14ac:dyDescent="0.3">
      <c r="A426" t="s">
        <v>951</v>
      </c>
      <c r="B426" t="s">
        <v>41</v>
      </c>
      <c r="C426" t="s">
        <v>933</v>
      </c>
      <c r="D426" t="s">
        <v>952</v>
      </c>
      <c r="E426">
        <v>10.7672515526727</v>
      </c>
      <c r="F426">
        <v>76.660312317279093</v>
      </c>
      <c r="G426">
        <v>6</v>
      </c>
    </row>
    <row r="427" spans="1:7" x14ac:dyDescent="0.3">
      <c r="A427" t="s">
        <v>953</v>
      </c>
      <c r="B427" t="s">
        <v>41</v>
      </c>
      <c r="C427" t="s">
        <v>415</v>
      </c>
      <c r="D427" t="s">
        <v>954</v>
      </c>
      <c r="E427">
        <v>10.002601173843701</v>
      </c>
      <c r="F427">
        <v>76.304007119704295</v>
      </c>
      <c r="G427">
        <v>6</v>
      </c>
    </row>
    <row r="428" spans="1:7" x14ac:dyDescent="0.3">
      <c r="A428" t="s">
        <v>955</v>
      </c>
      <c r="B428" t="s">
        <v>41</v>
      </c>
      <c r="C428" t="s">
        <v>928</v>
      </c>
      <c r="D428" t="s">
        <v>956</v>
      </c>
      <c r="E428">
        <v>10.595564727206</v>
      </c>
      <c r="F428">
        <v>76.044337035262302</v>
      </c>
      <c r="G428">
        <v>6</v>
      </c>
    </row>
    <row r="429" spans="1:7" x14ac:dyDescent="0.3">
      <c r="A429" t="s">
        <v>957</v>
      </c>
      <c r="B429" t="s">
        <v>14</v>
      </c>
      <c r="C429" t="s">
        <v>429</v>
      </c>
      <c r="D429" t="s">
        <v>958</v>
      </c>
      <c r="E429">
        <v>19.1981177009338</v>
      </c>
      <c r="F429">
        <v>72.9674150562047</v>
      </c>
      <c r="G429">
        <v>6</v>
      </c>
    </row>
    <row r="430" spans="1:7" x14ac:dyDescent="0.3">
      <c r="A430" t="s">
        <v>959</v>
      </c>
      <c r="B430" t="s">
        <v>45</v>
      </c>
      <c r="C430" t="s">
        <v>300</v>
      </c>
      <c r="D430" t="s">
        <v>960</v>
      </c>
      <c r="E430">
        <v>12.91371</v>
      </c>
      <c r="F430">
        <v>77.644164000000004</v>
      </c>
      <c r="G430">
        <v>6</v>
      </c>
    </row>
    <row r="431" spans="1:7" x14ac:dyDescent="0.3">
      <c r="A431" t="s">
        <v>961</v>
      </c>
      <c r="B431" t="s">
        <v>150</v>
      </c>
      <c r="C431" t="s">
        <v>300</v>
      </c>
      <c r="D431" t="s">
        <v>962</v>
      </c>
      <c r="E431">
        <v>12.9757032</v>
      </c>
      <c r="F431">
        <v>77.5877251</v>
      </c>
      <c r="G431">
        <v>6</v>
      </c>
    </row>
    <row r="432" spans="1:7" x14ac:dyDescent="0.3">
      <c r="A432" t="s">
        <v>963</v>
      </c>
      <c r="B432" t="s">
        <v>49</v>
      </c>
      <c r="C432" t="s">
        <v>964</v>
      </c>
      <c r="D432" t="s">
        <v>965</v>
      </c>
      <c r="E432">
        <v>8.8992141169527397</v>
      </c>
      <c r="F432">
        <v>76.612996744230301</v>
      </c>
      <c r="G432">
        <v>6</v>
      </c>
    </row>
    <row r="433" spans="1:7" x14ac:dyDescent="0.3">
      <c r="A433" t="s">
        <v>966</v>
      </c>
      <c r="B433" t="s">
        <v>386</v>
      </c>
      <c r="C433" t="s">
        <v>319</v>
      </c>
      <c r="D433" t="s">
        <v>967</v>
      </c>
      <c r="E433">
        <v>12.8570595</v>
      </c>
      <c r="F433">
        <v>80.069485700000001</v>
      </c>
      <c r="G433">
        <v>6</v>
      </c>
    </row>
    <row r="434" spans="1:7" x14ac:dyDescent="0.3">
      <c r="A434" t="s">
        <v>968</v>
      </c>
      <c r="B434" t="s">
        <v>386</v>
      </c>
      <c r="C434" t="s">
        <v>592</v>
      </c>
      <c r="D434" t="s">
        <v>969</v>
      </c>
      <c r="E434">
        <v>17.7407038627437</v>
      </c>
      <c r="F434">
        <v>83.311685815344006</v>
      </c>
      <c r="G434">
        <v>6</v>
      </c>
    </row>
    <row r="435" spans="1:7" x14ac:dyDescent="0.3">
      <c r="A435" t="s">
        <v>970</v>
      </c>
      <c r="B435" t="s">
        <v>386</v>
      </c>
      <c r="C435" t="s">
        <v>328</v>
      </c>
      <c r="D435" t="s">
        <v>971</v>
      </c>
      <c r="E435">
        <v>17.517319199999999</v>
      </c>
      <c r="F435">
        <v>78.318829300000004</v>
      </c>
      <c r="G435">
        <v>6</v>
      </c>
    </row>
    <row r="436" spans="1:7" x14ac:dyDescent="0.3">
      <c r="A436" t="s">
        <v>972</v>
      </c>
      <c r="B436" t="s">
        <v>45</v>
      </c>
      <c r="C436" t="s">
        <v>45</v>
      </c>
      <c r="D436" t="s">
        <v>973</v>
      </c>
      <c r="E436">
        <v>28.599629</v>
      </c>
      <c r="F436">
        <v>77.195806000000005</v>
      </c>
      <c r="G436">
        <v>7</v>
      </c>
    </row>
    <row r="437" spans="1:7" x14ac:dyDescent="0.3">
      <c r="A437" t="s">
        <v>974</v>
      </c>
      <c r="B437" t="s">
        <v>8</v>
      </c>
      <c r="C437" t="s">
        <v>975</v>
      </c>
      <c r="D437" t="s">
        <v>976</v>
      </c>
      <c r="E437">
        <v>29.157568999999999</v>
      </c>
      <c r="F437">
        <v>77.035832999999997</v>
      </c>
      <c r="G437">
        <v>7</v>
      </c>
    </row>
    <row r="438" spans="1:7" x14ac:dyDescent="0.3">
      <c r="A438" t="s">
        <v>977</v>
      </c>
      <c r="B438" t="s">
        <v>418</v>
      </c>
      <c r="C438" t="s">
        <v>978</v>
      </c>
      <c r="D438" t="s">
        <v>979</v>
      </c>
      <c r="E438">
        <v>24.525355000000001</v>
      </c>
      <c r="F438">
        <v>84.932181999999997</v>
      </c>
      <c r="G438">
        <v>7</v>
      </c>
    </row>
    <row r="439" spans="1:7" x14ac:dyDescent="0.3">
      <c r="A439" t="s">
        <v>980</v>
      </c>
      <c r="B439" t="s">
        <v>313</v>
      </c>
      <c r="C439" t="s">
        <v>981</v>
      </c>
      <c r="D439" t="s">
        <v>982</v>
      </c>
      <c r="E439">
        <v>20.405169999999998</v>
      </c>
      <c r="F439">
        <v>85.879782000000006</v>
      </c>
      <c r="G439">
        <v>7</v>
      </c>
    </row>
    <row r="440" spans="1:7" x14ac:dyDescent="0.3">
      <c r="A440" t="s">
        <v>983</v>
      </c>
      <c r="B440" t="s">
        <v>511</v>
      </c>
      <c r="C440" t="s">
        <v>984</v>
      </c>
      <c r="D440" t="s">
        <v>985</v>
      </c>
      <c r="E440">
        <v>23.259005999999999</v>
      </c>
      <c r="F440">
        <v>77.456768999999994</v>
      </c>
      <c r="G440">
        <v>7</v>
      </c>
    </row>
    <row r="441" spans="1:7" x14ac:dyDescent="0.3">
      <c r="A441" t="s">
        <v>986</v>
      </c>
      <c r="B441" t="s">
        <v>41</v>
      </c>
      <c r="C441" t="s">
        <v>987</v>
      </c>
      <c r="D441" t="s">
        <v>988</v>
      </c>
      <c r="E441">
        <v>21.155667000000001</v>
      </c>
      <c r="F441">
        <v>79.078708000000006</v>
      </c>
      <c r="G441">
        <v>7</v>
      </c>
    </row>
    <row r="442" spans="1:7" x14ac:dyDescent="0.3">
      <c r="A442" t="s">
        <v>989</v>
      </c>
      <c r="B442" t="s">
        <v>41</v>
      </c>
      <c r="C442" t="s">
        <v>119</v>
      </c>
      <c r="D442" t="s">
        <v>990</v>
      </c>
      <c r="E442">
        <v>19.051601000000002</v>
      </c>
      <c r="F442">
        <v>72.838010999999995</v>
      </c>
      <c r="G442">
        <v>7</v>
      </c>
    </row>
    <row r="443" spans="1:7" x14ac:dyDescent="0.3">
      <c r="A443" t="s">
        <v>991</v>
      </c>
      <c r="B443" t="s">
        <v>45</v>
      </c>
      <c r="C443" t="s">
        <v>45</v>
      </c>
      <c r="D443" t="s">
        <v>992</v>
      </c>
      <c r="E443">
        <v>28.578641000000001</v>
      </c>
      <c r="F443">
        <v>77.059619999999995</v>
      </c>
      <c r="G443">
        <v>7</v>
      </c>
    </row>
    <row r="444" spans="1:7" x14ac:dyDescent="0.3">
      <c r="A444" t="s">
        <v>993</v>
      </c>
      <c r="B444" t="s">
        <v>150</v>
      </c>
      <c r="C444" t="s">
        <v>994</v>
      </c>
      <c r="D444" t="s">
        <v>995</v>
      </c>
      <c r="E444">
        <v>14.441957</v>
      </c>
      <c r="F444">
        <v>75.952060000000003</v>
      </c>
      <c r="G444">
        <v>7</v>
      </c>
    </row>
    <row r="445" spans="1:7" x14ac:dyDescent="0.3">
      <c r="A445" t="s">
        <v>996</v>
      </c>
      <c r="B445" t="s">
        <v>49</v>
      </c>
      <c r="C445" t="s">
        <v>997</v>
      </c>
      <c r="D445" t="s">
        <v>998</v>
      </c>
      <c r="E445">
        <v>12.5306064</v>
      </c>
      <c r="F445">
        <v>78.237516499999998</v>
      </c>
      <c r="G445">
        <v>7</v>
      </c>
    </row>
    <row r="446" spans="1:7" x14ac:dyDescent="0.3">
      <c r="A446" t="s">
        <v>999</v>
      </c>
      <c r="B446" t="s">
        <v>49</v>
      </c>
      <c r="C446" t="s">
        <v>1000</v>
      </c>
      <c r="D446" t="s">
        <v>1001</v>
      </c>
      <c r="E446">
        <v>11.682985</v>
      </c>
      <c r="F446">
        <v>78.126040200000006</v>
      </c>
      <c r="G446">
        <v>7</v>
      </c>
    </row>
    <row r="447" spans="1:7" x14ac:dyDescent="0.3">
      <c r="A447" t="s">
        <v>1002</v>
      </c>
      <c r="B447" t="s">
        <v>41</v>
      </c>
      <c r="C447" t="s">
        <v>1003</v>
      </c>
      <c r="D447" t="s">
        <v>1004</v>
      </c>
      <c r="E447">
        <v>18.11289</v>
      </c>
      <c r="F447">
        <v>73.989850000000004</v>
      </c>
      <c r="G447">
        <v>7</v>
      </c>
    </row>
    <row r="448" spans="1:7" x14ac:dyDescent="0.3">
      <c r="A448" t="s">
        <v>1005</v>
      </c>
      <c r="B448" t="s">
        <v>49</v>
      </c>
      <c r="C448" t="s">
        <v>188</v>
      </c>
      <c r="D448" t="s">
        <v>1006</v>
      </c>
      <c r="E448">
        <v>11.022849000000001</v>
      </c>
      <c r="F448">
        <v>76.951634999999996</v>
      </c>
      <c r="G448">
        <v>7</v>
      </c>
    </row>
    <row r="449" spans="1:7" x14ac:dyDescent="0.3">
      <c r="A449" t="s">
        <v>1007</v>
      </c>
      <c r="B449" t="s">
        <v>49</v>
      </c>
      <c r="C449" t="s">
        <v>1008</v>
      </c>
      <c r="D449" t="s">
        <v>1009</v>
      </c>
      <c r="E449">
        <v>13.0883447</v>
      </c>
      <c r="F449">
        <v>80.170469800000006</v>
      </c>
      <c r="G449">
        <v>7</v>
      </c>
    </row>
    <row r="450" spans="1:7" x14ac:dyDescent="0.3">
      <c r="A450" t="s">
        <v>1010</v>
      </c>
      <c r="B450" t="s">
        <v>49</v>
      </c>
      <c r="C450" t="s">
        <v>1008</v>
      </c>
      <c r="D450" t="s">
        <v>1011</v>
      </c>
      <c r="E450">
        <v>13.0080236</v>
      </c>
      <c r="F450">
        <v>80.221649999999997</v>
      </c>
      <c r="G450">
        <v>7</v>
      </c>
    </row>
    <row r="451" spans="1:7" x14ac:dyDescent="0.3">
      <c r="A451" t="s">
        <v>1012</v>
      </c>
      <c r="B451" t="s">
        <v>41</v>
      </c>
      <c r="C451" t="s">
        <v>1013</v>
      </c>
      <c r="D451" t="s">
        <v>1014</v>
      </c>
      <c r="E451">
        <v>19.26433634</v>
      </c>
      <c r="F451">
        <v>74.827199739999998</v>
      </c>
      <c r="G451">
        <v>7</v>
      </c>
    </row>
    <row r="452" spans="1:7" x14ac:dyDescent="0.3">
      <c r="A452" t="s">
        <v>1015</v>
      </c>
      <c r="B452" t="s">
        <v>64</v>
      </c>
      <c r="C452" t="s">
        <v>65</v>
      </c>
      <c r="D452" t="s">
        <v>1016</v>
      </c>
      <c r="E452">
        <v>30.289739000000001</v>
      </c>
      <c r="F452">
        <v>77.998788000000005</v>
      </c>
      <c r="G452">
        <v>7</v>
      </c>
    </row>
    <row r="453" spans="1:7" x14ac:dyDescent="0.3">
      <c r="A453" t="s">
        <v>1017</v>
      </c>
      <c r="B453" t="s">
        <v>18</v>
      </c>
      <c r="C453" t="s">
        <v>1018</v>
      </c>
      <c r="D453" t="s">
        <v>1019</v>
      </c>
      <c r="E453">
        <v>27.200797999999999</v>
      </c>
      <c r="F453">
        <v>78.008796000000004</v>
      </c>
      <c r="G453">
        <v>7</v>
      </c>
    </row>
    <row r="454" spans="1:7" x14ac:dyDescent="0.3">
      <c r="A454" t="s">
        <v>1020</v>
      </c>
      <c r="B454" t="s">
        <v>181</v>
      </c>
      <c r="C454" t="s">
        <v>361</v>
      </c>
      <c r="D454" t="s">
        <v>1021</v>
      </c>
      <c r="E454">
        <v>30.696490000000001</v>
      </c>
      <c r="F454">
        <v>76.796620000000004</v>
      </c>
      <c r="G454">
        <v>7</v>
      </c>
    </row>
    <row r="455" spans="1:7" x14ac:dyDescent="0.3">
      <c r="A455" t="s">
        <v>1022</v>
      </c>
      <c r="B455" t="s">
        <v>41</v>
      </c>
      <c r="C455" t="s">
        <v>42</v>
      </c>
      <c r="D455" t="s">
        <v>1023</v>
      </c>
      <c r="E455">
        <v>18.526967899999999</v>
      </c>
      <c r="F455">
        <v>73.865512300000006</v>
      </c>
      <c r="G455">
        <v>7</v>
      </c>
    </row>
    <row r="456" spans="1:7" x14ac:dyDescent="0.3">
      <c r="A456" t="s">
        <v>1024</v>
      </c>
      <c r="B456" t="s">
        <v>386</v>
      </c>
      <c r="C456" t="s">
        <v>1025</v>
      </c>
      <c r="D456" t="s">
        <v>1026</v>
      </c>
      <c r="E456">
        <v>12.51382323</v>
      </c>
      <c r="F456">
        <v>75.027131729999994</v>
      </c>
      <c r="G456">
        <v>7</v>
      </c>
    </row>
    <row r="457" spans="1:7" x14ac:dyDescent="0.3">
      <c r="A457" t="s">
        <v>1027</v>
      </c>
      <c r="B457" t="s">
        <v>150</v>
      </c>
      <c r="C457" t="s">
        <v>1028</v>
      </c>
      <c r="D457" t="s">
        <v>1029</v>
      </c>
      <c r="E457">
        <v>13.344796000000001</v>
      </c>
      <c r="F457">
        <v>77.080191999999997</v>
      </c>
      <c r="G457">
        <v>7</v>
      </c>
    </row>
    <row r="458" spans="1:7" x14ac:dyDescent="0.3">
      <c r="A458" t="s">
        <v>1030</v>
      </c>
      <c r="B458" t="s">
        <v>49</v>
      </c>
      <c r="C458" t="s">
        <v>1031</v>
      </c>
      <c r="D458" t="s">
        <v>1032</v>
      </c>
      <c r="E458">
        <v>11.213022</v>
      </c>
      <c r="F458">
        <v>77.441968000000003</v>
      </c>
      <c r="G458">
        <v>7</v>
      </c>
    </row>
    <row r="459" spans="1:7" x14ac:dyDescent="0.3">
      <c r="A459" t="s">
        <v>1033</v>
      </c>
      <c r="B459" t="s">
        <v>115</v>
      </c>
      <c r="C459" t="s">
        <v>1034</v>
      </c>
      <c r="D459" t="s">
        <v>1035</v>
      </c>
      <c r="E459">
        <v>16.991031</v>
      </c>
      <c r="F459">
        <v>79.440470000000005</v>
      </c>
      <c r="G459">
        <v>7</v>
      </c>
    </row>
    <row r="460" spans="1:7" x14ac:dyDescent="0.3">
      <c r="A460" t="s">
        <v>1036</v>
      </c>
      <c r="B460" t="s">
        <v>115</v>
      </c>
      <c r="C460" t="s">
        <v>1037</v>
      </c>
      <c r="D460" t="s">
        <v>1038</v>
      </c>
      <c r="E460">
        <v>18.417928</v>
      </c>
      <c r="F460">
        <v>79.136390000000006</v>
      </c>
      <c r="G460">
        <v>7</v>
      </c>
    </row>
    <row r="461" spans="1:7" x14ac:dyDescent="0.3">
      <c r="A461" t="s">
        <v>1039</v>
      </c>
      <c r="B461" t="s">
        <v>18</v>
      </c>
      <c r="C461" t="s">
        <v>1040</v>
      </c>
      <c r="D461" t="s">
        <v>1041</v>
      </c>
      <c r="E461">
        <v>29.458546399999999</v>
      </c>
      <c r="F461">
        <v>77.739762799999994</v>
      </c>
      <c r="G461">
        <v>7</v>
      </c>
    </row>
    <row r="462" spans="1:7" x14ac:dyDescent="0.3">
      <c r="A462" t="s">
        <v>1042</v>
      </c>
      <c r="B462" t="s">
        <v>64</v>
      </c>
      <c r="C462" t="s">
        <v>159</v>
      </c>
      <c r="D462" t="s">
        <v>1043</v>
      </c>
      <c r="E462">
        <v>29.942456</v>
      </c>
      <c r="F462">
        <v>78.144233999999997</v>
      </c>
      <c r="G462">
        <v>7</v>
      </c>
    </row>
    <row r="463" spans="1:7" x14ac:dyDescent="0.3">
      <c r="A463" t="s">
        <v>1044</v>
      </c>
      <c r="B463" t="s">
        <v>405</v>
      </c>
      <c r="C463" t="s">
        <v>1045</v>
      </c>
      <c r="D463" t="s">
        <v>1046</v>
      </c>
      <c r="E463">
        <v>23.371302</v>
      </c>
      <c r="F463">
        <v>85.350736999999995</v>
      </c>
      <c r="G463">
        <v>7</v>
      </c>
    </row>
    <row r="464" spans="1:7" x14ac:dyDescent="0.3">
      <c r="A464" t="s">
        <v>1047</v>
      </c>
      <c r="B464" t="s">
        <v>807</v>
      </c>
      <c r="C464" t="s">
        <v>1048</v>
      </c>
      <c r="D464" t="s">
        <v>1049</v>
      </c>
      <c r="E464">
        <v>15.576915</v>
      </c>
      <c r="F464">
        <v>77.937039999999996</v>
      </c>
      <c r="G464">
        <v>7</v>
      </c>
    </row>
    <row r="465" spans="1:7" x14ac:dyDescent="0.3">
      <c r="A465" t="s">
        <v>1050</v>
      </c>
      <c r="B465" t="s">
        <v>1051</v>
      </c>
      <c r="C465" t="s">
        <v>1052</v>
      </c>
      <c r="D465" t="s">
        <v>1053</v>
      </c>
      <c r="E465">
        <v>26.164406</v>
      </c>
      <c r="F465">
        <v>91.715515999999994</v>
      </c>
      <c r="G465">
        <v>7</v>
      </c>
    </row>
    <row r="466" spans="1:7" x14ac:dyDescent="0.3">
      <c r="A466" t="s">
        <v>1054</v>
      </c>
      <c r="B466" t="s">
        <v>511</v>
      </c>
      <c r="C466" t="s">
        <v>1055</v>
      </c>
      <c r="D466" t="s">
        <v>1056</v>
      </c>
      <c r="E466">
        <v>16.545174800000002</v>
      </c>
      <c r="F466">
        <v>81.519940300000002</v>
      </c>
      <c r="G466">
        <v>7</v>
      </c>
    </row>
    <row r="467" spans="1:7" x14ac:dyDescent="0.3">
      <c r="A467" t="s">
        <v>1057</v>
      </c>
      <c r="B467" t="s">
        <v>41</v>
      </c>
      <c r="C467" t="s">
        <v>1058</v>
      </c>
      <c r="D467" t="s">
        <v>1059</v>
      </c>
      <c r="E467">
        <v>20.909443</v>
      </c>
      <c r="F467">
        <v>77.752244700000006</v>
      </c>
      <c r="G467">
        <v>7</v>
      </c>
    </row>
    <row r="468" spans="1:7" x14ac:dyDescent="0.3">
      <c r="A468" t="s">
        <v>1060</v>
      </c>
      <c r="B468" t="s">
        <v>41</v>
      </c>
      <c r="C468" t="s">
        <v>1061</v>
      </c>
      <c r="D468" t="s">
        <v>1062</v>
      </c>
      <c r="E468">
        <v>20.922586559999999</v>
      </c>
      <c r="F468">
        <v>78.999863869999999</v>
      </c>
      <c r="G468">
        <v>7</v>
      </c>
    </row>
    <row r="469" spans="1:7" x14ac:dyDescent="0.3">
      <c r="A469" t="s">
        <v>1063</v>
      </c>
      <c r="B469" t="s">
        <v>405</v>
      </c>
      <c r="C469" t="s">
        <v>1064</v>
      </c>
      <c r="D469" t="s">
        <v>1065</v>
      </c>
      <c r="E469">
        <v>22.800098999999999</v>
      </c>
      <c r="F469">
        <v>86.188305</v>
      </c>
      <c r="G469">
        <v>7</v>
      </c>
    </row>
    <row r="470" spans="1:7" x14ac:dyDescent="0.3">
      <c r="A470" t="s">
        <v>1066</v>
      </c>
      <c r="B470" t="s">
        <v>405</v>
      </c>
      <c r="C470" t="s">
        <v>1064</v>
      </c>
      <c r="D470" t="s">
        <v>1067</v>
      </c>
      <c r="E470">
        <v>22.802610999999999</v>
      </c>
      <c r="F470">
        <v>86.203632999999996</v>
      </c>
      <c r="G470">
        <v>7</v>
      </c>
    </row>
    <row r="471" spans="1:7" x14ac:dyDescent="0.3">
      <c r="A471" t="s">
        <v>1068</v>
      </c>
      <c r="B471" t="s">
        <v>405</v>
      </c>
      <c r="C471" t="s">
        <v>1064</v>
      </c>
      <c r="D471" t="s">
        <v>1069</v>
      </c>
      <c r="E471">
        <v>22.808482999999999</v>
      </c>
      <c r="F471">
        <v>86.198276000000007</v>
      </c>
      <c r="G471">
        <v>7</v>
      </c>
    </row>
    <row r="472" spans="1:7" x14ac:dyDescent="0.3">
      <c r="A472" t="s">
        <v>1070</v>
      </c>
      <c r="B472" t="s">
        <v>41</v>
      </c>
      <c r="C472" t="s">
        <v>119</v>
      </c>
      <c r="D472" t="s">
        <v>1071</v>
      </c>
      <c r="G472">
        <v>7</v>
      </c>
    </row>
    <row r="473" spans="1:7" x14ac:dyDescent="0.3">
      <c r="A473" t="s">
        <v>1072</v>
      </c>
      <c r="B473" t="s">
        <v>41</v>
      </c>
      <c r="C473" t="s">
        <v>1073</v>
      </c>
      <c r="D473" t="s">
        <v>1074</v>
      </c>
      <c r="G473">
        <v>7</v>
      </c>
    </row>
    <row r="474" spans="1:7" x14ac:dyDescent="0.3">
      <c r="A474" t="s">
        <v>1075</v>
      </c>
      <c r="B474" t="s">
        <v>41</v>
      </c>
      <c r="C474" t="s">
        <v>221</v>
      </c>
      <c r="D474" t="s">
        <v>1076</v>
      </c>
      <c r="E474">
        <v>19.973146</v>
      </c>
      <c r="F474">
        <v>73.681049999999999</v>
      </c>
      <c r="G474">
        <v>7</v>
      </c>
    </row>
    <row r="475" spans="1:7" x14ac:dyDescent="0.3">
      <c r="A475" t="s">
        <v>1077</v>
      </c>
      <c r="B475" t="s">
        <v>68</v>
      </c>
      <c r="C475" t="s">
        <v>185</v>
      </c>
      <c r="D475" t="s">
        <v>1078</v>
      </c>
      <c r="E475">
        <v>22.271792999999999</v>
      </c>
      <c r="F475">
        <v>73.190794999999994</v>
      </c>
      <c r="G475">
        <v>7</v>
      </c>
    </row>
    <row r="476" spans="1:7" x14ac:dyDescent="0.3">
      <c r="A476" t="s">
        <v>1079</v>
      </c>
      <c r="B476" t="s">
        <v>18</v>
      </c>
      <c r="C476" t="s">
        <v>1080</v>
      </c>
      <c r="D476" t="s">
        <v>1081</v>
      </c>
      <c r="E476">
        <v>26.743642000000001</v>
      </c>
      <c r="F476">
        <v>84.263368999999997</v>
      </c>
      <c r="G476">
        <v>7</v>
      </c>
    </row>
    <row r="477" spans="1:7" x14ac:dyDescent="0.3">
      <c r="A477" t="s">
        <v>1082</v>
      </c>
      <c r="B477" t="s">
        <v>45</v>
      </c>
      <c r="C477" t="s">
        <v>45</v>
      </c>
      <c r="D477" t="s">
        <v>1083</v>
      </c>
      <c r="E477">
        <v>28.622485999999999</v>
      </c>
      <c r="F477">
        <v>77.095470000000006</v>
      </c>
      <c r="G477">
        <v>7</v>
      </c>
    </row>
    <row r="478" spans="1:7" x14ac:dyDescent="0.3">
      <c r="A478" t="s">
        <v>1084</v>
      </c>
      <c r="B478" t="s">
        <v>18</v>
      </c>
      <c r="C478" t="s">
        <v>1085</v>
      </c>
      <c r="D478" t="s">
        <v>1086</v>
      </c>
      <c r="E478">
        <v>26.900894000000001</v>
      </c>
      <c r="F478">
        <v>80.964230999999998</v>
      </c>
      <c r="G478">
        <v>7</v>
      </c>
    </row>
    <row r="479" spans="1:7" x14ac:dyDescent="0.3">
      <c r="A479" t="s">
        <v>1087</v>
      </c>
      <c r="B479" t="s">
        <v>18</v>
      </c>
      <c r="C479" t="s">
        <v>1088</v>
      </c>
      <c r="D479" t="s">
        <v>1089</v>
      </c>
      <c r="E479">
        <v>26.755089000000002</v>
      </c>
      <c r="F479">
        <v>82.141261</v>
      </c>
      <c r="G479">
        <v>7</v>
      </c>
    </row>
    <row r="480" spans="1:7" x14ac:dyDescent="0.3">
      <c r="A480" t="s">
        <v>1090</v>
      </c>
      <c r="B480" t="s">
        <v>45</v>
      </c>
      <c r="C480" t="s">
        <v>45</v>
      </c>
      <c r="D480" t="s">
        <v>1091</v>
      </c>
      <c r="E480">
        <v>28.703312</v>
      </c>
      <c r="F480">
        <v>77.181109000000006</v>
      </c>
      <c r="G480">
        <v>7</v>
      </c>
    </row>
    <row r="481" spans="1:7" x14ac:dyDescent="0.3">
      <c r="A481" t="s">
        <v>1092</v>
      </c>
      <c r="B481" t="s">
        <v>41</v>
      </c>
      <c r="C481" t="s">
        <v>42</v>
      </c>
      <c r="D481" t="s">
        <v>1093</v>
      </c>
      <c r="E481">
        <v>18.495772200000001</v>
      </c>
      <c r="F481">
        <v>73.978935930000006</v>
      </c>
      <c r="G481">
        <v>7</v>
      </c>
    </row>
    <row r="482" spans="1:7" x14ac:dyDescent="0.3">
      <c r="A482" t="s">
        <v>1094</v>
      </c>
      <c r="B482" t="s">
        <v>41</v>
      </c>
      <c r="C482" t="s">
        <v>1095</v>
      </c>
      <c r="D482" t="s">
        <v>1096</v>
      </c>
      <c r="E482">
        <v>17.925644380000001</v>
      </c>
      <c r="F482">
        <v>73.655520139999993</v>
      </c>
      <c r="G482">
        <v>7</v>
      </c>
    </row>
    <row r="483" spans="1:7" x14ac:dyDescent="0.3">
      <c r="A483" t="s">
        <v>1097</v>
      </c>
      <c r="B483" t="s">
        <v>45</v>
      </c>
      <c r="C483" t="s">
        <v>87</v>
      </c>
      <c r="D483" t="s">
        <v>1098</v>
      </c>
      <c r="E483">
        <v>28.444672000000001</v>
      </c>
      <c r="F483">
        <v>77.080820000000003</v>
      </c>
      <c r="G483">
        <v>7</v>
      </c>
    </row>
    <row r="484" spans="1:7" x14ac:dyDescent="0.3">
      <c r="A484" t="s">
        <v>1099</v>
      </c>
      <c r="B484" t="s">
        <v>14</v>
      </c>
      <c r="C484" t="s">
        <v>1100</v>
      </c>
      <c r="D484" t="s">
        <v>1101</v>
      </c>
      <c r="E484">
        <v>24.973775</v>
      </c>
      <c r="F484">
        <v>72.895964000000006</v>
      </c>
      <c r="G484">
        <v>7</v>
      </c>
    </row>
    <row r="485" spans="1:7" x14ac:dyDescent="0.3">
      <c r="A485" t="s">
        <v>1102</v>
      </c>
      <c r="B485" t="s">
        <v>68</v>
      </c>
      <c r="C485" t="s">
        <v>185</v>
      </c>
      <c r="D485" t="s">
        <v>1103</v>
      </c>
      <c r="E485">
        <v>22.403828000000001</v>
      </c>
      <c r="F485">
        <v>73.134550000000004</v>
      </c>
      <c r="G485">
        <v>7</v>
      </c>
    </row>
    <row r="486" spans="1:7" x14ac:dyDescent="0.3">
      <c r="A486" t="s">
        <v>1104</v>
      </c>
      <c r="B486" t="s">
        <v>41</v>
      </c>
      <c r="C486" t="s">
        <v>119</v>
      </c>
      <c r="D486" t="s">
        <v>1105</v>
      </c>
      <c r="E486">
        <v>19.11637</v>
      </c>
      <c r="F486">
        <v>72.91086</v>
      </c>
      <c r="G486">
        <v>7</v>
      </c>
    </row>
    <row r="487" spans="1:7" x14ac:dyDescent="0.3">
      <c r="A487" t="s">
        <v>1104</v>
      </c>
      <c r="B487" t="s">
        <v>41</v>
      </c>
      <c r="C487" t="s">
        <v>119</v>
      </c>
      <c r="D487" t="s">
        <v>1106</v>
      </c>
      <c r="E487">
        <v>19.116440000000001</v>
      </c>
      <c r="F487">
        <v>72.909679999999994</v>
      </c>
      <c r="G487">
        <v>7</v>
      </c>
    </row>
    <row r="488" spans="1:7" x14ac:dyDescent="0.3">
      <c r="A488" t="s">
        <v>1107</v>
      </c>
      <c r="B488" t="s">
        <v>405</v>
      </c>
      <c r="C488" t="s">
        <v>1045</v>
      </c>
      <c r="D488" t="s">
        <v>1108</v>
      </c>
      <c r="E488">
        <v>23.371745000000001</v>
      </c>
      <c r="F488">
        <v>85.326113000000007</v>
      </c>
      <c r="G488">
        <v>7</v>
      </c>
    </row>
    <row r="489" spans="1:7" x14ac:dyDescent="0.3">
      <c r="A489" t="s">
        <v>1109</v>
      </c>
      <c r="B489" t="s">
        <v>313</v>
      </c>
      <c r="C489" t="s">
        <v>1110</v>
      </c>
      <c r="D489" t="s">
        <v>1111</v>
      </c>
      <c r="E489">
        <v>20.352134</v>
      </c>
      <c r="F489">
        <v>85.890374300000005</v>
      </c>
      <c r="G489">
        <v>7</v>
      </c>
    </row>
    <row r="490" spans="1:7" x14ac:dyDescent="0.3">
      <c r="A490" t="s">
        <v>1112</v>
      </c>
      <c r="B490" t="s">
        <v>41</v>
      </c>
      <c r="C490" t="s">
        <v>221</v>
      </c>
      <c r="D490" t="s">
        <v>1113</v>
      </c>
      <c r="E490">
        <v>19.991880999999999</v>
      </c>
      <c r="F490">
        <v>73.743904000000001</v>
      </c>
      <c r="G490">
        <v>7</v>
      </c>
    </row>
    <row r="491" spans="1:7" x14ac:dyDescent="0.3">
      <c r="A491" t="s">
        <v>1114</v>
      </c>
      <c r="B491" t="s">
        <v>41</v>
      </c>
      <c r="C491" t="s">
        <v>221</v>
      </c>
      <c r="D491" t="s">
        <v>1115</v>
      </c>
      <c r="E491">
        <v>19.993200000000002</v>
      </c>
      <c r="F491">
        <v>73.783133000000007</v>
      </c>
      <c r="G491">
        <v>7</v>
      </c>
    </row>
    <row r="492" spans="1:7" x14ac:dyDescent="0.3">
      <c r="A492" t="s">
        <v>1116</v>
      </c>
      <c r="B492" t="s">
        <v>68</v>
      </c>
      <c r="C492" t="s">
        <v>1117</v>
      </c>
      <c r="D492" t="s">
        <v>1118</v>
      </c>
      <c r="E492">
        <v>21.885704</v>
      </c>
      <c r="F492">
        <v>73.688136</v>
      </c>
      <c r="G492">
        <v>7</v>
      </c>
    </row>
    <row r="493" spans="1:7" x14ac:dyDescent="0.3">
      <c r="A493" t="s">
        <v>1119</v>
      </c>
      <c r="B493" t="s">
        <v>41</v>
      </c>
      <c r="C493" t="s">
        <v>1120</v>
      </c>
      <c r="D493" t="s">
        <v>1121</v>
      </c>
      <c r="E493">
        <v>19.911982999999999</v>
      </c>
      <c r="F493">
        <v>75.232932000000005</v>
      </c>
      <c r="G493">
        <v>7</v>
      </c>
    </row>
    <row r="494" spans="1:7" x14ac:dyDescent="0.3">
      <c r="A494" t="s">
        <v>1122</v>
      </c>
      <c r="B494" t="s">
        <v>41</v>
      </c>
      <c r="C494" t="s">
        <v>166</v>
      </c>
      <c r="D494" t="s">
        <v>1123</v>
      </c>
      <c r="E494">
        <v>19.256119999999999</v>
      </c>
      <c r="F494">
        <v>72.971450000000004</v>
      </c>
      <c r="G494">
        <v>7</v>
      </c>
    </row>
    <row r="495" spans="1:7" x14ac:dyDescent="0.3">
      <c r="A495" t="s">
        <v>1124</v>
      </c>
      <c r="B495" t="s">
        <v>181</v>
      </c>
      <c r="C495" t="s">
        <v>1125</v>
      </c>
      <c r="D495" t="s">
        <v>1126</v>
      </c>
      <c r="E495">
        <v>31.431348</v>
      </c>
      <c r="F495">
        <v>75.620356999999998</v>
      </c>
      <c r="G495">
        <v>7</v>
      </c>
    </row>
    <row r="496" spans="1:7" x14ac:dyDescent="0.3">
      <c r="A496" t="s">
        <v>1127</v>
      </c>
      <c r="B496" t="s">
        <v>8</v>
      </c>
      <c r="C496" t="s">
        <v>32</v>
      </c>
      <c r="D496" t="s">
        <v>1128</v>
      </c>
      <c r="E496">
        <v>29.731580999999998</v>
      </c>
      <c r="F496">
        <v>76.976511000000002</v>
      </c>
      <c r="G496">
        <v>7</v>
      </c>
    </row>
    <row r="497" spans="1:7" x14ac:dyDescent="0.3">
      <c r="A497" t="s">
        <v>1129</v>
      </c>
      <c r="B497" t="s">
        <v>18</v>
      </c>
      <c r="C497" t="s">
        <v>259</v>
      </c>
      <c r="D497" t="s">
        <v>1130</v>
      </c>
      <c r="E497">
        <v>28.59093</v>
      </c>
      <c r="F497">
        <v>77.319689999999994</v>
      </c>
      <c r="G497">
        <v>7</v>
      </c>
    </row>
    <row r="498" spans="1:7" x14ac:dyDescent="0.3">
      <c r="A498" t="s">
        <v>1131</v>
      </c>
      <c r="B498" t="s">
        <v>41</v>
      </c>
      <c r="C498" t="s">
        <v>1013</v>
      </c>
      <c r="D498" t="s">
        <v>1132</v>
      </c>
      <c r="E498">
        <v>18.9852363</v>
      </c>
      <c r="F498">
        <v>74.576007500000003</v>
      </c>
      <c r="G498">
        <v>7</v>
      </c>
    </row>
    <row r="499" spans="1:7" x14ac:dyDescent="0.3">
      <c r="A499" t="s">
        <v>1133</v>
      </c>
      <c r="B499" t="s">
        <v>18</v>
      </c>
      <c r="C499" t="s">
        <v>1085</v>
      </c>
      <c r="D499" t="s">
        <v>1134</v>
      </c>
      <c r="E499">
        <v>26.863725129999999</v>
      </c>
      <c r="F499">
        <v>81.010275660000005</v>
      </c>
      <c r="G499">
        <v>7</v>
      </c>
    </row>
    <row r="500" spans="1:7" x14ac:dyDescent="0.3">
      <c r="A500" t="s">
        <v>1135</v>
      </c>
      <c r="B500" t="s">
        <v>511</v>
      </c>
      <c r="C500" t="s">
        <v>1136</v>
      </c>
      <c r="D500" t="s">
        <v>1137</v>
      </c>
      <c r="E500">
        <v>22.335788999999998</v>
      </c>
      <c r="F500">
        <v>73.173794000000001</v>
      </c>
      <c r="G500">
        <v>7</v>
      </c>
    </row>
    <row r="501" spans="1:7" x14ac:dyDescent="0.3">
      <c r="A501" t="s">
        <v>1138</v>
      </c>
      <c r="B501" t="s">
        <v>511</v>
      </c>
      <c r="C501" t="s">
        <v>1136</v>
      </c>
      <c r="D501" t="s">
        <v>1139</v>
      </c>
      <c r="E501">
        <v>22.684835100000001</v>
      </c>
      <c r="F501">
        <v>75.855824900000002</v>
      </c>
      <c r="G501">
        <v>7</v>
      </c>
    </row>
    <row r="502" spans="1:7" x14ac:dyDescent="0.3">
      <c r="A502" t="s">
        <v>1140</v>
      </c>
      <c r="B502" t="s">
        <v>463</v>
      </c>
      <c r="C502" t="s">
        <v>1141</v>
      </c>
      <c r="D502" t="s">
        <v>1142</v>
      </c>
      <c r="E502">
        <v>23.663888</v>
      </c>
      <c r="F502">
        <v>87.057978000000006</v>
      </c>
      <c r="G502">
        <v>7</v>
      </c>
    </row>
    <row r="503" spans="1:7" x14ac:dyDescent="0.3">
      <c r="A503" t="s">
        <v>1143</v>
      </c>
      <c r="B503" t="s">
        <v>405</v>
      </c>
      <c r="C503" t="s">
        <v>1144</v>
      </c>
      <c r="D503" t="s">
        <v>1145</v>
      </c>
      <c r="E503">
        <v>23.848551</v>
      </c>
      <c r="F503">
        <v>86.441642000000002</v>
      </c>
      <c r="G503">
        <v>7</v>
      </c>
    </row>
    <row r="504" spans="1:7" x14ac:dyDescent="0.3">
      <c r="A504" t="s">
        <v>1146</v>
      </c>
      <c r="B504" t="s">
        <v>463</v>
      </c>
      <c r="C504" t="s">
        <v>1147</v>
      </c>
      <c r="D504" t="s">
        <v>1148</v>
      </c>
      <c r="E504">
        <v>22.614383</v>
      </c>
      <c r="F504">
        <v>88.273186999999993</v>
      </c>
      <c r="G504">
        <v>7</v>
      </c>
    </row>
    <row r="505" spans="1:7" x14ac:dyDescent="0.3">
      <c r="A505" t="s">
        <v>1149</v>
      </c>
      <c r="B505" t="s">
        <v>463</v>
      </c>
      <c r="C505" t="s">
        <v>1150</v>
      </c>
      <c r="D505" t="s">
        <v>1151</v>
      </c>
      <c r="E505">
        <v>26.323416000000002</v>
      </c>
      <c r="F505">
        <v>89.484913000000006</v>
      </c>
      <c r="G505">
        <v>7</v>
      </c>
    </row>
    <row r="506" spans="1:7" x14ac:dyDescent="0.3">
      <c r="A506" t="s">
        <v>1152</v>
      </c>
      <c r="B506" t="s">
        <v>1153</v>
      </c>
      <c r="C506" t="s">
        <v>1154</v>
      </c>
      <c r="D506" t="s">
        <v>1155</v>
      </c>
      <c r="E506">
        <v>27.305523999999998</v>
      </c>
      <c r="F506">
        <v>88.585965000000002</v>
      </c>
      <c r="G506">
        <v>7</v>
      </c>
    </row>
    <row r="507" spans="1:7" x14ac:dyDescent="0.3">
      <c r="A507" t="s">
        <v>1156</v>
      </c>
      <c r="B507" t="s">
        <v>463</v>
      </c>
      <c r="C507" t="s">
        <v>1157</v>
      </c>
      <c r="D507" t="s">
        <v>1158</v>
      </c>
      <c r="E507">
        <v>26.750937</v>
      </c>
      <c r="F507">
        <v>88.439994999999996</v>
      </c>
      <c r="G507">
        <v>7</v>
      </c>
    </row>
    <row r="508" spans="1:7" x14ac:dyDescent="0.3">
      <c r="A508" t="s">
        <v>1159</v>
      </c>
      <c r="B508" t="s">
        <v>463</v>
      </c>
      <c r="C508" t="s">
        <v>1160</v>
      </c>
      <c r="D508" t="s">
        <v>1161</v>
      </c>
      <c r="E508">
        <v>22.547449</v>
      </c>
      <c r="F508">
        <v>88.349602000000004</v>
      </c>
      <c r="G508">
        <v>7</v>
      </c>
    </row>
    <row r="509" spans="1:7" x14ac:dyDescent="0.3">
      <c r="A509" t="s">
        <v>1162</v>
      </c>
      <c r="B509" t="s">
        <v>115</v>
      </c>
      <c r="C509" t="s">
        <v>1163</v>
      </c>
      <c r="D509" t="s">
        <v>1164</v>
      </c>
      <c r="E509">
        <v>17.454398000000001</v>
      </c>
      <c r="F509">
        <v>78.434574999999995</v>
      </c>
      <c r="G509">
        <v>7</v>
      </c>
    </row>
    <row r="510" spans="1:7" x14ac:dyDescent="0.3">
      <c r="A510" t="s">
        <v>1165</v>
      </c>
      <c r="B510" t="s">
        <v>115</v>
      </c>
      <c r="C510" t="s">
        <v>1163</v>
      </c>
      <c r="D510" t="s">
        <v>1166</v>
      </c>
      <c r="E510">
        <v>17.458480000000002</v>
      </c>
      <c r="F510">
        <v>78.5</v>
      </c>
      <c r="G510">
        <v>7</v>
      </c>
    </row>
    <row r="511" spans="1:7" x14ac:dyDescent="0.3">
      <c r="A511" t="s">
        <v>1167</v>
      </c>
      <c r="B511" t="s">
        <v>115</v>
      </c>
      <c r="C511" t="s">
        <v>1163</v>
      </c>
      <c r="D511" t="s">
        <v>1168</v>
      </c>
      <c r="E511">
        <v>17.490307999999999</v>
      </c>
      <c r="F511">
        <v>78.354535999999996</v>
      </c>
      <c r="G511">
        <v>7</v>
      </c>
    </row>
    <row r="512" spans="1:7" x14ac:dyDescent="0.3">
      <c r="A512" t="s">
        <v>1169</v>
      </c>
      <c r="B512" t="s">
        <v>405</v>
      </c>
      <c r="C512" t="s">
        <v>1170</v>
      </c>
      <c r="D512" t="s">
        <v>1171</v>
      </c>
      <c r="E512">
        <v>23.664729999999999</v>
      </c>
      <c r="F512">
        <v>86.073024000000004</v>
      </c>
      <c r="G512">
        <v>7</v>
      </c>
    </row>
    <row r="513" spans="1:7" x14ac:dyDescent="0.3">
      <c r="A513" t="s">
        <v>1172</v>
      </c>
      <c r="B513" t="s">
        <v>463</v>
      </c>
      <c r="C513" t="s">
        <v>1160</v>
      </c>
      <c r="D513" t="s">
        <v>1173</v>
      </c>
      <c r="E513">
        <v>22.620584999999998</v>
      </c>
      <c r="F513">
        <v>88.461153999999993</v>
      </c>
      <c r="G513">
        <v>7</v>
      </c>
    </row>
    <row r="514" spans="1:7" x14ac:dyDescent="0.3">
      <c r="A514" t="s">
        <v>1174</v>
      </c>
      <c r="B514" t="s">
        <v>418</v>
      </c>
      <c r="C514" t="s">
        <v>1175</v>
      </c>
      <c r="D514" t="s">
        <v>1176</v>
      </c>
      <c r="E514">
        <v>25.634198999999999</v>
      </c>
      <c r="F514">
        <v>85105514</v>
      </c>
      <c r="G514">
        <v>7</v>
      </c>
    </row>
    <row r="515" spans="1:7" x14ac:dyDescent="0.3">
      <c r="A515" t="s">
        <v>1177</v>
      </c>
      <c r="B515" t="s">
        <v>463</v>
      </c>
      <c r="C515" t="s">
        <v>1160</v>
      </c>
      <c r="D515" t="s">
        <v>1178</v>
      </c>
      <c r="E515">
        <v>22.607396000000001</v>
      </c>
      <c r="F515">
        <v>88.392280999999997</v>
      </c>
      <c r="G515">
        <v>7</v>
      </c>
    </row>
    <row r="516" spans="1:7" x14ac:dyDescent="0.3">
      <c r="A516" t="s">
        <v>1179</v>
      </c>
      <c r="B516" t="s">
        <v>14</v>
      </c>
      <c r="C516" t="s">
        <v>214</v>
      </c>
      <c r="D516" t="s">
        <v>1180</v>
      </c>
      <c r="E516">
        <v>26.864372199999998</v>
      </c>
      <c r="F516">
        <v>75.795770300000001</v>
      </c>
      <c r="G516">
        <v>7</v>
      </c>
    </row>
    <row r="517" spans="1:7" x14ac:dyDescent="0.3">
      <c r="A517" t="s">
        <v>1181</v>
      </c>
      <c r="B517" t="s">
        <v>41</v>
      </c>
      <c r="C517" t="s">
        <v>42</v>
      </c>
      <c r="D517" t="s">
        <v>1182</v>
      </c>
      <c r="E517">
        <v>18.562826000000001</v>
      </c>
      <c r="F517">
        <v>73.922392000000002</v>
      </c>
      <c r="G517">
        <v>7</v>
      </c>
    </row>
    <row r="518" spans="1:7" x14ac:dyDescent="0.3">
      <c r="A518" t="s">
        <v>1183</v>
      </c>
      <c r="B518" t="s">
        <v>115</v>
      </c>
      <c r="C518" t="s">
        <v>1163</v>
      </c>
      <c r="D518" t="s">
        <v>1184</v>
      </c>
      <c r="E518">
        <v>17.423857999999999</v>
      </c>
      <c r="F518">
        <v>78.347334000000004</v>
      </c>
      <c r="G518">
        <v>7</v>
      </c>
    </row>
    <row r="519" spans="1:7" x14ac:dyDescent="0.3">
      <c r="A519" t="s">
        <v>1185</v>
      </c>
      <c r="B519" t="s">
        <v>49</v>
      </c>
      <c r="C519" t="s">
        <v>1008</v>
      </c>
      <c r="D519" t="s">
        <v>1186</v>
      </c>
      <c r="E519">
        <v>12.730596</v>
      </c>
      <c r="F519">
        <v>80.004630000000006</v>
      </c>
      <c r="G519">
        <v>7</v>
      </c>
    </row>
    <row r="520" spans="1:7" x14ac:dyDescent="0.3">
      <c r="A520" t="s">
        <v>1187</v>
      </c>
      <c r="B520" t="s">
        <v>49</v>
      </c>
      <c r="C520" t="s">
        <v>1008</v>
      </c>
      <c r="D520" t="s">
        <v>1188</v>
      </c>
      <c r="E520">
        <v>12.875613</v>
      </c>
      <c r="F520">
        <v>80.227372000000003</v>
      </c>
      <c r="G520">
        <v>7</v>
      </c>
    </row>
    <row r="521" spans="1:7" x14ac:dyDescent="0.3">
      <c r="A521" t="s">
        <v>1189</v>
      </c>
      <c r="B521" t="s">
        <v>68</v>
      </c>
      <c r="C521" t="s">
        <v>69</v>
      </c>
      <c r="D521" t="s">
        <v>1190</v>
      </c>
      <c r="E521">
        <v>23.052278699999999</v>
      </c>
      <c r="F521">
        <v>72.571088200000005</v>
      </c>
      <c r="G521">
        <v>7</v>
      </c>
    </row>
    <row r="522" spans="1:7" x14ac:dyDescent="0.3">
      <c r="A522" t="s">
        <v>1191</v>
      </c>
      <c r="B522" t="s">
        <v>45</v>
      </c>
      <c r="C522" t="s">
        <v>45</v>
      </c>
      <c r="D522" t="s">
        <v>1192</v>
      </c>
      <c r="E522">
        <v>28.603498800000001</v>
      </c>
      <c r="F522">
        <v>77.335422100000002</v>
      </c>
      <c r="G522">
        <v>7</v>
      </c>
    </row>
    <row r="523" spans="1:7" x14ac:dyDescent="0.3">
      <c r="A523" t="s">
        <v>1193</v>
      </c>
      <c r="B523" t="s">
        <v>45</v>
      </c>
      <c r="C523" t="s">
        <v>45</v>
      </c>
      <c r="D523" t="s">
        <v>1194</v>
      </c>
      <c r="E523">
        <v>28.676245999999999</v>
      </c>
      <c r="F523">
        <v>77.317679999999996</v>
      </c>
      <c r="G523">
        <v>7</v>
      </c>
    </row>
    <row r="524" spans="1:7" x14ac:dyDescent="0.3">
      <c r="A524" t="s">
        <v>1195</v>
      </c>
      <c r="B524" t="s">
        <v>68</v>
      </c>
      <c r="C524" t="s">
        <v>1196</v>
      </c>
      <c r="D524" t="s">
        <v>1197</v>
      </c>
      <c r="E524">
        <v>22.937813899999998</v>
      </c>
      <c r="F524">
        <v>72.455668000000003</v>
      </c>
      <c r="G524">
        <v>7</v>
      </c>
    </row>
    <row r="525" spans="1:7" x14ac:dyDescent="0.3">
      <c r="A525" t="s">
        <v>1198</v>
      </c>
      <c r="B525" t="s">
        <v>68</v>
      </c>
      <c r="C525" t="s">
        <v>1199</v>
      </c>
      <c r="D525" t="s">
        <v>1200</v>
      </c>
      <c r="E525">
        <v>22.924743700000001</v>
      </c>
      <c r="F525">
        <v>72.543495500000006</v>
      </c>
      <c r="G525">
        <v>7</v>
      </c>
    </row>
    <row r="526" spans="1:7" x14ac:dyDescent="0.3">
      <c r="A526" t="s">
        <v>1201</v>
      </c>
      <c r="B526" t="s">
        <v>68</v>
      </c>
      <c r="C526" t="s">
        <v>185</v>
      </c>
      <c r="D526" t="s">
        <v>1202</v>
      </c>
      <c r="E526">
        <v>22.321698600000001</v>
      </c>
      <c r="F526">
        <v>73.154985999999994</v>
      </c>
      <c r="G526">
        <v>7</v>
      </c>
    </row>
    <row r="527" spans="1:7" x14ac:dyDescent="0.3">
      <c r="A527" t="s">
        <v>1203</v>
      </c>
      <c r="B527" t="s">
        <v>463</v>
      </c>
      <c r="C527" t="s">
        <v>1157</v>
      </c>
      <c r="D527" t="s">
        <v>1204</v>
      </c>
      <c r="E527">
        <v>26.729623</v>
      </c>
      <c r="F527">
        <v>88.373902999999999</v>
      </c>
      <c r="G527">
        <v>7</v>
      </c>
    </row>
    <row r="528" spans="1:7" x14ac:dyDescent="0.3">
      <c r="A528" t="s">
        <v>1205</v>
      </c>
      <c r="B528" t="s">
        <v>41</v>
      </c>
      <c r="C528" t="s">
        <v>1206</v>
      </c>
      <c r="D528" t="s">
        <v>1207</v>
      </c>
      <c r="G528">
        <v>7</v>
      </c>
    </row>
    <row r="529" spans="1:7" x14ac:dyDescent="0.3">
      <c r="A529" t="s">
        <v>1208</v>
      </c>
      <c r="B529" t="s">
        <v>49</v>
      </c>
      <c r="C529" t="s">
        <v>188</v>
      </c>
      <c r="D529" t="s">
        <v>1209</v>
      </c>
      <c r="E529">
        <v>11.00269216</v>
      </c>
      <c r="F529">
        <v>77.038707900000006</v>
      </c>
      <c r="G529">
        <v>7</v>
      </c>
    </row>
    <row r="530" spans="1:7" x14ac:dyDescent="0.3">
      <c r="A530" t="s">
        <v>1210</v>
      </c>
      <c r="B530" t="s">
        <v>49</v>
      </c>
      <c r="C530" t="s">
        <v>1211</v>
      </c>
      <c r="D530" t="s">
        <v>1212</v>
      </c>
      <c r="E530">
        <v>12.61860448</v>
      </c>
      <c r="F530">
        <v>80.194005970000006</v>
      </c>
      <c r="G530">
        <v>7</v>
      </c>
    </row>
    <row r="531" spans="1:7" x14ac:dyDescent="0.3">
      <c r="A531" t="s">
        <v>1213</v>
      </c>
      <c r="B531" t="s">
        <v>49</v>
      </c>
      <c r="C531" t="s">
        <v>1211</v>
      </c>
      <c r="D531" t="s">
        <v>1214</v>
      </c>
      <c r="E531">
        <v>12.6325138</v>
      </c>
      <c r="F531">
        <v>80.195839100000001</v>
      </c>
      <c r="G531">
        <v>7</v>
      </c>
    </row>
    <row r="532" spans="1:7" x14ac:dyDescent="0.3">
      <c r="A532" t="s">
        <v>1215</v>
      </c>
      <c r="B532" t="s">
        <v>49</v>
      </c>
      <c r="C532" t="s">
        <v>1008</v>
      </c>
      <c r="D532" t="s">
        <v>1216</v>
      </c>
      <c r="E532">
        <v>13.033655</v>
      </c>
      <c r="F532">
        <v>80.255285000000001</v>
      </c>
      <c r="G532">
        <v>7</v>
      </c>
    </row>
    <row r="533" spans="1:7" x14ac:dyDescent="0.3">
      <c r="A533" t="s">
        <v>1217</v>
      </c>
      <c r="B533" t="s">
        <v>41</v>
      </c>
      <c r="C533" t="s">
        <v>42</v>
      </c>
      <c r="D533" t="s">
        <v>1218</v>
      </c>
      <c r="E533">
        <v>18.4995583</v>
      </c>
      <c r="F533">
        <v>73.868563899999998</v>
      </c>
      <c r="G533">
        <v>7</v>
      </c>
    </row>
    <row r="534" spans="1:7" x14ac:dyDescent="0.3">
      <c r="A534" t="s">
        <v>1219</v>
      </c>
      <c r="B534" t="s">
        <v>807</v>
      </c>
      <c r="C534" t="s">
        <v>1220</v>
      </c>
      <c r="D534" t="s">
        <v>1221</v>
      </c>
      <c r="E534">
        <v>15.023949999999999</v>
      </c>
      <c r="F534">
        <v>77.620627999999996</v>
      </c>
      <c r="G534">
        <v>7</v>
      </c>
    </row>
    <row r="535" spans="1:7" x14ac:dyDescent="0.3">
      <c r="A535" t="s">
        <v>1222</v>
      </c>
      <c r="B535" t="s">
        <v>313</v>
      </c>
      <c r="C535" t="s">
        <v>1223</v>
      </c>
      <c r="D535" t="s">
        <v>1224</v>
      </c>
      <c r="E535">
        <v>19.298988000000001</v>
      </c>
      <c r="F535">
        <v>84.831761999999998</v>
      </c>
      <c r="G535">
        <v>7</v>
      </c>
    </row>
    <row r="536" spans="1:7" x14ac:dyDescent="0.3">
      <c r="A536" t="s">
        <v>1225</v>
      </c>
      <c r="B536" t="s">
        <v>511</v>
      </c>
      <c r="C536" t="s">
        <v>1136</v>
      </c>
      <c r="D536" t="s">
        <v>1226</v>
      </c>
      <c r="E536">
        <v>22.652030199999999</v>
      </c>
      <c r="F536">
        <v>75.821320999999998</v>
      </c>
      <c r="G536">
        <v>7</v>
      </c>
    </row>
    <row r="537" spans="1:7" x14ac:dyDescent="0.3">
      <c r="A537" t="s">
        <v>1227</v>
      </c>
      <c r="B537" t="s">
        <v>41</v>
      </c>
      <c r="C537" t="s">
        <v>1228</v>
      </c>
      <c r="D537" t="s">
        <v>1229</v>
      </c>
      <c r="G537">
        <v>7</v>
      </c>
    </row>
    <row r="538" spans="1:7" x14ac:dyDescent="0.3">
      <c r="A538" t="s">
        <v>1230</v>
      </c>
      <c r="B538" t="s">
        <v>41</v>
      </c>
      <c r="C538" t="s">
        <v>42</v>
      </c>
      <c r="D538" t="s">
        <v>1231</v>
      </c>
      <c r="E538">
        <v>18.620957400000002</v>
      </c>
      <c r="F538">
        <v>73.829984199999998</v>
      </c>
      <c r="G538">
        <v>7</v>
      </c>
    </row>
    <row r="539" spans="1:7" x14ac:dyDescent="0.3">
      <c r="A539" t="s">
        <v>1232</v>
      </c>
      <c r="B539" t="s">
        <v>807</v>
      </c>
      <c r="C539" t="s">
        <v>1233</v>
      </c>
      <c r="D539" t="s">
        <v>1234</v>
      </c>
      <c r="E539">
        <v>15.6382976</v>
      </c>
      <c r="F539">
        <v>80.0167529</v>
      </c>
      <c r="G539">
        <v>7</v>
      </c>
    </row>
    <row r="540" spans="1:7" x14ac:dyDescent="0.3">
      <c r="A540" t="s">
        <v>1235</v>
      </c>
      <c r="B540" t="s">
        <v>506</v>
      </c>
      <c r="C540" t="s">
        <v>1236</v>
      </c>
      <c r="D540" t="s">
        <v>1237</v>
      </c>
      <c r="E540">
        <v>21.256789699999999</v>
      </c>
      <c r="F540">
        <v>81.559444499999998</v>
      </c>
      <c r="G540">
        <v>7</v>
      </c>
    </row>
    <row r="541" spans="1:7" x14ac:dyDescent="0.3">
      <c r="A541" t="s">
        <v>1238</v>
      </c>
      <c r="B541" t="s">
        <v>115</v>
      </c>
      <c r="C541" t="s">
        <v>116</v>
      </c>
      <c r="D541" t="s">
        <v>1239</v>
      </c>
      <c r="E541">
        <v>17.478362000000001</v>
      </c>
      <c r="F541">
        <v>78.473772299999993</v>
      </c>
      <c r="G541">
        <v>7</v>
      </c>
    </row>
    <row r="542" spans="1:7" x14ac:dyDescent="0.3">
      <c r="A542" t="s">
        <v>1240</v>
      </c>
      <c r="B542" t="s">
        <v>506</v>
      </c>
      <c r="C542" t="s">
        <v>1241</v>
      </c>
      <c r="D542" t="s">
        <v>1242</v>
      </c>
      <c r="E542">
        <v>21.2165392</v>
      </c>
      <c r="F542">
        <v>81.401487000000003</v>
      </c>
      <c r="G542">
        <v>7</v>
      </c>
    </row>
    <row r="543" spans="1:7" x14ac:dyDescent="0.3">
      <c r="A543" t="s">
        <v>1243</v>
      </c>
      <c r="B543" t="s">
        <v>506</v>
      </c>
      <c r="C543" t="s">
        <v>1244</v>
      </c>
      <c r="D543" t="s">
        <v>1245</v>
      </c>
      <c r="E543">
        <v>21.206036000000001</v>
      </c>
      <c r="F543">
        <v>81.341860600000004</v>
      </c>
      <c r="G543">
        <v>7</v>
      </c>
    </row>
    <row r="544" spans="1:7" x14ac:dyDescent="0.3">
      <c r="A544" t="s">
        <v>1246</v>
      </c>
      <c r="B544" t="s">
        <v>418</v>
      </c>
      <c r="C544" t="s">
        <v>1247</v>
      </c>
      <c r="D544" t="s">
        <v>1248</v>
      </c>
      <c r="E544">
        <v>25.252209400000002</v>
      </c>
      <c r="F544">
        <v>87.045028900000005</v>
      </c>
      <c r="G544">
        <v>7</v>
      </c>
    </row>
    <row r="545" spans="1:7" x14ac:dyDescent="0.3">
      <c r="A545" t="s">
        <v>1249</v>
      </c>
      <c r="B545" t="s">
        <v>807</v>
      </c>
      <c r="C545" t="s">
        <v>1250</v>
      </c>
      <c r="D545" t="s">
        <v>1251</v>
      </c>
      <c r="E545">
        <v>16.5812639</v>
      </c>
      <c r="F545">
        <v>80.526349300000007</v>
      </c>
      <c r="G545">
        <v>7</v>
      </c>
    </row>
    <row r="546" spans="1:7" x14ac:dyDescent="0.3">
      <c r="A546" t="s">
        <v>1252</v>
      </c>
      <c r="B546" t="s">
        <v>45</v>
      </c>
      <c r="C546" t="s">
        <v>45</v>
      </c>
      <c r="D546" t="s">
        <v>1253</v>
      </c>
      <c r="E546">
        <v>28.642218799999998</v>
      </c>
      <c r="F546">
        <v>77.105891299999996</v>
      </c>
      <c r="G546">
        <v>7</v>
      </c>
    </row>
    <row r="547" spans="1:7" x14ac:dyDescent="0.3">
      <c r="A547" t="s">
        <v>1254</v>
      </c>
      <c r="B547" t="s">
        <v>45</v>
      </c>
      <c r="C547" t="s">
        <v>45</v>
      </c>
      <c r="D547" t="s">
        <v>1255</v>
      </c>
      <c r="E547">
        <v>28.693340899999999</v>
      </c>
      <c r="F547">
        <v>77.153132499999998</v>
      </c>
      <c r="G547">
        <v>7</v>
      </c>
    </row>
    <row r="548" spans="1:7" x14ac:dyDescent="0.3">
      <c r="A548" t="s">
        <v>1256</v>
      </c>
      <c r="B548" t="s">
        <v>45</v>
      </c>
      <c r="C548" t="s">
        <v>45</v>
      </c>
      <c r="D548" t="s">
        <v>1257</v>
      </c>
      <c r="E548">
        <v>28.5512199</v>
      </c>
      <c r="F548">
        <v>77.056702000000001</v>
      </c>
      <c r="G548">
        <v>7</v>
      </c>
    </row>
    <row r="549" spans="1:7" x14ac:dyDescent="0.3">
      <c r="A549" t="s">
        <v>1258</v>
      </c>
      <c r="B549" t="s">
        <v>18</v>
      </c>
      <c r="C549" t="s">
        <v>1259</v>
      </c>
      <c r="D549" t="s">
        <v>1260</v>
      </c>
      <c r="E549">
        <v>28.6461808</v>
      </c>
      <c r="F549">
        <v>77.320789099999999</v>
      </c>
      <c r="G549">
        <v>7</v>
      </c>
    </row>
    <row r="550" spans="1:7" x14ac:dyDescent="0.3">
      <c r="A550" t="s">
        <v>1261</v>
      </c>
      <c r="B550" t="s">
        <v>64</v>
      </c>
      <c r="C550" t="s">
        <v>65</v>
      </c>
      <c r="D550" t="s">
        <v>1262</v>
      </c>
      <c r="E550">
        <v>30.366259500000002</v>
      </c>
      <c r="F550">
        <v>78.070527999999996</v>
      </c>
      <c r="G550">
        <v>7</v>
      </c>
    </row>
    <row r="551" spans="1:7" x14ac:dyDescent="0.3">
      <c r="A551" t="s">
        <v>1263</v>
      </c>
      <c r="B551" t="s">
        <v>807</v>
      </c>
      <c r="C551" t="s">
        <v>1264</v>
      </c>
      <c r="D551" t="s">
        <v>1265</v>
      </c>
      <c r="E551">
        <v>17.712413040000001</v>
      </c>
      <c r="F551">
        <v>83.3184811</v>
      </c>
      <c r="G551">
        <v>7</v>
      </c>
    </row>
    <row r="552" spans="1:7" x14ac:dyDescent="0.3">
      <c r="A552" t="s">
        <v>1266</v>
      </c>
      <c r="B552" t="s">
        <v>41</v>
      </c>
      <c r="C552" t="s">
        <v>1267</v>
      </c>
      <c r="D552" t="s">
        <v>1268</v>
      </c>
      <c r="E552">
        <v>17.933525800000002</v>
      </c>
      <c r="F552">
        <v>73.815857399999999</v>
      </c>
      <c r="G552">
        <v>7</v>
      </c>
    </row>
    <row r="553" spans="1:7" x14ac:dyDescent="0.3">
      <c r="A553" t="s">
        <v>1269</v>
      </c>
      <c r="B553" t="s">
        <v>41</v>
      </c>
      <c r="C553" t="s">
        <v>42</v>
      </c>
      <c r="D553" t="s">
        <v>1270</v>
      </c>
      <c r="E553">
        <v>18.991327290000001</v>
      </c>
      <c r="F553">
        <v>73.942779540000004</v>
      </c>
      <c r="G553">
        <v>7</v>
      </c>
    </row>
    <row r="554" spans="1:7" x14ac:dyDescent="0.3">
      <c r="A554" t="s">
        <v>1271</v>
      </c>
      <c r="B554" t="s">
        <v>41</v>
      </c>
      <c r="C554" t="s">
        <v>240</v>
      </c>
      <c r="D554" t="s">
        <v>1272</v>
      </c>
      <c r="E554">
        <v>19.7650352</v>
      </c>
      <c r="F554">
        <v>74.475459200000003</v>
      </c>
      <c r="G554">
        <v>7</v>
      </c>
    </row>
    <row r="555" spans="1:7" x14ac:dyDescent="0.3">
      <c r="A555" t="s">
        <v>1273</v>
      </c>
      <c r="B555" t="s">
        <v>313</v>
      </c>
      <c r="C555" t="s">
        <v>1274</v>
      </c>
      <c r="D555" t="s">
        <v>1275</v>
      </c>
      <c r="E555">
        <v>21.497869000000001</v>
      </c>
      <c r="F555">
        <v>86.889610000000005</v>
      </c>
      <c r="G555">
        <v>7</v>
      </c>
    </row>
    <row r="556" spans="1:7" x14ac:dyDescent="0.3">
      <c r="A556" t="s">
        <v>1276</v>
      </c>
      <c r="B556" t="s">
        <v>506</v>
      </c>
      <c r="C556" t="s">
        <v>1277</v>
      </c>
      <c r="D556" t="s">
        <v>1278</v>
      </c>
      <c r="E556">
        <v>19.065780199999999</v>
      </c>
      <c r="F556">
        <v>81.963595600000005</v>
      </c>
      <c r="G556">
        <v>7</v>
      </c>
    </row>
    <row r="557" spans="1:7" x14ac:dyDescent="0.3">
      <c r="A557" t="s">
        <v>1279</v>
      </c>
      <c r="B557" t="s">
        <v>1051</v>
      </c>
      <c r="C557" t="s">
        <v>1280</v>
      </c>
      <c r="D557" t="s">
        <v>1281</v>
      </c>
      <c r="E557">
        <v>26.747048700000001</v>
      </c>
      <c r="F557">
        <v>94.168071800000007</v>
      </c>
      <c r="G557">
        <v>7</v>
      </c>
    </row>
    <row r="558" spans="1:7" x14ac:dyDescent="0.3">
      <c r="A558" t="s">
        <v>1282</v>
      </c>
      <c r="B558" t="s">
        <v>14</v>
      </c>
      <c r="C558" t="s">
        <v>1283</v>
      </c>
      <c r="D558" t="s">
        <v>1284</v>
      </c>
      <c r="E558">
        <v>27.159085099999999</v>
      </c>
      <c r="F558">
        <v>75.960384399999995</v>
      </c>
      <c r="G558">
        <v>7</v>
      </c>
    </row>
    <row r="559" spans="1:7" x14ac:dyDescent="0.3">
      <c r="A559" t="s">
        <v>1285</v>
      </c>
      <c r="B559" t="s">
        <v>41</v>
      </c>
      <c r="C559" t="s">
        <v>119</v>
      </c>
      <c r="D559" t="s">
        <v>1286</v>
      </c>
      <c r="E559">
        <v>19.1737611</v>
      </c>
      <c r="F559">
        <v>72.860017200000001</v>
      </c>
      <c r="G559">
        <v>7</v>
      </c>
    </row>
    <row r="560" spans="1:7" x14ac:dyDescent="0.3">
      <c r="A560" t="s">
        <v>1285</v>
      </c>
      <c r="B560" t="s">
        <v>41</v>
      </c>
      <c r="C560" t="s">
        <v>119</v>
      </c>
      <c r="D560" t="s">
        <v>1286</v>
      </c>
      <c r="E560">
        <v>19.1737611</v>
      </c>
      <c r="F560">
        <v>72.860017200000001</v>
      </c>
      <c r="G560">
        <v>7</v>
      </c>
    </row>
    <row r="561" spans="1:7" x14ac:dyDescent="0.3">
      <c r="A561" t="s">
        <v>1287</v>
      </c>
      <c r="B561" t="s">
        <v>68</v>
      </c>
      <c r="C561" t="s">
        <v>1288</v>
      </c>
      <c r="D561" t="s">
        <v>1289</v>
      </c>
      <c r="E561">
        <v>22.225263999999999</v>
      </c>
      <c r="F561">
        <v>70.801197000000002</v>
      </c>
      <c r="G561">
        <v>7</v>
      </c>
    </row>
    <row r="562" spans="1:7" x14ac:dyDescent="0.3">
      <c r="A562" t="s">
        <v>1290</v>
      </c>
      <c r="B562" t="s">
        <v>463</v>
      </c>
      <c r="C562" t="s">
        <v>1291</v>
      </c>
      <c r="D562" t="s">
        <v>1292</v>
      </c>
      <c r="E562">
        <v>22.438050100000002</v>
      </c>
      <c r="F562">
        <v>88.763395000000003</v>
      </c>
      <c r="G562">
        <v>7</v>
      </c>
    </row>
    <row r="563" spans="1:7" x14ac:dyDescent="0.3">
      <c r="A563" t="s">
        <v>1293</v>
      </c>
      <c r="B563" t="s">
        <v>1051</v>
      </c>
      <c r="C563" t="s">
        <v>194</v>
      </c>
      <c r="D563" t="s">
        <v>1294</v>
      </c>
      <c r="E563">
        <v>26.312331499999999</v>
      </c>
      <c r="F563">
        <v>92.640186400000005</v>
      </c>
      <c r="G563">
        <v>7</v>
      </c>
    </row>
    <row r="564" spans="1:7" x14ac:dyDescent="0.3">
      <c r="A564" t="s">
        <v>1295</v>
      </c>
      <c r="B564" t="s">
        <v>115</v>
      </c>
      <c r="C564" t="s">
        <v>1163</v>
      </c>
      <c r="D564" t="s">
        <v>1296</v>
      </c>
      <c r="E564">
        <v>17.436830400000002</v>
      </c>
      <c r="F564">
        <v>78.398326100000006</v>
      </c>
      <c r="G564">
        <v>7</v>
      </c>
    </row>
    <row r="565" spans="1:7" x14ac:dyDescent="0.3">
      <c r="A565" t="s">
        <v>1297</v>
      </c>
      <c r="B565" t="s">
        <v>463</v>
      </c>
      <c r="C565" t="s">
        <v>1298</v>
      </c>
      <c r="D565" t="s">
        <v>1299</v>
      </c>
      <c r="E565">
        <v>22.380721000000001</v>
      </c>
      <c r="F565">
        <v>87.365967999999995</v>
      </c>
      <c r="G565">
        <v>7</v>
      </c>
    </row>
    <row r="566" spans="1:7" x14ac:dyDescent="0.3">
      <c r="A566" t="s">
        <v>1300</v>
      </c>
      <c r="B566" t="s">
        <v>313</v>
      </c>
      <c r="C566" t="s">
        <v>1110</v>
      </c>
      <c r="D566" t="s">
        <v>1301</v>
      </c>
      <c r="E566">
        <v>20.238164999999999</v>
      </c>
      <c r="F566">
        <v>85.756642999999997</v>
      </c>
      <c r="G566">
        <v>7</v>
      </c>
    </row>
    <row r="567" spans="1:7" x14ac:dyDescent="0.3">
      <c r="A567" t="s">
        <v>1302</v>
      </c>
      <c r="B567" t="s">
        <v>41</v>
      </c>
      <c r="C567" t="s">
        <v>1206</v>
      </c>
      <c r="D567" t="s">
        <v>1303</v>
      </c>
      <c r="E567">
        <v>18.956318799999998</v>
      </c>
      <c r="F567">
        <v>73.162650600000006</v>
      </c>
      <c r="G567">
        <v>7</v>
      </c>
    </row>
    <row r="568" spans="1:7" x14ac:dyDescent="0.3">
      <c r="A568" t="s">
        <v>1304</v>
      </c>
      <c r="B568" t="s">
        <v>68</v>
      </c>
      <c r="C568" t="s">
        <v>69</v>
      </c>
      <c r="D568" t="s">
        <v>1305</v>
      </c>
      <c r="E568">
        <v>23.063390299999998</v>
      </c>
      <c r="F568">
        <v>72.531762499999999</v>
      </c>
      <c r="G568">
        <v>7</v>
      </c>
    </row>
    <row r="569" spans="1:7" x14ac:dyDescent="0.3">
      <c r="A569" t="s">
        <v>1306</v>
      </c>
      <c r="B569" t="s">
        <v>68</v>
      </c>
      <c r="C569" t="s">
        <v>69</v>
      </c>
      <c r="D569" t="s">
        <v>1307</v>
      </c>
      <c r="E569">
        <v>23.033220100000001</v>
      </c>
      <c r="F569">
        <v>72.513752800000006</v>
      </c>
      <c r="G569">
        <v>7</v>
      </c>
    </row>
    <row r="570" spans="1:7" x14ac:dyDescent="0.3">
      <c r="A570" t="s">
        <v>1308</v>
      </c>
      <c r="B570" t="s">
        <v>8</v>
      </c>
      <c r="C570" t="s">
        <v>1309</v>
      </c>
      <c r="D570" t="s">
        <v>1310</v>
      </c>
      <c r="E570">
        <v>29.125961700000001</v>
      </c>
      <c r="F570">
        <v>75.802781699999997</v>
      </c>
      <c r="G570">
        <v>7</v>
      </c>
    </row>
    <row r="571" spans="1:7" x14ac:dyDescent="0.3">
      <c r="A571" t="s">
        <v>1311</v>
      </c>
      <c r="B571" t="s">
        <v>18</v>
      </c>
      <c r="C571" t="s">
        <v>1312</v>
      </c>
      <c r="D571" t="s">
        <v>1313</v>
      </c>
      <c r="E571">
        <v>28.828917000000001</v>
      </c>
      <c r="F571">
        <v>78.732842899999994</v>
      </c>
      <c r="G571">
        <v>7</v>
      </c>
    </row>
    <row r="572" spans="1:7" x14ac:dyDescent="0.3">
      <c r="A572" t="s">
        <v>1314</v>
      </c>
      <c r="B572" t="s">
        <v>45</v>
      </c>
      <c r="C572" t="s">
        <v>45</v>
      </c>
      <c r="D572" t="s">
        <v>1315</v>
      </c>
      <c r="E572">
        <v>28.6868847</v>
      </c>
      <c r="F572">
        <v>76.984928600000003</v>
      </c>
      <c r="G572">
        <v>7</v>
      </c>
    </row>
    <row r="573" spans="1:7" x14ac:dyDescent="0.3">
      <c r="A573" t="s">
        <v>1316</v>
      </c>
      <c r="B573" t="s">
        <v>150</v>
      </c>
      <c r="C573" t="s">
        <v>1317</v>
      </c>
      <c r="D573" t="s">
        <v>1318</v>
      </c>
      <c r="E573">
        <v>15.8191673</v>
      </c>
      <c r="F573">
        <v>74.493774400000007</v>
      </c>
      <c r="G573">
        <v>7</v>
      </c>
    </row>
    <row r="574" spans="1:7" x14ac:dyDescent="0.3">
      <c r="A574" t="s">
        <v>1319</v>
      </c>
      <c r="B574" t="s">
        <v>150</v>
      </c>
      <c r="C574" t="s">
        <v>1320</v>
      </c>
      <c r="D574" t="s">
        <v>1321</v>
      </c>
      <c r="E574">
        <v>15.369541</v>
      </c>
      <c r="F574">
        <v>75.119095000000002</v>
      </c>
      <c r="G574">
        <v>7</v>
      </c>
    </row>
    <row r="575" spans="1:7" x14ac:dyDescent="0.3">
      <c r="A575" t="s">
        <v>1322</v>
      </c>
      <c r="B575" t="s">
        <v>41</v>
      </c>
      <c r="C575" t="s">
        <v>1323</v>
      </c>
      <c r="D575" t="s">
        <v>1324</v>
      </c>
      <c r="E575">
        <v>18.487404999999999</v>
      </c>
      <c r="F575">
        <v>74.146124999999998</v>
      </c>
      <c r="G575">
        <v>7</v>
      </c>
    </row>
    <row r="576" spans="1:7" x14ac:dyDescent="0.3">
      <c r="A576" t="s">
        <v>1325</v>
      </c>
      <c r="B576" t="s">
        <v>18</v>
      </c>
      <c r="C576" t="s">
        <v>1259</v>
      </c>
      <c r="D576" t="s">
        <v>1326</v>
      </c>
      <c r="E576">
        <v>28.6765653</v>
      </c>
      <c r="F576">
        <v>77.341821999999993</v>
      </c>
      <c r="G576">
        <v>7</v>
      </c>
    </row>
    <row r="577" spans="1:7" x14ac:dyDescent="0.3">
      <c r="A577" t="s">
        <v>1327</v>
      </c>
      <c r="B577" t="s">
        <v>45</v>
      </c>
      <c r="C577" t="s">
        <v>45</v>
      </c>
      <c r="D577" t="s">
        <v>1328</v>
      </c>
      <c r="E577">
        <v>28.732426499999999</v>
      </c>
      <c r="F577">
        <v>77.198624800000005</v>
      </c>
      <c r="G577">
        <v>7</v>
      </c>
    </row>
    <row r="578" spans="1:7" x14ac:dyDescent="0.3">
      <c r="A578" t="s">
        <v>1329</v>
      </c>
      <c r="B578" t="s">
        <v>45</v>
      </c>
      <c r="C578" t="s">
        <v>45</v>
      </c>
      <c r="D578" t="s">
        <v>1330</v>
      </c>
      <c r="E578">
        <v>28.619866680000001</v>
      </c>
      <c r="F578">
        <v>77.113982440000001</v>
      </c>
      <c r="G578">
        <v>7</v>
      </c>
    </row>
    <row r="579" spans="1:7" x14ac:dyDescent="0.3">
      <c r="A579" t="s">
        <v>1331</v>
      </c>
      <c r="B579" t="s">
        <v>14</v>
      </c>
      <c r="C579" t="s">
        <v>1332</v>
      </c>
      <c r="D579" t="s">
        <v>1333</v>
      </c>
      <c r="E579">
        <v>24.827664500000001</v>
      </c>
      <c r="F579">
        <v>74.627293499999993</v>
      </c>
      <c r="G579">
        <v>7</v>
      </c>
    </row>
    <row r="580" spans="1:7" x14ac:dyDescent="0.3">
      <c r="A580" t="s">
        <v>1334</v>
      </c>
      <c r="B580" t="s">
        <v>49</v>
      </c>
      <c r="C580" t="s">
        <v>1335</v>
      </c>
      <c r="D580" t="s">
        <v>1336</v>
      </c>
      <c r="E580">
        <v>10.381127299999999</v>
      </c>
      <c r="F580">
        <v>77.99681425</v>
      </c>
      <c r="G580">
        <v>7</v>
      </c>
    </row>
    <row r="581" spans="1:7" x14ac:dyDescent="0.3">
      <c r="A581" t="s">
        <v>1337</v>
      </c>
      <c r="B581" t="s">
        <v>49</v>
      </c>
      <c r="C581" t="s">
        <v>1338</v>
      </c>
      <c r="D581" t="s">
        <v>1339</v>
      </c>
      <c r="E581">
        <v>9.9642326000000008</v>
      </c>
      <c r="F581">
        <v>78.065010700000002</v>
      </c>
      <c r="G581">
        <v>7</v>
      </c>
    </row>
    <row r="582" spans="1:7" x14ac:dyDescent="0.3">
      <c r="A582" t="s">
        <v>1340</v>
      </c>
      <c r="B582" t="s">
        <v>150</v>
      </c>
      <c r="C582" t="s">
        <v>1341</v>
      </c>
      <c r="D582" t="s">
        <v>1342</v>
      </c>
      <c r="E582">
        <v>77.597289000000004</v>
      </c>
      <c r="F582">
        <v>12.889141</v>
      </c>
      <c r="G582">
        <v>7</v>
      </c>
    </row>
    <row r="583" spans="1:7" x14ac:dyDescent="0.3">
      <c r="A583" t="s">
        <v>1343</v>
      </c>
      <c r="B583" t="s">
        <v>41</v>
      </c>
      <c r="C583" t="s">
        <v>1095</v>
      </c>
      <c r="D583" t="s">
        <v>1344</v>
      </c>
      <c r="E583">
        <v>17.926557540000001</v>
      </c>
      <c r="F583">
        <v>73.695865650000002</v>
      </c>
      <c r="G583">
        <v>7</v>
      </c>
    </row>
    <row r="584" spans="1:7" x14ac:dyDescent="0.3">
      <c r="A584" t="s">
        <v>1343</v>
      </c>
      <c r="B584" t="s">
        <v>41</v>
      </c>
      <c r="C584" t="s">
        <v>1095</v>
      </c>
      <c r="D584" t="s">
        <v>1344</v>
      </c>
      <c r="E584">
        <v>17.926557540000001</v>
      </c>
      <c r="F584">
        <v>73.695865650000002</v>
      </c>
      <c r="G584">
        <v>7</v>
      </c>
    </row>
    <row r="585" spans="1:7" x14ac:dyDescent="0.3">
      <c r="A585" t="s">
        <v>1345</v>
      </c>
      <c r="B585" t="s">
        <v>807</v>
      </c>
      <c r="C585" t="s">
        <v>1346</v>
      </c>
      <c r="D585" t="s">
        <v>1347</v>
      </c>
      <c r="E585">
        <v>13.29360934</v>
      </c>
      <c r="F585">
        <v>79.581709470000007</v>
      </c>
      <c r="G585">
        <v>7</v>
      </c>
    </row>
    <row r="586" spans="1:7" x14ac:dyDescent="0.3">
      <c r="A586" t="s">
        <v>1348</v>
      </c>
      <c r="B586" t="s">
        <v>807</v>
      </c>
      <c r="C586" t="s">
        <v>1349</v>
      </c>
      <c r="D586" t="s">
        <v>1350</v>
      </c>
      <c r="E586">
        <v>13.374120509999999</v>
      </c>
      <c r="F586">
        <v>79.092102929999996</v>
      </c>
      <c r="G586">
        <v>7</v>
      </c>
    </row>
    <row r="587" spans="1:7" x14ac:dyDescent="0.3">
      <c r="A587" t="s">
        <v>1348</v>
      </c>
      <c r="B587" t="s">
        <v>807</v>
      </c>
      <c r="C587" t="s">
        <v>1351</v>
      </c>
      <c r="D587" t="s">
        <v>1352</v>
      </c>
      <c r="E587">
        <v>13.479943799999999</v>
      </c>
      <c r="F587">
        <v>79.189790299999999</v>
      </c>
      <c r="G587">
        <v>7</v>
      </c>
    </row>
    <row r="588" spans="1:7" x14ac:dyDescent="0.3">
      <c r="A588" t="s">
        <v>1353</v>
      </c>
      <c r="B588" t="s">
        <v>463</v>
      </c>
      <c r="C588" t="s">
        <v>1354</v>
      </c>
      <c r="D588" t="s">
        <v>1355</v>
      </c>
      <c r="E588">
        <v>21.624423</v>
      </c>
      <c r="F588">
        <v>87.528599</v>
      </c>
      <c r="G588">
        <v>7</v>
      </c>
    </row>
    <row r="589" spans="1:7" x14ac:dyDescent="0.3">
      <c r="A589" t="s">
        <v>1356</v>
      </c>
      <c r="B589" t="s">
        <v>807</v>
      </c>
      <c r="C589" t="s">
        <v>1357</v>
      </c>
      <c r="D589" t="s">
        <v>1358</v>
      </c>
      <c r="E589">
        <v>17.373680499999999</v>
      </c>
      <c r="F589">
        <v>82.586259400000003</v>
      </c>
      <c r="G589">
        <v>7</v>
      </c>
    </row>
    <row r="590" spans="1:7" x14ac:dyDescent="0.3">
      <c r="A590" t="s">
        <v>1359</v>
      </c>
      <c r="B590" t="s">
        <v>313</v>
      </c>
      <c r="C590" t="s">
        <v>1360</v>
      </c>
      <c r="D590" t="s">
        <v>1361</v>
      </c>
      <c r="E590">
        <v>18.858098300000002</v>
      </c>
      <c r="F590">
        <v>82.589986699999997</v>
      </c>
      <c r="G590">
        <v>7</v>
      </c>
    </row>
    <row r="591" spans="1:7" x14ac:dyDescent="0.3">
      <c r="A591" t="s">
        <v>1362</v>
      </c>
      <c r="B591" t="s">
        <v>807</v>
      </c>
      <c r="C591" t="s">
        <v>1349</v>
      </c>
      <c r="D591" t="s">
        <v>1363</v>
      </c>
      <c r="E591">
        <v>13.203591899999999</v>
      </c>
      <c r="F591">
        <v>78.941565800000006</v>
      </c>
      <c r="G591">
        <v>7</v>
      </c>
    </row>
    <row r="592" spans="1:7" x14ac:dyDescent="0.3">
      <c r="A592" t="s">
        <v>1364</v>
      </c>
      <c r="B592" t="s">
        <v>807</v>
      </c>
      <c r="C592" t="s">
        <v>1365</v>
      </c>
      <c r="D592" t="s">
        <v>1366</v>
      </c>
      <c r="E592">
        <v>16.992119599999999</v>
      </c>
      <c r="F592">
        <v>81.773577399999994</v>
      </c>
      <c r="G592">
        <v>7</v>
      </c>
    </row>
    <row r="593" spans="1:7" x14ac:dyDescent="0.3">
      <c r="A593" t="s">
        <v>1367</v>
      </c>
      <c r="B593" t="s">
        <v>313</v>
      </c>
      <c r="C593" t="s">
        <v>1110</v>
      </c>
      <c r="D593" t="s">
        <v>1368</v>
      </c>
      <c r="E593">
        <v>20.240856000000001</v>
      </c>
      <c r="F593">
        <v>86.758381999999997</v>
      </c>
      <c r="G593">
        <v>7</v>
      </c>
    </row>
    <row r="594" spans="1:7" x14ac:dyDescent="0.3">
      <c r="A594" t="s">
        <v>1369</v>
      </c>
      <c r="B594" t="s">
        <v>41</v>
      </c>
      <c r="C594" t="s">
        <v>42</v>
      </c>
      <c r="D594" t="s">
        <v>1370</v>
      </c>
      <c r="E594">
        <v>18.621396000000001</v>
      </c>
      <c r="F594">
        <v>73.838437499999998</v>
      </c>
      <c r="G594">
        <v>7</v>
      </c>
    </row>
    <row r="595" spans="1:7" x14ac:dyDescent="0.3">
      <c r="A595" t="s">
        <v>1371</v>
      </c>
      <c r="B595" t="s">
        <v>313</v>
      </c>
      <c r="C595" t="s">
        <v>1110</v>
      </c>
      <c r="D595" t="s">
        <v>1372</v>
      </c>
      <c r="E595">
        <v>20.296188999999998</v>
      </c>
      <c r="F595">
        <v>85.804044500000003</v>
      </c>
      <c r="G595">
        <v>7</v>
      </c>
    </row>
    <row r="596" spans="1:7" x14ac:dyDescent="0.3">
      <c r="A596" t="s">
        <v>1373</v>
      </c>
      <c r="B596" t="s">
        <v>313</v>
      </c>
      <c r="C596" t="s">
        <v>1110</v>
      </c>
      <c r="D596" t="s">
        <v>1374</v>
      </c>
      <c r="E596">
        <v>20.306664699999999</v>
      </c>
      <c r="F596">
        <v>85.852818900000003</v>
      </c>
      <c r="G596">
        <v>7</v>
      </c>
    </row>
    <row r="597" spans="1:7" x14ac:dyDescent="0.3">
      <c r="A597" t="s">
        <v>1375</v>
      </c>
      <c r="B597" t="s">
        <v>313</v>
      </c>
      <c r="C597" t="s">
        <v>1110</v>
      </c>
      <c r="D597" t="s">
        <v>1376</v>
      </c>
      <c r="E597">
        <v>20.285483899999999</v>
      </c>
      <c r="F597">
        <v>85.809325099999995</v>
      </c>
      <c r="G597">
        <v>7</v>
      </c>
    </row>
    <row r="598" spans="1:7" x14ac:dyDescent="0.3">
      <c r="A598" t="s">
        <v>1377</v>
      </c>
      <c r="B598" t="s">
        <v>313</v>
      </c>
      <c r="C598" t="s">
        <v>1110</v>
      </c>
      <c r="D598" t="s">
        <v>1378</v>
      </c>
      <c r="E598">
        <v>20.240902999999999</v>
      </c>
      <c r="F598">
        <v>85.758055999999996</v>
      </c>
      <c r="G598">
        <v>7</v>
      </c>
    </row>
    <row r="599" spans="1:7" x14ac:dyDescent="0.3">
      <c r="A599" t="s">
        <v>1379</v>
      </c>
      <c r="B599" t="s">
        <v>313</v>
      </c>
      <c r="C599" t="s">
        <v>1380</v>
      </c>
      <c r="D599" t="s">
        <v>1381</v>
      </c>
      <c r="E599">
        <v>20.9187324</v>
      </c>
      <c r="F599">
        <v>86.216982700000003</v>
      </c>
      <c r="G599">
        <v>7</v>
      </c>
    </row>
    <row r="600" spans="1:7" x14ac:dyDescent="0.3">
      <c r="A600" t="s">
        <v>1382</v>
      </c>
      <c r="B600" t="s">
        <v>313</v>
      </c>
      <c r="C600" t="s">
        <v>1383</v>
      </c>
      <c r="D600" t="s">
        <v>1384</v>
      </c>
      <c r="E600">
        <v>20.831755699999999</v>
      </c>
      <c r="F600">
        <v>85.241660300000007</v>
      </c>
      <c r="G600">
        <v>7</v>
      </c>
    </row>
    <row r="601" spans="1:7" x14ac:dyDescent="0.3">
      <c r="A601" t="s">
        <v>1385</v>
      </c>
      <c r="B601" t="s">
        <v>1051</v>
      </c>
      <c r="C601" t="s">
        <v>1052</v>
      </c>
      <c r="D601" t="s">
        <v>1386</v>
      </c>
      <c r="E601">
        <v>26.111877</v>
      </c>
      <c r="F601">
        <v>91.759799000000001</v>
      </c>
      <c r="G601">
        <v>7</v>
      </c>
    </row>
    <row r="602" spans="1:7" x14ac:dyDescent="0.3">
      <c r="A602" t="s">
        <v>1387</v>
      </c>
      <c r="B602" t="s">
        <v>14</v>
      </c>
      <c r="C602" t="s">
        <v>1388</v>
      </c>
      <c r="D602" t="s">
        <v>1389</v>
      </c>
      <c r="E602">
        <v>26.912863999999999</v>
      </c>
      <c r="F602">
        <v>76.466964000000004</v>
      </c>
      <c r="G602">
        <v>7</v>
      </c>
    </row>
    <row r="603" spans="1:7" x14ac:dyDescent="0.3">
      <c r="A603" t="s">
        <v>1390</v>
      </c>
      <c r="B603" t="s">
        <v>14</v>
      </c>
      <c r="C603" t="s">
        <v>214</v>
      </c>
      <c r="D603" t="s">
        <v>1391</v>
      </c>
      <c r="E603">
        <v>27.2377252</v>
      </c>
      <c r="F603">
        <v>75.948597500000005</v>
      </c>
      <c r="G603">
        <v>7</v>
      </c>
    </row>
    <row r="604" spans="1:7" x14ac:dyDescent="0.3">
      <c r="A604" t="s">
        <v>1392</v>
      </c>
      <c r="B604" t="s">
        <v>14</v>
      </c>
      <c r="C604" t="s">
        <v>1393</v>
      </c>
      <c r="D604" t="s">
        <v>1394</v>
      </c>
      <c r="E604">
        <v>26.487745</v>
      </c>
      <c r="F604">
        <v>74.629316399999993</v>
      </c>
      <c r="G604">
        <v>7</v>
      </c>
    </row>
    <row r="605" spans="1:7" x14ac:dyDescent="0.3">
      <c r="A605" t="s">
        <v>1395</v>
      </c>
      <c r="B605" t="s">
        <v>14</v>
      </c>
      <c r="C605" t="s">
        <v>1396</v>
      </c>
      <c r="D605" t="s">
        <v>1397</v>
      </c>
      <c r="E605">
        <v>25.936067999999999</v>
      </c>
      <c r="F605">
        <v>75.458672000000007</v>
      </c>
      <c r="G605">
        <v>7</v>
      </c>
    </row>
    <row r="606" spans="1:7" x14ac:dyDescent="0.3">
      <c r="A606" t="s">
        <v>1398</v>
      </c>
      <c r="B606" t="s">
        <v>14</v>
      </c>
      <c r="C606" t="s">
        <v>1399</v>
      </c>
      <c r="D606" t="s">
        <v>1400</v>
      </c>
      <c r="E606">
        <v>28.0088483</v>
      </c>
      <c r="F606">
        <v>76.463978299999994</v>
      </c>
      <c r="G606">
        <v>7</v>
      </c>
    </row>
    <row r="607" spans="1:7" x14ac:dyDescent="0.3">
      <c r="A607" t="s">
        <v>1401</v>
      </c>
      <c r="B607" t="s">
        <v>386</v>
      </c>
      <c r="C607" t="s">
        <v>1402</v>
      </c>
      <c r="D607" t="s">
        <v>1403</v>
      </c>
      <c r="G607">
        <v>7</v>
      </c>
    </row>
    <row r="608" spans="1:7" x14ac:dyDescent="0.3">
      <c r="A608" t="s">
        <v>1404</v>
      </c>
      <c r="B608" t="s">
        <v>150</v>
      </c>
      <c r="C608" t="s">
        <v>1405</v>
      </c>
      <c r="D608" t="s">
        <v>1406</v>
      </c>
      <c r="E608">
        <v>13.924114700000001</v>
      </c>
      <c r="F608">
        <v>76.640007699999998</v>
      </c>
      <c r="G608">
        <v>7</v>
      </c>
    </row>
    <row r="609" spans="1:7" x14ac:dyDescent="0.3">
      <c r="A609" t="s">
        <v>1407</v>
      </c>
      <c r="B609" t="s">
        <v>807</v>
      </c>
      <c r="C609" t="s">
        <v>1346</v>
      </c>
      <c r="D609" t="s">
        <v>1408</v>
      </c>
      <c r="E609">
        <v>13.6207096</v>
      </c>
      <c r="F609">
        <v>79.382814600000003</v>
      </c>
      <c r="G609">
        <v>7</v>
      </c>
    </row>
    <row r="610" spans="1:7" x14ac:dyDescent="0.3">
      <c r="A610" t="s">
        <v>1409</v>
      </c>
      <c r="B610" t="s">
        <v>807</v>
      </c>
      <c r="C610" t="s">
        <v>1410</v>
      </c>
      <c r="D610" t="s">
        <v>1411</v>
      </c>
      <c r="E610">
        <v>15.146297199999999</v>
      </c>
      <c r="F610">
        <v>77.377456100000003</v>
      </c>
      <c r="G610">
        <v>7</v>
      </c>
    </row>
    <row r="611" spans="1:7" x14ac:dyDescent="0.3">
      <c r="A611" t="s">
        <v>1412</v>
      </c>
      <c r="B611" t="s">
        <v>463</v>
      </c>
      <c r="C611" t="s">
        <v>1413</v>
      </c>
      <c r="D611" t="s">
        <v>1414</v>
      </c>
      <c r="E611">
        <v>26.7006026</v>
      </c>
      <c r="F611">
        <v>88.329352400000005</v>
      </c>
      <c r="G611">
        <v>7</v>
      </c>
    </row>
    <row r="612" spans="1:7" x14ac:dyDescent="0.3">
      <c r="A612" t="s">
        <v>1415</v>
      </c>
      <c r="B612" t="s">
        <v>506</v>
      </c>
      <c r="C612" t="s">
        <v>1416</v>
      </c>
      <c r="D612" t="s">
        <v>1417</v>
      </c>
      <c r="E612">
        <v>22.013661200000001</v>
      </c>
      <c r="F612">
        <v>82.0487988</v>
      </c>
      <c r="G612">
        <v>7</v>
      </c>
    </row>
    <row r="613" spans="1:7" x14ac:dyDescent="0.3">
      <c r="A613" t="s">
        <v>1418</v>
      </c>
      <c r="B613" t="s">
        <v>14</v>
      </c>
      <c r="C613" t="s">
        <v>1419</v>
      </c>
      <c r="D613" t="s">
        <v>1420</v>
      </c>
      <c r="E613">
        <v>20.923831499999999</v>
      </c>
      <c r="F613">
        <v>86.249428399999999</v>
      </c>
      <c r="G613">
        <v>7</v>
      </c>
    </row>
    <row r="614" spans="1:7" x14ac:dyDescent="0.3">
      <c r="A614" t="s">
        <v>1421</v>
      </c>
      <c r="B614" t="s">
        <v>506</v>
      </c>
      <c r="C614" t="s">
        <v>1236</v>
      </c>
      <c r="D614" t="s">
        <v>1422</v>
      </c>
      <c r="E614">
        <v>21.319443400000001</v>
      </c>
      <c r="F614">
        <v>81.637296599999999</v>
      </c>
      <c r="G614">
        <v>7</v>
      </c>
    </row>
    <row r="615" spans="1:7" x14ac:dyDescent="0.3">
      <c r="A615" t="s">
        <v>1423</v>
      </c>
      <c r="B615" t="s">
        <v>807</v>
      </c>
      <c r="C615" t="s">
        <v>1048</v>
      </c>
      <c r="D615" t="s">
        <v>1424</v>
      </c>
      <c r="E615">
        <v>15.8305662</v>
      </c>
      <c r="F615">
        <v>78.017989200000002</v>
      </c>
      <c r="G615">
        <v>7</v>
      </c>
    </row>
    <row r="616" spans="1:7" x14ac:dyDescent="0.3">
      <c r="A616" t="s">
        <v>1425</v>
      </c>
      <c r="B616" t="s">
        <v>807</v>
      </c>
      <c r="C616" t="s">
        <v>1048</v>
      </c>
      <c r="D616" t="s">
        <v>1426</v>
      </c>
      <c r="E616">
        <v>15.8498643</v>
      </c>
      <c r="F616">
        <v>78.004500300000004</v>
      </c>
      <c r="G616">
        <v>7</v>
      </c>
    </row>
    <row r="617" spans="1:7" x14ac:dyDescent="0.3">
      <c r="A617" t="s">
        <v>1427</v>
      </c>
      <c r="B617" t="s">
        <v>18</v>
      </c>
      <c r="C617" t="s">
        <v>45</v>
      </c>
      <c r="D617" t="s">
        <v>1428</v>
      </c>
      <c r="E617">
        <v>28.619702499999999</v>
      </c>
      <c r="F617">
        <v>77.341183900000004</v>
      </c>
      <c r="G617">
        <v>7</v>
      </c>
    </row>
    <row r="618" spans="1:7" x14ac:dyDescent="0.3">
      <c r="A618" t="s">
        <v>1429</v>
      </c>
      <c r="B618" t="s">
        <v>49</v>
      </c>
      <c r="C618" t="s">
        <v>1008</v>
      </c>
      <c r="D618" t="s">
        <v>1430</v>
      </c>
      <c r="E618">
        <v>13.0417246</v>
      </c>
      <c r="F618">
        <v>80.1258208</v>
      </c>
      <c r="G618">
        <v>7</v>
      </c>
    </row>
    <row r="619" spans="1:7" x14ac:dyDescent="0.3">
      <c r="A619" t="s">
        <v>1431</v>
      </c>
      <c r="B619" t="s">
        <v>386</v>
      </c>
      <c r="C619" t="s">
        <v>1432</v>
      </c>
      <c r="D619" t="s">
        <v>1433</v>
      </c>
      <c r="E619">
        <v>10.099967100000001</v>
      </c>
      <c r="F619">
        <v>76.347684099999995</v>
      </c>
      <c r="G619">
        <v>7</v>
      </c>
    </row>
    <row r="620" spans="1:7" x14ac:dyDescent="0.3">
      <c r="A620" t="s">
        <v>1434</v>
      </c>
      <c r="B620" t="s">
        <v>386</v>
      </c>
      <c r="C620" t="s">
        <v>1435</v>
      </c>
      <c r="D620" t="s">
        <v>1436</v>
      </c>
      <c r="E620">
        <v>9.9644344999999994</v>
      </c>
      <c r="F620">
        <v>76.318495600000006</v>
      </c>
      <c r="G620">
        <v>7</v>
      </c>
    </row>
    <row r="621" spans="1:7" x14ac:dyDescent="0.3">
      <c r="A621" t="s">
        <v>1437</v>
      </c>
      <c r="B621" t="s">
        <v>150</v>
      </c>
      <c r="C621" t="s">
        <v>1438</v>
      </c>
      <c r="D621" t="s">
        <v>1439</v>
      </c>
      <c r="E621">
        <v>13.336628299999999</v>
      </c>
      <c r="F621">
        <v>75.817878300000004</v>
      </c>
      <c r="G621">
        <v>7</v>
      </c>
    </row>
    <row r="622" spans="1:7" x14ac:dyDescent="0.3">
      <c r="A622" t="s">
        <v>1440</v>
      </c>
      <c r="B622" t="s">
        <v>807</v>
      </c>
      <c r="C622" t="s">
        <v>1441</v>
      </c>
      <c r="D622" t="s">
        <v>1442</v>
      </c>
      <c r="E622">
        <v>14.7529922</v>
      </c>
      <c r="F622">
        <v>78.555076799999995</v>
      </c>
      <c r="G622">
        <v>7</v>
      </c>
    </row>
    <row r="623" spans="1:7" x14ac:dyDescent="0.3">
      <c r="A623" t="s">
        <v>1443</v>
      </c>
      <c r="B623" t="s">
        <v>8</v>
      </c>
      <c r="C623" t="s">
        <v>87</v>
      </c>
      <c r="D623" t="s">
        <v>1444</v>
      </c>
      <c r="E623">
        <v>28.443819600000001</v>
      </c>
      <c r="F623">
        <v>77.111725300000003</v>
      </c>
      <c r="G623">
        <v>7</v>
      </c>
    </row>
    <row r="624" spans="1:7" x14ac:dyDescent="0.3">
      <c r="A624" t="s">
        <v>1445</v>
      </c>
      <c r="B624" t="s">
        <v>41</v>
      </c>
      <c r="C624" t="s">
        <v>221</v>
      </c>
      <c r="D624" t="s">
        <v>1446</v>
      </c>
      <c r="E624">
        <v>19.959451900000001</v>
      </c>
      <c r="F624">
        <v>73.759105399999996</v>
      </c>
      <c r="G624">
        <v>7</v>
      </c>
    </row>
    <row r="625" spans="1:7" x14ac:dyDescent="0.3">
      <c r="A625" t="s">
        <v>1447</v>
      </c>
      <c r="B625" t="s">
        <v>41</v>
      </c>
      <c r="C625" t="s">
        <v>1448</v>
      </c>
      <c r="D625" t="s">
        <v>1449</v>
      </c>
      <c r="E625">
        <v>18.415983099999998</v>
      </c>
      <c r="F625">
        <v>76.535629900000004</v>
      </c>
      <c r="G625">
        <v>7</v>
      </c>
    </row>
    <row r="626" spans="1:7" x14ac:dyDescent="0.3">
      <c r="A626" t="s">
        <v>1450</v>
      </c>
      <c r="B626" t="s">
        <v>41</v>
      </c>
      <c r="C626" t="s">
        <v>987</v>
      </c>
      <c r="D626" t="s">
        <v>1451</v>
      </c>
      <c r="E626">
        <v>20.928620500000001</v>
      </c>
      <c r="F626">
        <v>79.001812000000001</v>
      </c>
      <c r="G626">
        <v>7</v>
      </c>
    </row>
    <row r="627" spans="1:7" x14ac:dyDescent="0.3">
      <c r="A627" t="s">
        <v>1452</v>
      </c>
      <c r="B627" t="s">
        <v>18</v>
      </c>
      <c r="C627" t="s">
        <v>1259</v>
      </c>
      <c r="D627" t="s">
        <v>1453</v>
      </c>
      <c r="E627">
        <v>28.619548300000002</v>
      </c>
      <c r="F627">
        <v>77.483818299999996</v>
      </c>
      <c r="G627">
        <v>7</v>
      </c>
    </row>
    <row r="628" spans="1:7" x14ac:dyDescent="0.3">
      <c r="A628" t="s">
        <v>1454</v>
      </c>
      <c r="B628" t="s">
        <v>18</v>
      </c>
      <c r="C628" t="s">
        <v>1259</v>
      </c>
      <c r="D628" t="s">
        <v>1455</v>
      </c>
      <c r="E628">
        <v>28.7712124</v>
      </c>
      <c r="F628">
        <v>78.097685400000003</v>
      </c>
      <c r="G628">
        <v>7</v>
      </c>
    </row>
    <row r="629" spans="1:7" x14ac:dyDescent="0.3">
      <c r="A629" t="s">
        <v>1456</v>
      </c>
      <c r="B629" t="s">
        <v>45</v>
      </c>
      <c r="C629" t="s">
        <v>45</v>
      </c>
      <c r="D629" t="s">
        <v>1457</v>
      </c>
      <c r="E629">
        <v>28.617966200000001</v>
      </c>
      <c r="F629">
        <v>77.248789400000007</v>
      </c>
      <c r="G629">
        <v>7</v>
      </c>
    </row>
    <row r="630" spans="1:7" x14ac:dyDescent="0.3">
      <c r="A630" t="s">
        <v>1458</v>
      </c>
      <c r="B630" t="s">
        <v>18</v>
      </c>
      <c r="C630" t="s">
        <v>1040</v>
      </c>
      <c r="D630" t="s">
        <v>1459</v>
      </c>
      <c r="E630">
        <v>29.411834899999999</v>
      </c>
      <c r="F630">
        <v>77.700671900000003</v>
      </c>
      <c r="G630">
        <v>7</v>
      </c>
    </row>
    <row r="631" spans="1:7" x14ac:dyDescent="0.3">
      <c r="A631" t="s">
        <v>1460</v>
      </c>
      <c r="B631" t="s">
        <v>41</v>
      </c>
      <c r="C631" t="s">
        <v>119</v>
      </c>
      <c r="D631" t="s">
        <v>1461</v>
      </c>
      <c r="E631">
        <v>19.106317499999999</v>
      </c>
      <c r="F631">
        <v>72.860321900000002</v>
      </c>
      <c r="G631">
        <v>7</v>
      </c>
    </row>
    <row r="632" spans="1:7" x14ac:dyDescent="0.3">
      <c r="A632" t="s">
        <v>1462</v>
      </c>
      <c r="B632" t="s">
        <v>41</v>
      </c>
      <c r="C632" t="s">
        <v>119</v>
      </c>
      <c r="D632" t="s">
        <v>1463</v>
      </c>
      <c r="E632">
        <v>19.114241499999999</v>
      </c>
      <c r="F632">
        <v>72.851876599999997</v>
      </c>
      <c r="G632">
        <v>7</v>
      </c>
    </row>
    <row r="633" spans="1:7" x14ac:dyDescent="0.3">
      <c r="A633" t="s">
        <v>1464</v>
      </c>
      <c r="B633" t="s">
        <v>41</v>
      </c>
      <c r="C633" t="s">
        <v>119</v>
      </c>
      <c r="D633" t="s">
        <v>1465</v>
      </c>
      <c r="E633">
        <v>18.924121400000001</v>
      </c>
      <c r="F633">
        <v>72.832815499999995</v>
      </c>
      <c r="G633">
        <v>7</v>
      </c>
    </row>
    <row r="634" spans="1:7" x14ac:dyDescent="0.3">
      <c r="A634" t="s">
        <v>1466</v>
      </c>
      <c r="B634" t="s">
        <v>68</v>
      </c>
      <c r="C634" t="s">
        <v>1467</v>
      </c>
      <c r="D634" t="s">
        <v>1468</v>
      </c>
      <c r="E634">
        <v>21.716411399999998</v>
      </c>
      <c r="F634">
        <v>72.656297899999998</v>
      </c>
      <c r="G634">
        <v>7</v>
      </c>
    </row>
    <row r="635" spans="1:7" x14ac:dyDescent="0.3">
      <c r="A635" t="s">
        <v>1469</v>
      </c>
      <c r="B635" t="s">
        <v>68</v>
      </c>
      <c r="C635" t="s">
        <v>185</v>
      </c>
      <c r="D635" t="s">
        <v>1470</v>
      </c>
      <c r="E635">
        <v>22.3205834</v>
      </c>
      <c r="F635">
        <v>73.188377900000006</v>
      </c>
      <c r="G635">
        <v>7</v>
      </c>
    </row>
    <row r="636" spans="1:7" x14ac:dyDescent="0.3">
      <c r="A636" t="s">
        <v>1471</v>
      </c>
      <c r="B636" t="s">
        <v>41</v>
      </c>
      <c r="C636" t="s">
        <v>221</v>
      </c>
      <c r="D636" t="s">
        <v>1472</v>
      </c>
      <c r="E636">
        <v>19.962547099999998</v>
      </c>
      <c r="F636">
        <v>73.765295600000002</v>
      </c>
      <c r="G636">
        <v>7</v>
      </c>
    </row>
    <row r="637" spans="1:7" x14ac:dyDescent="0.3">
      <c r="A637" t="s">
        <v>1473</v>
      </c>
      <c r="B637" t="s">
        <v>14</v>
      </c>
      <c r="C637" t="s">
        <v>214</v>
      </c>
      <c r="D637" t="s">
        <v>1474</v>
      </c>
      <c r="E637">
        <v>26.892351399999999</v>
      </c>
      <c r="F637">
        <v>75.825707300000005</v>
      </c>
      <c r="G637">
        <v>7</v>
      </c>
    </row>
    <row r="638" spans="1:7" x14ac:dyDescent="0.3">
      <c r="A638" t="s">
        <v>1475</v>
      </c>
      <c r="B638" t="s">
        <v>41</v>
      </c>
      <c r="C638" t="s">
        <v>1120</v>
      </c>
      <c r="D638" t="s">
        <v>1476</v>
      </c>
      <c r="E638">
        <v>19.9116134</v>
      </c>
      <c r="F638">
        <v>75.348291000000003</v>
      </c>
      <c r="G638">
        <v>7</v>
      </c>
    </row>
    <row r="639" spans="1:7" x14ac:dyDescent="0.3">
      <c r="A639" t="s">
        <v>1477</v>
      </c>
      <c r="B639" t="s">
        <v>68</v>
      </c>
      <c r="C639" t="s">
        <v>1478</v>
      </c>
      <c r="D639" t="s">
        <v>1479</v>
      </c>
      <c r="E639">
        <v>21.528409960000001</v>
      </c>
      <c r="F639">
        <v>70.458457949999996</v>
      </c>
      <c r="G639">
        <v>7</v>
      </c>
    </row>
    <row r="640" spans="1:7" x14ac:dyDescent="0.3">
      <c r="A640" t="s">
        <v>1480</v>
      </c>
      <c r="B640" t="s">
        <v>68</v>
      </c>
      <c r="C640" t="s">
        <v>1481</v>
      </c>
      <c r="D640" t="s">
        <v>1482</v>
      </c>
      <c r="E640">
        <v>23.265533399999999</v>
      </c>
      <c r="F640">
        <v>69.678672800000001</v>
      </c>
      <c r="G640">
        <v>7</v>
      </c>
    </row>
    <row r="641" spans="1:7" x14ac:dyDescent="0.3">
      <c r="A641" t="s">
        <v>1483</v>
      </c>
      <c r="B641" t="s">
        <v>18</v>
      </c>
      <c r="C641" t="s">
        <v>1040</v>
      </c>
      <c r="D641" t="s">
        <v>1484</v>
      </c>
      <c r="E641">
        <v>29.3313177</v>
      </c>
      <c r="F641">
        <v>77.721273999999994</v>
      </c>
      <c r="G641">
        <v>7</v>
      </c>
    </row>
    <row r="642" spans="1:7" x14ac:dyDescent="0.3">
      <c r="A642" t="s">
        <v>1485</v>
      </c>
      <c r="B642" t="s">
        <v>14</v>
      </c>
      <c r="C642" t="s">
        <v>262</v>
      </c>
      <c r="D642" t="s">
        <v>1486</v>
      </c>
      <c r="E642">
        <v>27.4914624</v>
      </c>
      <c r="F642">
        <v>76.053007699999995</v>
      </c>
      <c r="G642">
        <v>7</v>
      </c>
    </row>
    <row r="643" spans="1:7" x14ac:dyDescent="0.3">
      <c r="A643" t="s">
        <v>1487</v>
      </c>
      <c r="B643" t="s">
        <v>1488</v>
      </c>
      <c r="C643" t="s">
        <v>159</v>
      </c>
      <c r="D643" t="s">
        <v>1489</v>
      </c>
      <c r="E643">
        <v>29.951238799999999</v>
      </c>
      <c r="F643">
        <v>78.075913099999994</v>
      </c>
      <c r="G643">
        <v>7</v>
      </c>
    </row>
    <row r="644" spans="1:7" x14ac:dyDescent="0.3">
      <c r="A644" t="s">
        <v>1490</v>
      </c>
      <c r="B644" t="s">
        <v>1488</v>
      </c>
      <c r="C644" t="s">
        <v>159</v>
      </c>
      <c r="D644" t="s">
        <v>1491</v>
      </c>
      <c r="E644">
        <v>29.927688499999999</v>
      </c>
      <c r="F644">
        <v>78.064867899999996</v>
      </c>
      <c r="G644">
        <v>7</v>
      </c>
    </row>
    <row r="645" spans="1:7" x14ac:dyDescent="0.3">
      <c r="A645" t="s">
        <v>1492</v>
      </c>
      <c r="B645" t="s">
        <v>386</v>
      </c>
      <c r="C645" t="s">
        <v>1493</v>
      </c>
      <c r="D645" t="s">
        <v>1494</v>
      </c>
      <c r="E645">
        <v>9.5802797000000002</v>
      </c>
      <c r="F645">
        <v>76.970185900000004</v>
      </c>
      <c r="G645">
        <v>7</v>
      </c>
    </row>
    <row r="646" spans="1:7" x14ac:dyDescent="0.3">
      <c r="A646" t="s">
        <v>1495</v>
      </c>
      <c r="B646" t="s">
        <v>14</v>
      </c>
      <c r="C646" t="s">
        <v>214</v>
      </c>
      <c r="D646" t="s">
        <v>1496</v>
      </c>
      <c r="E646">
        <v>26.920616899999999</v>
      </c>
      <c r="F646">
        <v>75.797517299999996</v>
      </c>
      <c r="G646">
        <v>7</v>
      </c>
    </row>
    <row r="647" spans="1:7" x14ac:dyDescent="0.3">
      <c r="A647" t="s">
        <v>1497</v>
      </c>
      <c r="B647" t="s">
        <v>115</v>
      </c>
      <c r="C647" t="s">
        <v>1498</v>
      </c>
      <c r="D647" t="s">
        <v>1499</v>
      </c>
      <c r="E647">
        <v>19.656025100000001</v>
      </c>
      <c r="F647">
        <v>78.529510000000002</v>
      </c>
      <c r="G647">
        <v>7</v>
      </c>
    </row>
    <row r="648" spans="1:7" x14ac:dyDescent="0.3">
      <c r="A648" t="s">
        <v>1500</v>
      </c>
      <c r="B648" t="s">
        <v>150</v>
      </c>
      <c r="C648" t="s">
        <v>1341</v>
      </c>
      <c r="D648" t="s">
        <v>1501</v>
      </c>
      <c r="E648">
        <v>12.98452275</v>
      </c>
      <c r="F648">
        <v>77.74323914</v>
      </c>
      <c r="G648">
        <v>13</v>
      </c>
    </row>
    <row r="649" spans="1:7" x14ac:dyDescent="0.3">
      <c r="A649" t="s">
        <v>1502</v>
      </c>
      <c r="B649" t="s">
        <v>150</v>
      </c>
      <c r="C649" t="s">
        <v>1341</v>
      </c>
      <c r="D649" t="s">
        <v>1503</v>
      </c>
      <c r="E649">
        <v>12.851903269999999</v>
      </c>
      <c r="F649">
        <v>77.666622469999993</v>
      </c>
      <c r="G649">
        <v>13</v>
      </c>
    </row>
    <row r="650" spans="1:7" x14ac:dyDescent="0.3">
      <c r="A650" t="s">
        <v>1504</v>
      </c>
      <c r="B650" t="s">
        <v>150</v>
      </c>
      <c r="C650" t="s">
        <v>1341</v>
      </c>
      <c r="D650" t="s">
        <v>1505</v>
      </c>
      <c r="E650">
        <v>12.977202220000001</v>
      </c>
      <c r="F650">
        <v>77.729745460000004</v>
      </c>
      <c r="G650">
        <v>13</v>
      </c>
    </row>
    <row r="651" spans="1:7" x14ac:dyDescent="0.3">
      <c r="A651" t="s">
        <v>1506</v>
      </c>
      <c r="B651" t="s">
        <v>150</v>
      </c>
      <c r="C651" t="s">
        <v>1341</v>
      </c>
      <c r="D651" t="s">
        <v>1507</v>
      </c>
      <c r="E651">
        <v>12.96365147</v>
      </c>
      <c r="F651">
        <v>77.70295917</v>
      </c>
      <c r="G651">
        <v>13</v>
      </c>
    </row>
    <row r="652" spans="1:7" x14ac:dyDescent="0.3">
      <c r="A652" t="s">
        <v>1508</v>
      </c>
      <c r="B652" t="s">
        <v>150</v>
      </c>
      <c r="C652" t="s">
        <v>1341</v>
      </c>
      <c r="D652" t="s">
        <v>1509</v>
      </c>
      <c r="E652">
        <v>12.969868780000001</v>
      </c>
      <c r="F652">
        <v>77.725217420000007</v>
      </c>
      <c r="G652">
        <v>13</v>
      </c>
    </row>
    <row r="653" spans="1:7" x14ac:dyDescent="0.3">
      <c r="A653" t="s">
        <v>1510</v>
      </c>
      <c r="B653" t="s">
        <v>150</v>
      </c>
      <c r="C653" t="s">
        <v>1341</v>
      </c>
      <c r="D653" t="s">
        <v>1511</v>
      </c>
      <c r="E653">
        <v>12.943409279999999</v>
      </c>
      <c r="F653">
        <v>77.690414669999996</v>
      </c>
      <c r="G653">
        <v>13</v>
      </c>
    </row>
    <row r="654" spans="1:7" x14ac:dyDescent="0.3">
      <c r="A654" t="s">
        <v>1512</v>
      </c>
      <c r="B654" t="s">
        <v>150</v>
      </c>
      <c r="C654" t="s">
        <v>1341</v>
      </c>
      <c r="D654" t="s">
        <v>1513</v>
      </c>
      <c r="E654">
        <v>12.947248200000001</v>
      </c>
      <c r="F654">
        <v>77.644711709999996</v>
      </c>
      <c r="G654">
        <v>13</v>
      </c>
    </row>
    <row r="655" spans="1:7" x14ac:dyDescent="0.3">
      <c r="A655" t="s">
        <v>1514</v>
      </c>
      <c r="B655" t="s">
        <v>150</v>
      </c>
      <c r="C655" t="s">
        <v>1515</v>
      </c>
      <c r="D655" t="s">
        <v>1516</v>
      </c>
      <c r="E655">
        <v>15.184465550000001</v>
      </c>
      <c r="F655">
        <v>76.662761739999993</v>
      </c>
      <c r="G655">
        <v>13</v>
      </c>
    </row>
    <row r="656" spans="1:7" x14ac:dyDescent="0.3">
      <c r="A656" t="s">
        <v>1517</v>
      </c>
      <c r="B656" t="s">
        <v>8</v>
      </c>
      <c r="C656" t="s">
        <v>87</v>
      </c>
      <c r="D656" t="s">
        <v>1518</v>
      </c>
      <c r="E656">
        <v>28.255471790000001</v>
      </c>
      <c r="F656">
        <v>77.050440210000005</v>
      </c>
      <c r="G656">
        <v>13</v>
      </c>
    </row>
    <row r="657" spans="1:7" x14ac:dyDescent="0.3">
      <c r="A657" t="s">
        <v>1519</v>
      </c>
      <c r="B657" t="s">
        <v>8</v>
      </c>
      <c r="C657" t="s">
        <v>87</v>
      </c>
      <c r="D657" t="s">
        <v>1520</v>
      </c>
      <c r="E657">
        <v>28.40501523</v>
      </c>
      <c r="F657">
        <v>77.092666730000005</v>
      </c>
      <c r="G657">
        <v>13</v>
      </c>
    </row>
    <row r="658" spans="1:7" x14ac:dyDescent="0.3">
      <c r="A658" t="s">
        <v>1521</v>
      </c>
      <c r="B658" t="s">
        <v>8</v>
      </c>
      <c r="C658" t="s">
        <v>87</v>
      </c>
      <c r="D658" t="s">
        <v>1522</v>
      </c>
      <c r="E658">
        <v>28.405964139999998</v>
      </c>
      <c r="F658">
        <v>77.045096029999996</v>
      </c>
      <c r="G658">
        <v>13</v>
      </c>
    </row>
    <row r="659" spans="1:7" x14ac:dyDescent="0.3">
      <c r="A659" t="s">
        <v>1523</v>
      </c>
      <c r="B659" t="s">
        <v>8</v>
      </c>
      <c r="C659" t="s">
        <v>87</v>
      </c>
      <c r="D659" t="s">
        <v>1524</v>
      </c>
      <c r="E659">
        <v>28.424876909999998</v>
      </c>
      <c r="F659">
        <v>77.031012610000005</v>
      </c>
      <c r="G659">
        <v>13</v>
      </c>
    </row>
    <row r="660" spans="1:7" x14ac:dyDescent="0.3">
      <c r="A660" t="s">
        <v>1525</v>
      </c>
      <c r="B660" t="s">
        <v>8</v>
      </c>
      <c r="C660" t="s">
        <v>87</v>
      </c>
      <c r="D660" t="s">
        <v>1526</v>
      </c>
      <c r="E660">
        <v>28.445882940000001</v>
      </c>
      <c r="F660">
        <v>77.040600870000006</v>
      </c>
      <c r="G660">
        <v>13</v>
      </c>
    </row>
    <row r="661" spans="1:7" x14ac:dyDescent="0.3">
      <c r="A661" t="s">
        <v>1527</v>
      </c>
      <c r="B661" t="s">
        <v>8</v>
      </c>
      <c r="C661" t="s">
        <v>87</v>
      </c>
      <c r="D661" t="s">
        <v>1528</v>
      </c>
      <c r="E661">
        <v>28.374807919999999</v>
      </c>
      <c r="F661">
        <v>76.910541839999993</v>
      </c>
      <c r="G661">
        <v>13</v>
      </c>
    </row>
    <row r="662" spans="1:7" x14ac:dyDescent="0.3">
      <c r="A662" t="s">
        <v>1529</v>
      </c>
      <c r="B662" t="s">
        <v>115</v>
      </c>
      <c r="C662" t="s">
        <v>1163</v>
      </c>
      <c r="D662" t="s">
        <v>1530</v>
      </c>
      <c r="E662">
        <v>17.418163830000001</v>
      </c>
      <c r="F662">
        <v>78.346651039999998</v>
      </c>
      <c r="G662">
        <v>13</v>
      </c>
    </row>
    <row r="663" spans="1:7" x14ac:dyDescent="0.3">
      <c r="A663" t="s">
        <v>1531</v>
      </c>
      <c r="B663" t="s">
        <v>41</v>
      </c>
      <c r="C663" t="s">
        <v>1136</v>
      </c>
      <c r="D663" t="s">
        <v>1532</v>
      </c>
      <c r="E663">
        <v>22.73778248</v>
      </c>
      <c r="F663">
        <v>75.861283499999999</v>
      </c>
      <c r="G663">
        <v>13</v>
      </c>
    </row>
    <row r="664" spans="1:7" x14ac:dyDescent="0.3">
      <c r="A664" t="s">
        <v>1533</v>
      </c>
      <c r="B664" t="s">
        <v>41</v>
      </c>
      <c r="C664" t="s">
        <v>119</v>
      </c>
      <c r="D664" t="s">
        <v>1534</v>
      </c>
      <c r="E664">
        <v>19.12012455</v>
      </c>
      <c r="F664">
        <v>72.887247619999997</v>
      </c>
      <c r="G664">
        <v>13</v>
      </c>
    </row>
    <row r="665" spans="1:7" x14ac:dyDescent="0.3">
      <c r="A665" t="s">
        <v>1535</v>
      </c>
      <c r="B665" t="s">
        <v>45</v>
      </c>
      <c r="C665" t="s">
        <v>46</v>
      </c>
      <c r="D665" t="s">
        <v>1536</v>
      </c>
      <c r="E665">
        <v>28.52360775</v>
      </c>
      <c r="F665">
        <v>77.083215469999999</v>
      </c>
      <c r="G665">
        <v>13</v>
      </c>
    </row>
    <row r="666" spans="1:7" x14ac:dyDescent="0.3">
      <c r="A666" t="s">
        <v>1537</v>
      </c>
      <c r="B666" t="s">
        <v>18</v>
      </c>
      <c r="C666" t="s">
        <v>259</v>
      </c>
      <c r="D666" t="s">
        <v>1538</v>
      </c>
      <c r="E666">
        <v>28.54498268</v>
      </c>
      <c r="F666">
        <v>77.39461034</v>
      </c>
      <c r="G666">
        <v>13</v>
      </c>
    </row>
    <row r="667" spans="1:7" x14ac:dyDescent="0.3">
      <c r="A667" t="s">
        <v>1539</v>
      </c>
      <c r="B667" t="s">
        <v>511</v>
      </c>
      <c r="C667" t="s">
        <v>1540</v>
      </c>
      <c r="D667" t="s">
        <v>1541</v>
      </c>
      <c r="E667">
        <v>23.179326</v>
      </c>
      <c r="F667">
        <v>75.784376780000002</v>
      </c>
      <c r="G667">
        <v>13</v>
      </c>
    </row>
    <row r="668" spans="1:7" x14ac:dyDescent="0.3">
      <c r="A668" t="s">
        <v>1542</v>
      </c>
      <c r="B668" t="s">
        <v>45</v>
      </c>
      <c r="C668" t="s">
        <v>45</v>
      </c>
      <c r="D668" t="s">
        <v>1543</v>
      </c>
      <c r="E668">
        <v>28.630531099999999</v>
      </c>
      <c r="F668">
        <v>77.292697799999999</v>
      </c>
      <c r="G668">
        <v>14</v>
      </c>
    </row>
    <row r="669" spans="1:7" x14ac:dyDescent="0.3">
      <c r="A669" t="s">
        <v>1544</v>
      </c>
      <c r="B669" t="s">
        <v>8</v>
      </c>
      <c r="C669" t="s">
        <v>87</v>
      </c>
      <c r="D669" t="s">
        <v>1545</v>
      </c>
      <c r="E669">
        <v>28.498079839999999</v>
      </c>
      <c r="F669">
        <v>77.091169149999999</v>
      </c>
      <c r="G669">
        <v>14</v>
      </c>
    </row>
    <row r="670" spans="1:7" x14ac:dyDescent="0.3">
      <c r="A670" t="s">
        <v>1546</v>
      </c>
      <c r="B670" t="s">
        <v>68</v>
      </c>
      <c r="C670" t="s">
        <v>69</v>
      </c>
      <c r="D670" t="s">
        <v>1547</v>
      </c>
      <c r="E670">
        <v>23.044304239999999</v>
      </c>
      <c r="F670">
        <v>72.51767735</v>
      </c>
      <c r="G670">
        <v>8</v>
      </c>
    </row>
    <row r="671" spans="1:7" x14ac:dyDescent="0.3">
      <c r="A671" t="s">
        <v>1548</v>
      </c>
      <c r="B671" t="s">
        <v>68</v>
      </c>
      <c r="C671" t="s">
        <v>69</v>
      </c>
      <c r="D671" t="s">
        <v>1549</v>
      </c>
      <c r="E671">
        <v>23.013038609999999</v>
      </c>
      <c r="F671">
        <v>72.524215569999996</v>
      </c>
      <c r="G671">
        <v>8</v>
      </c>
    </row>
    <row r="672" spans="1:7" x14ac:dyDescent="0.3">
      <c r="A672" t="s">
        <v>1550</v>
      </c>
      <c r="B672" t="s">
        <v>150</v>
      </c>
      <c r="C672" t="s">
        <v>1341</v>
      </c>
      <c r="D672" t="s">
        <v>1551</v>
      </c>
      <c r="E672">
        <v>13.152806139999999</v>
      </c>
      <c r="F672">
        <v>77.568970449999995</v>
      </c>
      <c r="G672">
        <v>8</v>
      </c>
    </row>
    <row r="673" spans="1:7" x14ac:dyDescent="0.3">
      <c r="A673" t="s">
        <v>1552</v>
      </c>
      <c r="B673" t="s">
        <v>150</v>
      </c>
      <c r="C673" t="s">
        <v>1341</v>
      </c>
      <c r="D673" t="s">
        <v>1553</v>
      </c>
      <c r="E673">
        <v>12.911365</v>
      </c>
      <c r="F673">
        <v>77.648945999999995</v>
      </c>
      <c r="G673">
        <v>15</v>
      </c>
    </row>
    <row r="674" spans="1:7" x14ac:dyDescent="0.3">
      <c r="A674" t="s">
        <v>1554</v>
      </c>
      <c r="B674" t="s">
        <v>150</v>
      </c>
      <c r="C674" t="s">
        <v>1341</v>
      </c>
      <c r="D674" t="s">
        <v>1555</v>
      </c>
      <c r="E674">
        <v>12.916948</v>
      </c>
      <c r="F674">
        <v>77.610212000000004</v>
      </c>
      <c r="G674">
        <v>15</v>
      </c>
    </row>
    <row r="675" spans="1:7" x14ac:dyDescent="0.3">
      <c r="A675" t="s">
        <v>1556</v>
      </c>
      <c r="B675" t="s">
        <v>150</v>
      </c>
      <c r="C675" t="s">
        <v>1341</v>
      </c>
      <c r="D675" t="s">
        <v>1557</v>
      </c>
      <c r="E675">
        <v>12.95903244</v>
      </c>
      <c r="F675">
        <v>77.663555819999999</v>
      </c>
      <c r="G675">
        <v>15</v>
      </c>
    </row>
    <row r="676" spans="1:7" x14ac:dyDescent="0.3">
      <c r="A676" t="s">
        <v>1558</v>
      </c>
      <c r="B676" t="s">
        <v>150</v>
      </c>
      <c r="C676" t="s">
        <v>1341</v>
      </c>
      <c r="D676" t="s">
        <v>1559</v>
      </c>
      <c r="E676">
        <v>12.964421</v>
      </c>
      <c r="F676">
        <v>77.644131999999999</v>
      </c>
      <c r="G676">
        <v>15</v>
      </c>
    </row>
    <row r="677" spans="1:7" x14ac:dyDescent="0.3">
      <c r="A677" t="s">
        <v>1560</v>
      </c>
      <c r="B677" t="s">
        <v>150</v>
      </c>
      <c r="C677" t="s">
        <v>1341</v>
      </c>
      <c r="D677" t="s">
        <v>1561</v>
      </c>
      <c r="E677">
        <v>12.926062999999999</v>
      </c>
      <c r="F677">
        <v>77.547841000000005</v>
      </c>
      <c r="G677">
        <v>15</v>
      </c>
    </row>
    <row r="678" spans="1:7" x14ac:dyDescent="0.3">
      <c r="A678" t="s">
        <v>1562</v>
      </c>
      <c r="B678" t="s">
        <v>150</v>
      </c>
      <c r="C678" t="s">
        <v>1341</v>
      </c>
      <c r="D678" t="s">
        <v>1563</v>
      </c>
      <c r="E678">
        <v>12.949807829999999</v>
      </c>
      <c r="F678">
        <v>77.540762279999996</v>
      </c>
      <c r="G678">
        <v>15</v>
      </c>
    </row>
    <row r="679" spans="1:7" x14ac:dyDescent="0.3">
      <c r="A679" t="s">
        <v>1564</v>
      </c>
      <c r="B679" t="s">
        <v>150</v>
      </c>
      <c r="C679" t="s">
        <v>1341</v>
      </c>
      <c r="D679" t="s">
        <v>1565</v>
      </c>
      <c r="E679">
        <v>12.97610693</v>
      </c>
      <c r="F679">
        <v>77.588240060000004</v>
      </c>
      <c r="G679">
        <v>15</v>
      </c>
    </row>
    <row r="680" spans="1:7" x14ac:dyDescent="0.3">
      <c r="A680" t="s">
        <v>1566</v>
      </c>
      <c r="B680" t="s">
        <v>150</v>
      </c>
      <c r="C680" t="s">
        <v>1341</v>
      </c>
      <c r="D680" t="s">
        <v>1567</v>
      </c>
      <c r="E680">
        <v>12.9947017</v>
      </c>
      <c r="F680">
        <v>77.700204850000006</v>
      </c>
      <c r="G680">
        <v>15</v>
      </c>
    </row>
    <row r="681" spans="1:7" x14ac:dyDescent="0.3">
      <c r="A681" t="s">
        <v>1568</v>
      </c>
      <c r="B681" t="s">
        <v>150</v>
      </c>
      <c r="C681" t="s">
        <v>1341</v>
      </c>
      <c r="D681" t="s">
        <v>1569</v>
      </c>
      <c r="E681">
        <v>13.0202335</v>
      </c>
      <c r="F681">
        <v>77.640923340000001</v>
      </c>
      <c r="G681">
        <v>15</v>
      </c>
    </row>
    <row r="682" spans="1:7" x14ac:dyDescent="0.3">
      <c r="A682" t="s">
        <v>1570</v>
      </c>
      <c r="B682" t="s">
        <v>150</v>
      </c>
      <c r="C682" t="s">
        <v>1341</v>
      </c>
      <c r="D682" t="s">
        <v>1571</v>
      </c>
      <c r="E682">
        <v>13.04139</v>
      </c>
      <c r="F682">
        <v>77.620590000000007</v>
      </c>
      <c r="G682">
        <v>8</v>
      </c>
    </row>
    <row r="683" spans="1:7" x14ac:dyDescent="0.3">
      <c r="A683" t="s">
        <v>1572</v>
      </c>
      <c r="B683" t="s">
        <v>150</v>
      </c>
      <c r="C683" t="s">
        <v>1341</v>
      </c>
      <c r="D683" t="s">
        <v>1573</v>
      </c>
      <c r="E683">
        <v>13.037895000000001</v>
      </c>
      <c r="F683">
        <v>77.557689999999994</v>
      </c>
      <c r="G683">
        <v>15</v>
      </c>
    </row>
    <row r="684" spans="1:7" x14ac:dyDescent="0.3">
      <c r="A684" t="s">
        <v>1574</v>
      </c>
      <c r="B684" t="s">
        <v>150</v>
      </c>
      <c r="C684" t="s">
        <v>1341</v>
      </c>
      <c r="D684" t="s">
        <v>1575</v>
      </c>
      <c r="E684">
        <v>13.095602</v>
      </c>
      <c r="F684">
        <v>77.594067999999993</v>
      </c>
      <c r="G684">
        <v>15</v>
      </c>
    </row>
    <row r="685" spans="1:7" x14ac:dyDescent="0.3">
      <c r="A685" t="s">
        <v>1576</v>
      </c>
      <c r="B685" t="s">
        <v>150</v>
      </c>
      <c r="C685" t="s">
        <v>1341</v>
      </c>
      <c r="D685" t="s">
        <v>1577</v>
      </c>
      <c r="E685">
        <v>13.140689999999999</v>
      </c>
      <c r="F685">
        <v>77.617987999999997</v>
      </c>
      <c r="G685">
        <v>8</v>
      </c>
    </row>
    <row r="686" spans="1:7" x14ac:dyDescent="0.3">
      <c r="A686" t="s">
        <v>1578</v>
      </c>
      <c r="B686" t="s">
        <v>49</v>
      </c>
      <c r="C686" t="s">
        <v>1008</v>
      </c>
      <c r="D686" t="s">
        <v>1579</v>
      </c>
      <c r="E686">
        <v>12.87627</v>
      </c>
      <c r="F686">
        <v>80.227094149999999</v>
      </c>
      <c r="G686">
        <v>8</v>
      </c>
    </row>
    <row r="687" spans="1:7" x14ac:dyDescent="0.3">
      <c r="A687" t="s">
        <v>1580</v>
      </c>
      <c r="B687" t="s">
        <v>49</v>
      </c>
      <c r="C687" t="s">
        <v>1008</v>
      </c>
      <c r="D687" t="s">
        <v>1581</v>
      </c>
      <c r="E687">
        <v>13.033017190000001</v>
      </c>
      <c r="F687">
        <v>80.184313239999994</v>
      </c>
      <c r="G687">
        <v>8</v>
      </c>
    </row>
    <row r="688" spans="1:7" x14ac:dyDescent="0.3">
      <c r="A688" t="s">
        <v>1582</v>
      </c>
      <c r="B688" t="s">
        <v>49</v>
      </c>
      <c r="C688" t="s">
        <v>1008</v>
      </c>
      <c r="D688" t="s">
        <v>1583</v>
      </c>
      <c r="E688">
        <v>13.075143840000001</v>
      </c>
      <c r="F688">
        <v>80.21984698</v>
      </c>
      <c r="G688">
        <v>8</v>
      </c>
    </row>
    <row r="689" spans="1:7" x14ac:dyDescent="0.3">
      <c r="A689" t="s">
        <v>1584</v>
      </c>
      <c r="B689" t="s">
        <v>49</v>
      </c>
      <c r="C689" t="s">
        <v>1008</v>
      </c>
      <c r="D689" t="s">
        <v>1585</v>
      </c>
      <c r="E689">
        <v>13.00444547</v>
      </c>
      <c r="F689">
        <v>80.201612569999995</v>
      </c>
      <c r="G689">
        <v>8</v>
      </c>
    </row>
    <row r="690" spans="1:7" x14ac:dyDescent="0.3">
      <c r="A690" t="s">
        <v>1586</v>
      </c>
      <c r="B690" t="s">
        <v>49</v>
      </c>
      <c r="C690" t="s">
        <v>1008</v>
      </c>
      <c r="D690" t="s">
        <v>1587</v>
      </c>
      <c r="E690">
        <v>13.02450612</v>
      </c>
      <c r="F690">
        <v>80.228845680000006</v>
      </c>
      <c r="G690">
        <v>8</v>
      </c>
    </row>
    <row r="691" spans="1:7" x14ac:dyDescent="0.3">
      <c r="A691" t="s">
        <v>1588</v>
      </c>
      <c r="B691" t="s">
        <v>49</v>
      </c>
      <c r="C691" t="s">
        <v>1008</v>
      </c>
      <c r="D691" t="s">
        <v>1589</v>
      </c>
      <c r="E691">
        <v>13.03152957</v>
      </c>
      <c r="F691">
        <v>80.239970400000004</v>
      </c>
      <c r="G691">
        <v>8</v>
      </c>
    </row>
    <row r="692" spans="1:7" x14ac:dyDescent="0.3">
      <c r="A692" t="s">
        <v>1590</v>
      </c>
      <c r="B692" t="s">
        <v>49</v>
      </c>
      <c r="C692" t="s">
        <v>1008</v>
      </c>
      <c r="D692" t="s">
        <v>1591</v>
      </c>
      <c r="E692">
        <v>13.07376771</v>
      </c>
      <c r="F692">
        <v>80.194931370000006</v>
      </c>
      <c r="G692">
        <v>8</v>
      </c>
    </row>
    <row r="693" spans="1:7" x14ac:dyDescent="0.3">
      <c r="A693" t="s">
        <v>1592</v>
      </c>
      <c r="B693" t="s">
        <v>49</v>
      </c>
      <c r="C693" t="s">
        <v>1008</v>
      </c>
      <c r="D693" t="s">
        <v>1593</v>
      </c>
      <c r="E693">
        <v>13.085492500000001</v>
      </c>
      <c r="F693">
        <v>80.201606179999999</v>
      </c>
      <c r="G693">
        <v>8</v>
      </c>
    </row>
    <row r="694" spans="1:7" x14ac:dyDescent="0.3">
      <c r="A694" t="s">
        <v>1594</v>
      </c>
      <c r="B694" t="s">
        <v>49</v>
      </c>
      <c r="C694" t="s">
        <v>1008</v>
      </c>
      <c r="D694" t="s">
        <v>1595</v>
      </c>
      <c r="E694">
        <v>13.084781449999999</v>
      </c>
      <c r="F694">
        <v>80.219720069999994</v>
      </c>
      <c r="G694">
        <v>8</v>
      </c>
    </row>
    <row r="695" spans="1:7" x14ac:dyDescent="0.3">
      <c r="A695" t="s">
        <v>1596</v>
      </c>
      <c r="B695" t="s">
        <v>49</v>
      </c>
      <c r="C695" t="s">
        <v>1008</v>
      </c>
      <c r="D695" t="s">
        <v>1597</v>
      </c>
      <c r="E695">
        <v>13.079367449999999</v>
      </c>
      <c r="F695">
        <v>80.261463730000003</v>
      </c>
      <c r="G695">
        <v>8</v>
      </c>
    </row>
    <row r="696" spans="1:7" x14ac:dyDescent="0.3">
      <c r="A696" t="s">
        <v>1598</v>
      </c>
      <c r="B696" t="s">
        <v>49</v>
      </c>
      <c r="C696" t="s">
        <v>1008</v>
      </c>
      <c r="D696" t="s">
        <v>1599</v>
      </c>
      <c r="E696">
        <v>13.08738029</v>
      </c>
      <c r="F696">
        <v>80.285170300000004</v>
      </c>
      <c r="G696">
        <v>8</v>
      </c>
    </row>
    <row r="697" spans="1:7" x14ac:dyDescent="0.3">
      <c r="A697" t="s">
        <v>1600</v>
      </c>
      <c r="B697" t="s">
        <v>45</v>
      </c>
      <c r="C697" t="s">
        <v>45</v>
      </c>
      <c r="D697" t="s">
        <v>1601</v>
      </c>
      <c r="E697">
        <v>28.548733769999998</v>
      </c>
      <c r="F697">
        <v>77.196579630000002</v>
      </c>
      <c r="G697">
        <v>8</v>
      </c>
    </row>
    <row r="698" spans="1:7" x14ac:dyDescent="0.3">
      <c r="A698" t="s">
        <v>1602</v>
      </c>
      <c r="B698" t="s">
        <v>45</v>
      </c>
      <c r="C698" t="s">
        <v>45</v>
      </c>
      <c r="D698" t="s">
        <v>1603</v>
      </c>
      <c r="E698">
        <v>28.55155916</v>
      </c>
      <c r="F698">
        <v>77.244698740000004</v>
      </c>
      <c r="G698">
        <v>8</v>
      </c>
    </row>
    <row r="699" spans="1:7" x14ac:dyDescent="0.3">
      <c r="A699" t="s">
        <v>1604</v>
      </c>
      <c r="B699" t="s">
        <v>386</v>
      </c>
      <c r="C699" t="s">
        <v>1605</v>
      </c>
      <c r="D699" t="s">
        <v>1606</v>
      </c>
      <c r="E699">
        <v>10.01921939</v>
      </c>
      <c r="F699">
        <v>76.304594519999995</v>
      </c>
      <c r="G699">
        <v>16</v>
      </c>
    </row>
    <row r="700" spans="1:7" x14ac:dyDescent="0.3">
      <c r="A700" t="s">
        <v>1607</v>
      </c>
      <c r="B700" t="s">
        <v>8</v>
      </c>
      <c r="C700" t="s">
        <v>87</v>
      </c>
      <c r="D700" t="s">
        <v>1608</v>
      </c>
      <c r="E700">
        <v>28.420616150000001</v>
      </c>
      <c r="F700">
        <v>77.105372610000003</v>
      </c>
      <c r="G700">
        <v>16</v>
      </c>
    </row>
    <row r="701" spans="1:7" x14ac:dyDescent="0.3">
      <c r="A701" t="s">
        <v>1609</v>
      </c>
      <c r="B701" t="s">
        <v>8</v>
      </c>
      <c r="C701" t="s">
        <v>1610</v>
      </c>
      <c r="D701" t="s">
        <v>1611</v>
      </c>
      <c r="E701">
        <v>30.76862873</v>
      </c>
      <c r="F701">
        <v>76.853815519999998</v>
      </c>
      <c r="G701">
        <v>8</v>
      </c>
    </row>
    <row r="702" spans="1:7" x14ac:dyDescent="0.3">
      <c r="A702" t="s">
        <v>1612</v>
      </c>
      <c r="B702" t="s">
        <v>115</v>
      </c>
      <c r="C702" t="s">
        <v>1163</v>
      </c>
      <c r="D702" t="s">
        <v>1613</v>
      </c>
      <c r="E702">
        <v>17.391095</v>
      </c>
      <c r="F702">
        <v>78.558503999999999</v>
      </c>
      <c r="G702">
        <v>8</v>
      </c>
    </row>
    <row r="703" spans="1:7" x14ac:dyDescent="0.3">
      <c r="A703" t="s">
        <v>1614</v>
      </c>
      <c r="B703" t="s">
        <v>115</v>
      </c>
      <c r="C703" t="s">
        <v>1163</v>
      </c>
      <c r="D703" t="s">
        <v>1615</v>
      </c>
      <c r="E703">
        <v>17.428623999999999</v>
      </c>
      <c r="F703">
        <v>78.450417999999999</v>
      </c>
      <c r="G703">
        <v>8</v>
      </c>
    </row>
    <row r="704" spans="1:7" x14ac:dyDescent="0.3">
      <c r="A704" t="s">
        <v>1616</v>
      </c>
      <c r="B704" t="s">
        <v>115</v>
      </c>
      <c r="C704" t="s">
        <v>1163</v>
      </c>
      <c r="D704" t="s">
        <v>1617</v>
      </c>
      <c r="E704">
        <v>17.44798402</v>
      </c>
      <c r="F704">
        <v>78.384328280000005</v>
      </c>
      <c r="G704">
        <v>8</v>
      </c>
    </row>
    <row r="705" spans="1:7" x14ac:dyDescent="0.3">
      <c r="A705" t="s">
        <v>1618</v>
      </c>
      <c r="B705" t="s">
        <v>115</v>
      </c>
      <c r="C705" t="s">
        <v>1163</v>
      </c>
      <c r="D705" t="s">
        <v>1619</v>
      </c>
      <c r="E705">
        <v>17.49699433</v>
      </c>
      <c r="F705">
        <v>78.371947160000005</v>
      </c>
      <c r="G705">
        <v>8</v>
      </c>
    </row>
    <row r="706" spans="1:7" x14ac:dyDescent="0.3">
      <c r="A706" t="s">
        <v>1620</v>
      </c>
      <c r="B706" t="s">
        <v>405</v>
      </c>
      <c r="C706" t="s">
        <v>1064</v>
      </c>
      <c r="D706" t="s">
        <v>1621</v>
      </c>
      <c r="E706">
        <v>22.7941</v>
      </c>
      <c r="F706">
        <v>86.183800000000005</v>
      </c>
      <c r="G706">
        <v>8</v>
      </c>
    </row>
    <row r="707" spans="1:7" x14ac:dyDescent="0.3">
      <c r="A707" t="s">
        <v>1622</v>
      </c>
      <c r="B707" t="s">
        <v>405</v>
      </c>
      <c r="C707" t="s">
        <v>1064</v>
      </c>
      <c r="D707" t="s">
        <v>1623</v>
      </c>
      <c r="E707">
        <v>22.822752770000001</v>
      </c>
      <c r="F707">
        <v>86.181773789999994</v>
      </c>
      <c r="G707">
        <v>8</v>
      </c>
    </row>
    <row r="708" spans="1:7" x14ac:dyDescent="0.3">
      <c r="A708" t="s">
        <v>1624</v>
      </c>
      <c r="B708" t="s">
        <v>386</v>
      </c>
      <c r="C708" t="s">
        <v>1435</v>
      </c>
      <c r="D708" t="s">
        <v>1625</v>
      </c>
      <c r="E708">
        <v>9.9770054259999998</v>
      </c>
      <c r="F708">
        <v>76.277802649999998</v>
      </c>
      <c r="G708">
        <v>8</v>
      </c>
    </row>
    <row r="709" spans="1:7" x14ac:dyDescent="0.3">
      <c r="A709" t="s">
        <v>1626</v>
      </c>
      <c r="B709" t="s">
        <v>463</v>
      </c>
      <c r="C709" t="s">
        <v>1160</v>
      </c>
      <c r="D709" t="s">
        <v>1627</v>
      </c>
      <c r="E709">
        <v>22.509557170000001</v>
      </c>
      <c r="F709">
        <v>88.366721010000006</v>
      </c>
      <c r="G709">
        <v>8</v>
      </c>
    </row>
    <row r="710" spans="1:7" x14ac:dyDescent="0.3">
      <c r="A710" t="s">
        <v>1628</v>
      </c>
      <c r="B710" t="s">
        <v>463</v>
      </c>
      <c r="C710" t="s">
        <v>1160</v>
      </c>
      <c r="D710" t="s">
        <v>1629</v>
      </c>
      <c r="E710">
        <v>22.569797940000001</v>
      </c>
      <c r="F710">
        <v>88.517226829999998</v>
      </c>
      <c r="G710">
        <v>8</v>
      </c>
    </row>
    <row r="711" spans="1:7" x14ac:dyDescent="0.3">
      <c r="A711" t="s">
        <v>1630</v>
      </c>
      <c r="B711" t="s">
        <v>463</v>
      </c>
      <c r="C711" t="s">
        <v>1160</v>
      </c>
      <c r="D711" t="s">
        <v>1631</v>
      </c>
      <c r="E711">
        <v>22.577245680000001</v>
      </c>
      <c r="F711">
        <v>88.479664080000006</v>
      </c>
      <c r="G711">
        <v>8</v>
      </c>
    </row>
    <row r="712" spans="1:7" x14ac:dyDescent="0.3">
      <c r="A712" t="s">
        <v>1632</v>
      </c>
      <c r="B712" t="s">
        <v>463</v>
      </c>
      <c r="C712" t="s">
        <v>1160</v>
      </c>
      <c r="D712" t="s">
        <v>1633</v>
      </c>
      <c r="E712">
        <v>22.578927950000001</v>
      </c>
      <c r="F712">
        <v>88.460504839999999</v>
      </c>
      <c r="G712">
        <v>8</v>
      </c>
    </row>
    <row r="713" spans="1:7" x14ac:dyDescent="0.3">
      <c r="A713" t="s">
        <v>1634</v>
      </c>
      <c r="B713" t="s">
        <v>463</v>
      </c>
      <c r="C713" t="s">
        <v>1160</v>
      </c>
      <c r="D713" t="s">
        <v>1635</v>
      </c>
      <c r="E713">
        <v>22.57885907</v>
      </c>
      <c r="F713">
        <v>88.453007130000003</v>
      </c>
      <c r="G713">
        <v>8</v>
      </c>
    </row>
    <row r="714" spans="1:7" x14ac:dyDescent="0.3">
      <c r="A714" t="s">
        <v>1636</v>
      </c>
      <c r="B714" t="s">
        <v>463</v>
      </c>
      <c r="C714" t="s">
        <v>1160</v>
      </c>
      <c r="D714" t="s">
        <v>1637</v>
      </c>
      <c r="E714">
        <v>22.585582309999999</v>
      </c>
      <c r="F714">
        <v>88.456438000000006</v>
      </c>
      <c r="G714">
        <v>8</v>
      </c>
    </row>
    <row r="715" spans="1:7" x14ac:dyDescent="0.3">
      <c r="A715" t="s">
        <v>1638</v>
      </c>
      <c r="B715" t="s">
        <v>463</v>
      </c>
      <c r="C715" t="s">
        <v>1160</v>
      </c>
      <c r="D715" t="s">
        <v>1639</v>
      </c>
      <c r="E715">
        <v>22.60315379</v>
      </c>
      <c r="F715">
        <v>88.467153530000004</v>
      </c>
      <c r="G715">
        <v>8</v>
      </c>
    </row>
    <row r="716" spans="1:7" x14ac:dyDescent="0.3">
      <c r="A716" t="s">
        <v>1640</v>
      </c>
      <c r="B716" t="s">
        <v>463</v>
      </c>
      <c r="C716" t="s">
        <v>1160</v>
      </c>
      <c r="D716" t="s">
        <v>1641</v>
      </c>
      <c r="E716">
        <v>22.607625110000001</v>
      </c>
      <c r="F716">
        <v>88.463414470000004</v>
      </c>
      <c r="G716">
        <v>8</v>
      </c>
    </row>
    <row r="717" spans="1:7" x14ac:dyDescent="0.3">
      <c r="A717" t="s">
        <v>1642</v>
      </c>
      <c r="B717" t="s">
        <v>463</v>
      </c>
      <c r="C717" t="s">
        <v>1160</v>
      </c>
      <c r="D717" t="s">
        <v>1643</v>
      </c>
      <c r="E717">
        <v>22.61075181</v>
      </c>
      <c r="F717">
        <v>88.46672221</v>
      </c>
      <c r="G717">
        <v>8</v>
      </c>
    </row>
    <row r="718" spans="1:7" x14ac:dyDescent="0.3">
      <c r="A718" t="s">
        <v>1644</v>
      </c>
      <c r="B718" t="s">
        <v>463</v>
      </c>
      <c r="C718" t="s">
        <v>1160</v>
      </c>
      <c r="D718" t="s">
        <v>1645</v>
      </c>
      <c r="E718">
        <v>22.618221259999999</v>
      </c>
      <c r="F718">
        <v>88.466509340000002</v>
      </c>
      <c r="G718">
        <v>8</v>
      </c>
    </row>
    <row r="719" spans="1:7" x14ac:dyDescent="0.3">
      <c r="A719" t="s">
        <v>1646</v>
      </c>
      <c r="B719" t="s">
        <v>386</v>
      </c>
      <c r="C719" t="s">
        <v>1647</v>
      </c>
      <c r="D719" t="s">
        <v>1648</v>
      </c>
      <c r="E719">
        <v>8.8929991430000008</v>
      </c>
      <c r="F719">
        <v>76.579392179999999</v>
      </c>
      <c r="G719">
        <v>17</v>
      </c>
    </row>
    <row r="720" spans="1:7" x14ac:dyDescent="0.3">
      <c r="A720" t="s">
        <v>1649</v>
      </c>
      <c r="B720" t="s">
        <v>41</v>
      </c>
      <c r="C720" t="s">
        <v>119</v>
      </c>
      <c r="D720" t="s">
        <v>1650</v>
      </c>
      <c r="E720">
        <v>19.105143210000001</v>
      </c>
      <c r="F720">
        <v>72.886901199999997</v>
      </c>
      <c r="G720">
        <v>8</v>
      </c>
    </row>
    <row r="721" spans="1:7" x14ac:dyDescent="0.3">
      <c r="A721" t="s">
        <v>1651</v>
      </c>
      <c r="B721" t="s">
        <v>41</v>
      </c>
      <c r="C721" t="s">
        <v>1652</v>
      </c>
      <c r="D721" t="s">
        <v>1653</v>
      </c>
      <c r="E721">
        <v>19.176745690000001</v>
      </c>
      <c r="F721">
        <v>72.945748010000003</v>
      </c>
      <c r="G721">
        <v>8</v>
      </c>
    </row>
    <row r="722" spans="1:7" x14ac:dyDescent="0.3">
      <c r="A722" t="s">
        <v>1654</v>
      </c>
      <c r="B722" t="s">
        <v>41</v>
      </c>
      <c r="C722" t="s">
        <v>987</v>
      </c>
      <c r="D722" t="s">
        <v>1655</v>
      </c>
      <c r="E722">
        <v>21.087012699999999</v>
      </c>
      <c r="F722">
        <v>79.063622699999996</v>
      </c>
      <c r="G722">
        <v>8</v>
      </c>
    </row>
    <row r="723" spans="1:7" x14ac:dyDescent="0.3">
      <c r="A723" t="s">
        <v>1656</v>
      </c>
      <c r="B723" t="s">
        <v>386</v>
      </c>
      <c r="C723" t="s">
        <v>1657</v>
      </c>
      <c r="D723" t="s">
        <v>1658</v>
      </c>
      <c r="E723">
        <v>8.4539716669999994</v>
      </c>
      <c r="F723">
        <v>77.004150339999995</v>
      </c>
      <c r="G723">
        <v>17</v>
      </c>
    </row>
    <row r="724" spans="1:7" x14ac:dyDescent="0.3">
      <c r="A724" t="s">
        <v>1659</v>
      </c>
      <c r="B724" t="s">
        <v>45</v>
      </c>
      <c r="C724" t="s">
        <v>46</v>
      </c>
      <c r="D724" t="s">
        <v>1660</v>
      </c>
      <c r="E724">
        <v>28.548518040000001</v>
      </c>
      <c r="F724">
        <v>77.104357480000004</v>
      </c>
      <c r="G724">
        <v>8</v>
      </c>
    </row>
    <row r="725" spans="1:7" x14ac:dyDescent="0.3">
      <c r="A725" t="s">
        <v>1661</v>
      </c>
      <c r="B725" t="s">
        <v>45</v>
      </c>
      <c r="C725" t="s">
        <v>46</v>
      </c>
      <c r="D725" t="s">
        <v>1662</v>
      </c>
      <c r="E725">
        <v>28.522906630000001</v>
      </c>
      <c r="F725">
        <v>77.156682140000001</v>
      </c>
      <c r="G725">
        <v>8</v>
      </c>
    </row>
    <row r="726" spans="1:7" x14ac:dyDescent="0.3">
      <c r="A726" t="s">
        <v>1663</v>
      </c>
      <c r="B726" t="s">
        <v>45</v>
      </c>
      <c r="C726" t="s">
        <v>46</v>
      </c>
      <c r="D726" t="s">
        <v>1664</v>
      </c>
      <c r="E726">
        <v>28.525440239999998</v>
      </c>
      <c r="F726">
        <v>77.155900410000001</v>
      </c>
      <c r="G726">
        <v>8</v>
      </c>
    </row>
    <row r="727" spans="1:7" x14ac:dyDescent="0.3">
      <c r="A727" t="s">
        <v>1665</v>
      </c>
      <c r="B727" t="s">
        <v>45</v>
      </c>
      <c r="C727" t="s">
        <v>46</v>
      </c>
      <c r="D727" t="s">
        <v>1666</v>
      </c>
      <c r="E727">
        <v>28.53646664</v>
      </c>
      <c r="F727">
        <v>77.211450619999994</v>
      </c>
      <c r="G727">
        <v>8</v>
      </c>
    </row>
    <row r="728" spans="1:7" x14ac:dyDescent="0.3">
      <c r="A728" t="s">
        <v>1667</v>
      </c>
      <c r="B728" t="s">
        <v>45</v>
      </c>
      <c r="C728" t="s">
        <v>46</v>
      </c>
      <c r="D728" t="s">
        <v>1668</v>
      </c>
      <c r="E728">
        <v>28.557736909999999</v>
      </c>
      <c r="F728">
        <v>77.157943900000006</v>
      </c>
      <c r="G728">
        <v>8</v>
      </c>
    </row>
    <row r="729" spans="1:7" x14ac:dyDescent="0.3">
      <c r="A729" t="s">
        <v>1669</v>
      </c>
      <c r="B729" t="s">
        <v>45</v>
      </c>
      <c r="C729" t="s">
        <v>46</v>
      </c>
      <c r="D729" t="s">
        <v>1670</v>
      </c>
      <c r="E729">
        <v>28.549542299999999</v>
      </c>
      <c r="F729">
        <v>77.254569900000007</v>
      </c>
      <c r="G729">
        <v>8</v>
      </c>
    </row>
    <row r="730" spans="1:7" x14ac:dyDescent="0.3">
      <c r="A730" t="s">
        <v>1671</v>
      </c>
      <c r="B730" t="s">
        <v>45</v>
      </c>
      <c r="C730" t="s">
        <v>46</v>
      </c>
      <c r="D730" t="s">
        <v>1672</v>
      </c>
      <c r="E730">
        <v>28.551778689999999</v>
      </c>
      <c r="F730">
        <v>77.203316599999994</v>
      </c>
      <c r="G730">
        <v>8</v>
      </c>
    </row>
    <row r="731" spans="1:7" x14ac:dyDescent="0.3">
      <c r="A731" t="s">
        <v>1673</v>
      </c>
      <c r="B731" t="s">
        <v>45</v>
      </c>
      <c r="C731" t="s">
        <v>46</v>
      </c>
      <c r="D731" t="s">
        <v>1674</v>
      </c>
      <c r="E731">
        <v>28.559172490000002</v>
      </c>
      <c r="F731">
        <v>77.196484620000007</v>
      </c>
      <c r="G731">
        <v>8</v>
      </c>
    </row>
    <row r="732" spans="1:7" x14ac:dyDescent="0.3">
      <c r="A732" t="s">
        <v>1675</v>
      </c>
      <c r="B732" t="s">
        <v>45</v>
      </c>
      <c r="C732" t="s">
        <v>46</v>
      </c>
      <c r="D732" t="s">
        <v>1676</v>
      </c>
      <c r="E732">
        <v>28.555604639999999</v>
      </c>
      <c r="F732">
        <v>77.233710540000004</v>
      </c>
      <c r="G732">
        <v>8</v>
      </c>
    </row>
    <row r="733" spans="1:7" x14ac:dyDescent="0.3">
      <c r="A733" t="s">
        <v>1677</v>
      </c>
      <c r="B733" t="s">
        <v>45</v>
      </c>
      <c r="C733" t="s">
        <v>46</v>
      </c>
      <c r="D733" t="s">
        <v>1678</v>
      </c>
      <c r="E733">
        <v>28.86883053</v>
      </c>
      <c r="F733">
        <v>77.143762260000003</v>
      </c>
      <c r="G733">
        <v>8</v>
      </c>
    </row>
    <row r="734" spans="1:7" x14ac:dyDescent="0.3">
      <c r="A734" t="s">
        <v>1679</v>
      </c>
      <c r="B734" t="s">
        <v>45</v>
      </c>
      <c r="C734" t="s">
        <v>46</v>
      </c>
      <c r="D734" t="s">
        <v>1680</v>
      </c>
      <c r="E734">
        <v>28.573576039999999</v>
      </c>
      <c r="F734">
        <v>77.207151999999994</v>
      </c>
      <c r="G734">
        <v>8</v>
      </c>
    </row>
    <row r="735" spans="1:7" x14ac:dyDescent="0.3">
      <c r="A735" t="s">
        <v>1681</v>
      </c>
      <c r="B735" t="s">
        <v>45</v>
      </c>
      <c r="C735" t="s">
        <v>46</v>
      </c>
      <c r="D735" t="s">
        <v>1682</v>
      </c>
      <c r="E735">
        <v>28.577298290000002</v>
      </c>
      <c r="F735">
        <v>77.196908649999997</v>
      </c>
      <c r="G735">
        <v>8</v>
      </c>
    </row>
    <row r="736" spans="1:7" x14ac:dyDescent="0.3">
      <c r="A736" t="s">
        <v>1683</v>
      </c>
      <c r="B736" t="s">
        <v>45</v>
      </c>
      <c r="C736" t="s">
        <v>46</v>
      </c>
      <c r="D736" t="s">
        <v>1684</v>
      </c>
      <c r="E736">
        <v>28.577622999999999</v>
      </c>
      <c r="F736">
        <v>77.203898600000002</v>
      </c>
      <c r="G736">
        <v>8</v>
      </c>
    </row>
    <row r="737" spans="1:7" x14ac:dyDescent="0.3">
      <c r="A737" t="s">
        <v>1685</v>
      </c>
      <c r="B737" t="s">
        <v>45</v>
      </c>
      <c r="C737" t="s">
        <v>46</v>
      </c>
      <c r="D737" t="s">
        <v>1686</v>
      </c>
      <c r="E737">
        <v>28.582673790000001</v>
      </c>
      <c r="F737">
        <v>77.17947959</v>
      </c>
      <c r="G737">
        <v>8</v>
      </c>
    </row>
    <row r="738" spans="1:7" x14ac:dyDescent="0.3">
      <c r="A738" t="s">
        <v>1687</v>
      </c>
      <c r="B738" t="s">
        <v>45</v>
      </c>
      <c r="C738" t="s">
        <v>46</v>
      </c>
      <c r="D738" t="s">
        <v>1688</v>
      </c>
      <c r="E738">
        <v>28.587042929999999</v>
      </c>
      <c r="F738">
        <v>77.17767714</v>
      </c>
      <c r="G738">
        <v>8</v>
      </c>
    </row>
    <row r="739" spans="1:7" x14ac:dyDescent="0.3">
      <c r="A739" t="s">
        <v>1689</v>
      </c>
      <c r="B739" t="s">
        <v>45</v>
      </c>
      <c r="C739" t="s">
        <v>46</v>
      </c>
      <c r="D739" t="s">
        <v>1690</v>
      </c>
      <c r="E739">
        <v>28.585564959999999</v>
      </c>
      <c r="F739">
        <v>77.191323400000002</v>
      </c>
      <c r="G739">
        <v>8</v>
      </c>
    </row>
    <row r="740" spans="1:7" x14ac:dyDescent="0.3">
      <c r="A740" t="s">
        <v>1691</v>
      </c>
      <c r="B740" t="s">
        <v>45</v>
      </c>
      <c r="C740" t="s">
        <v>46</v>
      </c>
      <c r="D740" t="s">
        <v>1692</v>
      </c>
      <c r="E740">
        <v>28.58664525</v>
      </c>
      <c r="F740">
        <v>77.193607810000003</v>
      </c>
      <c r="G740">
        <v>8</v>
      </c>
    </row>
    <row r="741" spans="1:7" x14ac:dyDescent="0.3">
      <c r="A741" t="s">
        <v>1693</v>
      </c>
      <c r="B741" t="s">
        <v>45</v>
      </c>
      <c r="C741" t="s">
        <v>46</v>
      </c>
      <c r="D741" t="s">
        <v>1694</v>
      </c>
      <c r="E741">
        <v>28.580532000000002</v>
      </c>
      <c r="F741">
        <v>77.221047999999996</v>
      </c>
      <c r="G741">
        <v>8</v>
      </c>
    </row>
    <row r="742" spans="1:7" x14ac:dyDescent="0.3">
      <c r="A742" t="s">
        <v>1695</v>
      </c>
      <c r="B742" t="s">
        <v>45</v>
      </c>
      <c r="C742" t="s">
        <v>46</v>
      </c>
      <c r="D742" t="s">
        <v>1696</v>
      </c>
      <c r="E742">
        <v>28.583518000000002</v>
      </c>
      <c r="F742">
        <v>77.222057000000007</v>
      </c>
      <c r="G742">
        <v>8</v>
      </c>
    </row>
    <row r="743" spans="1:7" x14ac:dyDescent="0.3">
      <c r="A743" t="s">
        <v>1697</v>
      </c>
      <c r="B743" t="s">
        <v>45</v>
      </c>
      <c r="C743" t="s">
        <v>46</v>
      </c>
      <c r="D743" t="s">
        <v>1698</v>
      </c>
      <c r="E743">
        <v>28.584364999999998</v>
      </c>
      <c r="F743">
        <v>77.22054</v>
      </c>
      <c r="G743">
        <v>8</v>
      </c>
    </row>
    <row r="744" spans="1:7" x14ac:dyDescent="0.3">
      <c r="A744" t="s">
        <v>1699</v>
      </c>
      <c r="B744" t="s">
        <v>45</v>
      </c>
      <c r="C744" t="s">
        <v>46</v>
      </c>
      <c r="D744" t="s">
        <v>1700</v>
      </c>
      <c r="E744">
        <v>28.581050999999999</v>
      </c>
      <c r="F744">
        <v>77.227074999999999</v>
      </c>
      <c r="G744">
        <v>8</v>
      </c>
    </row>
    <row r="745" spans="1:7" x14ac:dyDescent="0.3">
      <c r="A745" t="s">
        <v>1701</v>
      </c>
      <c r="B745" t="s">
        <v>45</v>
      </c>
      <c r="C745" t="s">
        <v>46</v>
      </c>
      <c r="D745" t="s">
        <v>1702</v>
      </c>
      <c r="E745">
        <v>28.588117</v>
      </c>
      <c r="F745">
        <v>77.217563999999996</v>
      </c>
      <c r="G745">
        <v>8</v>
      </c>
    </row>
    <row r="746" spans="1:7" x14ac:dyDescent="0.3">
      <c r="A746" t="s">
        <v>1703</v>
      </c>
      <c r="B746" t="s">
        <v>45</v>
      </c>
      <c r="C746" t="s">
        <v>46</v>
      </c>
      <c r="D746" t="s">
        <v>1704</v>
      </c>
      <c r="E746">
        <v>28.590402000000001</v>
      </c>
      <c r="F746">
        <v>77.220191999999997</v>
      </c>
      <c r="G746">
        <v>8</v>
      </c>
    </row>
    <row r="747" spans="1:7" x14ac:dyDescent="0.3">
      <c r="A747" t="s">
        <v>1705</v>
      </c>
      <c r="B747" t="s">
        <v>45</v>
      </c>
      <c r="C747" t="s">
        <v>46</v>
      </c>
      <c r="D747" t="s">
        <v>1706</v>
      </c>
      <c r="E747">
        <v>28.5885055</v>
      </c>
      <c r="F747">
        <v>77.257023599999997</v>
      </c>
      <c r="G747">
        <v>8</v>
      </c>
    </row>
    <row r="748" spans="1:7" x14ac:dyDescent="0.3">
      <c r="A748" t="s">
        <v>1707</v>
      </c>
      <c r="B748" t="s">
        <v>45</v>
      </c>
      <c r="C748" t="s">
        <v>46</v>
      </c>
      <c r="D748" t="s">
        <v>1708</v>
      </c>
      <c r="E748">
        <v>28.601808999999999</v>
      </c>
      <c r="F748">
        <v>77.186431999999996</v>
      </c>
      <c r="G748">
        <v>8</v>
      </c>
    </row>
    <row r="749" spans="1:7" x14ac:dyDescent="0.3">
      <c r="A749" t="s">
        <v>1709</v>
      </c>
      <c r="B749" t="s">
        <v>45</v>
      </c>
      <c r="C749" t="s">
        <v>46</v>
      </c>
      <c r="D749" t="s">
        <v>1710</v>
      </c>
      <c r="E749">
        <v>28.600324000000001</v>
      </c>
      <c r="F749">
        <v>77.226883000000001</v>
      </c>
      <c r="G749">
        <v>8</v>
      </c>
    </row>
    <row r="750" spans="1:7" x14ac:dyDescent="0.3">
      <c r="A750" t="s">
        <v>1711</v>
      </c>
      <c r="B750" t="s">
        <v>45</v>
      </c>
      <c r="C750" t="s">
        <v>46</v>
      </c>
      <c r="D750" t="s">
        <v>1712</v>
      </c>
      <c r="E750">
        <v>28.600735</v>
      </c>
      <c r="F750">
        <v>77.226276999999996</v>
      </c>
      <c r="G750">
        <v>8</v>
      </c>
    </row>
    <row r="751" spans="1:7" x14ac:dyDescent="0.3">
      <c r="A751" t="s">
        <v>1713</v>
      </c>
      <c r="B751" t="s">
        <v>45</v>
      </c>
      <c r="C751" t="s">
        <v>46</v>
      </c>
      <c r="D751" t="s">
        <v>1714</v>
      </c>
      <c r="E751">
        <v>28.599477</v>
      </c>
      <c r="F751">
        <v>77.215582999999995</v>
      </c>
      <c r="G751">
        <v>8</v>
      </c>
    </row>
    <row r="752" spans="1:7" x14ac:dyDescent="0.3">
      <c r="A752" t="s">
        <v>1713</v>
      </c>
      <c r="B752" t="s">
        <v>45</v>
      </c>
      <c r="C752" t="s">
        <v>46</v>
      </c>
      <c r="D752" t="s">
        <v>1714</v>
      </c>
      <c r="E752">
        <v>28.601201</v>
      </c>
      <c r="F752">
        <v>77.215975</v>
      </c>
      <c r="G752">
        <v>8</v>
      </c>
    </row>
    <row r="753" spans="1:7" x14ac:dyDescent="0.3">
      <c r="A753" t="s">
        <v>1715</v>
      </c>
      <c r="B753" t="s">
        <v>45</v>
      </c>
      <c r="C753" t="s">
        <v>46</v>
      </c>
      <c r="D753" t="s">
        <v>1716</v>
      </c>
      <c r="E753">
        <v>28.625765170000001</v>
      </c>
      <c r="F753">
        <v>77.194891080000005</v>
      </c>
      <c r="G753">
        <v>8</v>
      </c>
    </row>
    <row r="754" spans="1:7" x14ac:dyDescent="0.3">
      <c r="A754" t="s">
        <v>1717</v>
      </c>
      <c r="B754" t="s">
        <v>45</v>
      </c>
      <c r="C754" t="s">
        <v>46</v>
      </c>
      <c r="D754" t="s">
        <v>1718</v>
      </c>
      <c r="E754">
        <v>28.62394449</v>
      </c>
      <c r="F754">
        <v>77.195098529999996</v>
      </c>
      <c r="G754">
        <v>8</v>
      </c>
    </row>
    <row r="755" spans="1:7" x14ac:dyDescent="0.3">
      <c r="A755" t="s">
        <v>1719</v>
      </c>
      <c r="B755" t="s">
        <v>45</v>
      </c>
      <c r="C755" t="s">
        <v>46</v>
      </c>
      <c r="D755" t="s">
        <v>1720</v>
      </c>
      <c r="E755">
        <v>28.617438159999999</v>
      </c>
      <c r="F755">
        <v>77.213623740000003</v>
      </c>
      <c r="G755">
        <v>8</v>
      </c>
    </row>
    <row r="756" spans="1:7" x14ac:dyDescent="0.3">
      <c r="A756" t="s">
        <v>1721</v>
      </c>
      <c r="B756" t="s">
        <v>45</v>
      </c>
      <c r="C756" t="s">
        <v>46</v>
      </c>
      <c r="D756" t="s">
        <v>1722</v>
      </c>
      <c r="E756">
        <v>28.619199040000002</v>
      </c>
      <c r="F756">
        <v>77.212529349999997</v>
      </c>
      <c r="G756">
        <v>8</v>
      </c>
    </row>
    <row r="757" spans="1:7" x14ac:dyDescent="0.3">
      <c r="A757" t="s">
        <v>1723</v>
      </c>
      <c r="B757" t="s">
        <v>45</v>
      </c>
      <c r="C757" t="s">
        <v>46</v>
      </c>
      <c r="D757" t="s">
        <v>1724</v>
      </c>
      <c r="E757">
        <v>28.622371019999999</v>
      </c>
      <c r="F757">
        <v>77.21148694</v>
      </c>
      <c r="G757">
        <v>8</v>
      </c>
    </row>
    <row r="758" spans="1:7" x14ac:dyDescent="0.3">
      <c r="A758" t="s">
        <v>1725</v>
      </c>
      <c r="B758" t="s">
        <v>45</v>
      </c>
      <c r="C758" t="s">
        <v>46</v>
      </c>
      <c r="D758" t="s">
        <v>1726</v>
      </c>
      <c r="E758">
        <v>28.624637119999999</v>
      </c>
      <c r="F758">
        <v>77.214051589999997</v>
      </c>
      <c r="G758">
        <v>8</v>
      </c>
    </row>
    <row r="759" spans="1:7" x14ac:dyDescent="0.3">
      <c r="A759" t="s">
        <v>1727</v>
      </c>
      <c r="B759" t="s">
        <v>45</v>
      </c>
      <c r="C759" t="s">
        <v>46</v>
      </c>
      <c r="D759" t="s">
        <v>1728</v>
      </c>
      <c r="E759">
        <v>28.624338890000001</v>
      </c>
      <c r="F759">
        <v>77.219837119999994</v>
      </c>
      <c r="G759">
        <v>8</v>
      </c>
    </row>
    <row r="760" spans="1:7" x14ac:dyDescent="0.3">
      <c r="A760" t="s">
        <v>1729</v>
      </c>
      <c r="B760" t="s">
        <v>45</v>
      </c>
      <c r="C760" t="s">
        <v>46</v>
      </c>
      <c r="D760" t="s">
        <v>1730</v>
      </c>
      <c r="E760">
        <v>28.627725219999999</v>
      </c>
      <c r="F760">
        <v>77.219776469999999</v>
      </c>
      <c r="G760">
        <v>8</v>
      </c>
    </row>
    <row r="761" spans="1:7" x14ac:dyDescent="0.3">
      <c r="A761" t="s">
        <v>1731</v>
      </c>
      <c r="B761" t="s">
        <v>45</v>
      </c>
      <c r="C761" t="s">
        <v>46</v>
      </c>
      <c r="D761" t="s">
        <v>1732</v>
      </c>
      <c r="E761">
        <v>28.62891677</v>
      </c>
      <c r="F761">
        <v>77.219752889999995</v>
      </c>
      <c r="G761">
        <v>8</v>
      </c>
    </row>
    <row r="762" spans="1:7" x14ac:dyDescent="0.3">
      <c r="A762" t="s">
        <v>1733</v>
      </c>
      <c r="B762" t="s">
        <v>45</v>
      </c>
      <c r="C762" t="s">
        <v>46</v>
      </c>
      <c r="D762" t="s">
        <v>1734</v>
      </c>
      <c r="E762">
        <v>28.627038590000002</v>
      </c>
      <c r="F762">
        <v>77.231895910000006</v>
      </c>
      <c r="G762">
        <v>8</v>
      </c>
    </row>
    <row r="763" spans="1:7" x14ac:dyDescent="0.3">
      <c r="A763" t="s">
        <v>1735</v>
      </c>
      <c r="B763" t="s">
        <v>45</v>
      </c>
      <c r="C763" t="s">
        <v>46</v>
      </c>
      <c r="D763" t="s">
        <v>1736</v>
      </c>
      <c r="E763">
        <v>28.634076400000001</v>
      </c>
      <c r="F763">
        <v>77.207433170000002</v>
      </c>
      <c r="G763">
        <v>8</v>
      </c>
    </row>
    <row r="764" spans="1:7" x14ac:dyDescent="0.3">
      <c r="A764" t="s">
        <v>1737</v>
      </c>
      <c r="B764" t="s">
        <v>45</v>
      </c>
      <c r="C764" t="s">
        <v>46</v>
      </c>
      <c r="D764" t="s">
        <v>1738</v>
      </c>
      <c r="E764">
        <v>28.629817660000001</v>
      </c>
      <c r="F764">
        <v>77.225953469999993</v>
      </c>
      <c r="G764">
        <v>8</v>
      </c>
    </row>
    <row r="765" spans="1:7" x14ac:dyDescent="0.3">
      <c r="A765" t="s">
        <v>1739</v>
      </c>
      <c r="B765" t="s">
        <v>45</v>
      </c>
      <c r="C765" t="s">
        <v>46</v>
      </c>
      <c r="D765" t="s">
        <v>1740</v>
      </c>
      <c r="E765">
        <v>28.63143715</v>
      </c>
      <c r="F765">
        <v>77.223439909999996</v>
      </c>
      <c r="G765">
        <v>8</v>
      </c>
    </row>
    <row r="766" spans="1:7" x14ac:dyDescent="0.3">
      <c r="A766" t="s">
        <v>1741</v>
      </c>
      <c r="B766" t="s">
        <v>45</v>
      </c>
      <c r="C766" t="s">
        <v>46</v>
      </c>
      <c r="D766" t="s">
        <v>1742</v>
      </c>
      <c r="E766">
        <v>28.631959049999999</v>
      </c>
      <c r="F766">
        <v>77.222121720000004</v>
      </c>
      <c r="G766">
        <v>8</v>
      </c>
    </row>
    <row r="767" spans="1:7" x14ac:dyDescent="0.3">
      <c r="A767" t="s">
        <v>1743</v>
      </c>
      <c r="B767" t="s">
        <v>45</v>
      </c>
      <c r="C767" t="s">
        <v>46</v>
      </c>
      <c r="D767" t="s">
        <v>1744</v>
      </c>
      <c r="E767">
        <v>28.633143579999999</v>
      </c>
      <c r="F767">
        <v>77.222989979999994</v>
      </c>
      <c r="G767">
        <v>8</v>
      </c>
    </row>
    <row r="768" spans="1:7" x14ac:dyDescent="0.3">
      <c r="A768" t="s">
        <v>1745</v>
      </c>
      <c r="B768" t="s">
        <v>45</v>
      </c>
      <c r="C768" t="s">
        <v>46</v>
      </c>
      <c r="D768" t="s">
        <v>1746</v>
      </c>
      <c r="E768">
        <v>28.633826670000001</v>
      </c>
      <c r="F768">
        <v>77.223527439999998</v>
      </c>
      <c r="G768">
        <v>8</v>
      </c>
    </row>
    <row r="769" spans="1:7" x14ac:dyDescent="0.3">
      <c r="A769" t="s">
        <v>1747</v>
      </c>
      <c r="B769" t="s">
        <v>45</v>
      </c>
      <c r="C769" t="s">
        <v>46</v>
      </c>
      <c r="D769" t="s">
        <v>1748</v>
      </c>
      <c r="E769">
        <v>28.633726769999999</v>
      </c>
      <c r="F769">
        <v>77.221938739999999</v>
      </c>
      <c r="G769">
        <v>8</v>
      </c>
    </row>
    <row r="770" spans="1:7" x14ac:dyDescent="0.3">
      <c r="A770" t="s">
        <v>1749</v>
      </c>
      <c r="B770" t="s">
        <v>45</v>
      </c>
      <c r="C770" t="s">
        <v>46</v>
      </c>
      <c r="D770" t="s">
        <v>1750</v>
      </c>
      <c r="E770">
        <v>28.633852130000001</v>
      </c>
      <c r="F770">
        <v>77.221857600000007</v>
      </c>
      <c r="G770">
        <v>8</v>
      </c>
    </row>
    <row r="771" spans="1:7" x14ac:dyDescent="0.3">
      <c r="A771" t="s">
        <v>1751</v>
      </c>
      <c r="B771" t="s">
        <v>45</v>
      </c>
      <c r="C771" t="s">
        <v>46</v>
      </c>
      <c r="D771" t="s">
        <v>1752</v>
      </c>
      <c r="E771">
        <v>28.63410545</v>
      </c>
      <c r="F771">
        <v>77.220862280000006</v>
      </c>
      <c r="G771">
        <v>8</v>
      </c>
    </row>
    <row r="772" spans="1:7" x14ac:dyDescent="0.3">
      <c r="A772" t="s">
        <v>1753</v>
      </c>
      <c r="B772" t="s">
        <v>45</v>
      </c>
      <c r="C772" t="s">
        <v>46</v>
      </c>
      <c r="D772" t="s">
        <v>1754</v>
      </c>
      <c r="E772">
        <v>28.634181229999999</v>
      </c>
      <c r="F772">
        <v>77.221319769999994</v>
      </c>
      <c r="G772">
        <v>8</v>
      </c>
    </row>
    <row r="773" spans="1:7" x14ac:dyDescent="0.3">
      <c r="A773" t="s">
        <v>1755</v>
      </c>
      <c r="B773" t="s">
        <v>45</v>
      </c>
      <c r="C773" t="s">
        <v>46</v>
      </c>
      <c r="D773" t="s">
        <v>1756</v>
      </c>
      <c r="E773">
        <v>28.634576020000001</v>
      </c>
      <c r="F773">
        <v>77.220624509999993</v>
      </c>
      <c r="G773">
        <v>8</v>
      </c>
    </row>
    <row r="774" spans="1:7" x14ac:dyDescent="0.3">
      <c r="A774" t="s">
        <v>1757</v>
      </c>
      <c r="B774" t="s">
        <v>45</v>
      </c>
      <c r="C774" t="s">
        <v>46</v>
      </c>
      <c r="D774" t="s">
        <v>1758</v>
      </c>
      <c r="E774">
        <v>28.632964319999999</v>
      </c>
      <c r="F774">
        <v>77.217962409999998</v>
      </c>
      <c r="G774">
        <v>8</v>
      </c>
    </row>
    <row r="775" spans="1:7" x14ac:dyDescent="0.3">
      <c r="A775" t="s">
        <v>1759</v>
      </c>
      <c r="B775" t="s">
        <v>45</v>
      </c>
      <c r="C775" t="s">
        <v>46</v>
      </c>
      <c r="D775" t="s">
        <v>1760</v>
      </c>
      <c r="E775">
        <v>28.631987899999999</v>
      </c>
      <c r="F775">
        <v>77.216943880000002</v>
      </c>
      <c r="G775">
        <v>8</v>
      </c>
    </row>
    <row r="776" spans="1:7" x14ac:dyDescent="0.3">
      <c r="A776" t="s">
        <v>1761</v>
      </c>
      <c r="B776" t="s">
        <v>45</v>
      </c>
      <c r="C776" t="s">
        <v>46</v>
      </c>
      <c r="D776" t="s">
        <v>1762</v>
      </c>
      <c r="E776">
        <v>28.635180779999999</v>
      </c>
      <c r="F776">
        <v>77.219600470000003</v>
      </c>
      <c r="G776">
        <v>8</v>
      </c>
    </row>
    <row r="777" spans="1:7" x14ac:dyDescent="0.3">
      <c r="A777" t="s">
        <v>1763</v>
      </c>
      <c r="B777" t="s">
        <v>45</v>
      </c>
      <c r="C777" t="s">
        <v>46</v>
      </c>
      <c r="D777" t="s">
        <v>1764</v>
      </c>
      <c r="E777">
        <v>28.634551420000001</v>
      </c>
      <c r="F777">
        <v>77.217917360000001</v>
      </c>
      <c r="G777">
        <v>8</v>
      </c>
    </row>
    <row r="778" spans="1:7" x14ac:dyDescent="0.3">
      <c r="A778" t="s">
        <v>1765</v>
      </c>
      <c r="B778" t="s">
        <v>45</v>
      </c>
      <c r="C778" t="s">
        <v>46</v>
      </c>
      <c r="D778" t="s">
        <v>1766</v>
      </c>
      <c r="E778">
        <v>28.633919899999999</v>
      </c>
      <c r="F778">
        <v>77.217401649999999</v>
      </c>
      <c r="G778">
        <v>8</v>
      </c>
    </row>
    <row r="779" spans="1:7" x14ac:dyDescent="0.3">
      <c r="A779" t="s">
        <v>1767</v>
      </c>
      <c r="B779" t="s">
        <v>45</v>
      </c>
      <c r="C779" t="s">
        <v>46</v>
      </c>
      <c r="D779" t="s">
        <v>1768</v>
      </c>
      <c r="E779">
        <v>28.63259875</v>
      </c>
      <c r="F779">
        <v>77.218338270000004</v>
      </c>
      <c r="G779">
        <v>8</v>
      </c>
    </row>
    <row r="780" spans="1:7" x14ac:dyDescent="0.3">
      <c r="A780" t="s">
        <v>1769</v>
      </c>
      <c r="B780" t="s">
        <v>45</v>
      </c>
      <c r="C780" t="s">
        <v>46</v>
      </c>
      <c r="D780" t="s">
        <v>1770</v>
      </c>
      <c r="E780">
        <v>28.657401369999999</v>
      </c>
      <c r="F780">
        <v>77.302194209999996</v>
      </c>
      <c r="G780">
        <v>8</v>
      </c>
    </row>
    <row r="781" spans="1:7" x14ac:dyDescent="0.3">
      <c r="A781" t="s">
        <v>1771</v>
      </c>
      <c r="B781" t="s">
        <v>18</v>
      </c>
      <c r="C781" t="s">
        <v>259</v>
      </c>
      <c r="D781" t="s">
        <v>1772</v>
      </c>
      <c r="E781">
        <v>28.49920006</v>
      </c>
      <c r="F781">
        <v>77.412808830000003</v>
      </c>
      <c r="G781">
        <v>8</v>
      </c>
    </row>
    <row r="782" spans="1:7" x14ac:dyDescent="0.3">
      <c r="A782" t="s">
        <v>1773</v>
      </c>
      <c r="B782" t="s">
        <v>18</v>
      </c>
      <c r="C782" t="s">
        <v>259</v>
      </c>
      <c r="D782" t="s">
        <v>1774</v>
      </c>
      <c r="E782">
        <v>28.544703999999999</v>
      </c>
      <c r="F782">
        <v>77.327263000000002</v>
      </c>
      <c r="G782">
        <v>8</v>
      </c>
    </row>
    <row r="783" spans="1:7" x14ac:dyDescent="0.3">
      <c r="A783" t="s">
        <v>1775</v>
      </c>
      <c r="B783" t="s">
        <v>18</v>
      </c>
      <c r="C783" t="s">
        <v>259</v>
      </c>
      <c r="D783" t="s">
        <v>1776</v>
      </c>
      <c r="E783">
        <v>28.570888709999998</v>
      </c>
      <c r="F783">
        <v>77.362121049999999</v>
      </c>
      <c r="G783">
        <v>8</v>
      </c>
    </row>
    <row r="784" spans="1:7" x14ac:dyDescent="0.3">
      <c r="A784" t="s">
        <v>1777</v>
      </c>
      <c r="B784" t="s">
        <v>18</v>
      </c>
      <c r="C784" t="s">
        <v>259</v>
      </c>
      <c r="D784" t="s">
        <v>1778</v>
      </c>
      <c r="E784">
        <v>28.577408500000001</v>
      </c>
      <c r="F784">
        <v>77.360975249999996</v>
      </c>
      <c r="G784">
        <v>8</v>
      </c>
    </row>
    <row r="785" spans="1:7" x14ac:dyDescent="0.3">
      <c r="A785" t="s">
        <v>1779</v>
      </c>
      <c r="B785" t="s">
        <v>18</v>
      </c>
      <c r="C785" t="s">
        <v>259</v>
      </c>
      <c r="D785" t="s">
        <v>1780</v>
      </c>
      <c r="E785">
        <v>28.567892990000001</v>
      </c>
      <c r="F785">
        <v>77.335267169999995</v>
      </c>
      <c r="G785">
        <v>8</v>
      </c>
    </row>
    <row r="786" spans="1:7" x14ac:dyDescent="0.3">
      <c r="A786" t="s">
        <v>1781</v>
      </c>
      <c r="B786" t="s">
        <v>18</v>
      </c>
      <c r="C786" t="s">
        <v>259</v>
      </c>
      <c r="D786" t="s">
        <v>1782</v>
      </c>
      <c r="E786">
        <v>28.572995550000002</v>
      </c>
      <c r="F786">
        <v>77.340509539999999</v>
      </c>
      <c r="G786">
        <v>8</v>
      </c>
    </row>
    <row r="787" spans="1:7" x14ac:dyDescent="0.3">
      <c r="A787" t="s">
        <v>1783</v>
      </c>
      <c r="B787" t="s">
        <v>18</v>
      </c>
      <c r="C787" t="s">
        <v>259</v>
      </c>
      <c r="D787" t="s">
        <v>1784</v>
      </c>
      <c r="E787">
        <v>28.587648290000001</v>
      </c>
      <c r="F787">
        <v>77.35208677</v>
      </c>
      <c r="G787">
        <v>8</v>
      </c>
    </row>
    <row r="788" spans="1:7" x14ac:dyDescent="0.3">
      <c r="A788" t="s">
        <v>1785</v>
      </c>
      <c r="B788" t="s">
        <v>18</v>
      </c>
      <c r="C788" t="s">
        <v>259</v>
      </c>
      <c r="D788" t="s">
        <v>1786</v>
      </c>
      <c r="E788">
        <v>28.59717534</v>
      </c>
      <c r="F788">
        <v>77.364803440000003</v>
      </c>
      <c r="G788">
        <v>8</v>
      </c>
    </row>
    <row r="789" spans="1:7" x14ac:dyDescent="0.3">
      <c r="A789" t="s">
        <v>1787</v>
      </c>
      <c r="B789" t="s">
        <v>18</v>
      </c>
      <c r="C789" t="s">
        <v>259</v>
      </c>
      <c r="D789" t="s">
        <v>1788</v>
      </c>
      <c r="E789">
        <v>28.60488569</v>
      </c>
      <c r="F789">
        <v>77.359584389999995</v>
      </c>
      <c r="G789">
        <v>8</v>
      </c>
    </row>
    <row r="790" spans="1:7" x14ac:dyDescent="0.3">
      <c r="A790" t="s">
        <v>1789</v>
      </c>
      <c r="B790" t="s">
        <v>18</v>
      </c>
      <c r="C790" t="s">
        <v>259</v>
      </c>
      <c r="D790" t="s">
        <v>1790</v>
      </c>
      <c r="E790">
        <v>28.595050749999999</v>
      </c>
      <c r="F790">
        <v>77.330419050000003</v>
      </c>
      <c r="G790">
        <v>8</v>
      </c>
    </row>
    <row r="791" spans="1:7" x14ac:dyDescent="0.3">
      <c r="A791" t="s">
        <v>1791</v>
      </c>
      <c r="B791" t="s">
        <v>18</v>
      </c>
      <c r="C791" t="s">
        <v>259</v>
      </c>
      <c r="D791" t="s">
        <v>1792</v>
      </c>
      <c r="E791">
        <v>28.596169199999999</v>
      </c>
      <c r="F791">
        <v>77.326629999999994</v>
      </c>
      <c r="G791">
        <v>8</v>
      </c>
    </row>
    <row r="792" spans="1:7" x14ac:dyDescent="0.3">
      <c r="A792" t="s">
        <v>1793</v>
      </c>
      <c r="B792" t="s">
        <v>18</v>
      </c>
      <c r="C792" t="s">
        <v>259</v>
      </c>
      <c r="D792" t="s">
        <v>1794</v>
      </c>
      <c r="E792">
        <v>28.584864710000002</v>
      </c>
      <c r="F792">
        <v>77.315031590000004</v>
      </c>
      <c r="G792">
        <v>8</v>
      </c>
    </row>
    <row r="793" spans="1:7" x14ac:dyDescent="0.3">
      <c r="A793" t="s">
        <v>1795</v>
      </c>
      <c r="B793" t="s">
        <v>18</v>
      </c>
      <c r="C793" t="s">
        <v>259</v>
      </c>
      <c r="D793" t="s">
        <v>1796</v>
      </c>
      <c r="E793">
        <v>28.582606859999999</v>
      </c>
      <c r="F793">
        <v>77.312843580000006</v>
      </c>
      <c r="G793">
        <v>8</v>
      </c>
    </row>
    <row r="794" spans="1:7" x14ac:dyDescent="0.3">
      <c r="A794" t="s">
        <v>1797</v>
      </c>
      <c r="B794" t="s">
        <v>18</v>
      </c>
      <c r="C794" t="s">
        <v>259</v>
      </c>
      <c r="D794" t="s">
        <v>1798</v>
      </c>
      <c r="E794">
        <v>28.626474999999999</v>
      </c>
      <c r="F794">
        <v>77.375141999999997</v>
      </c>
      <c r="G794">
        <v>8</v>
      </c>
    </row>
    <row r="795" spans="1:7" x14ac:dyDescent="0.3">
      <c r="A795" t="s">
        <v>1799</v>
      </c>
      <c r="B795" t="s">
        <v>18</v>
      </c>
      <c r="C795" t="s">
        <v>259</v>
      </c>
      <c r="D795" t="s">
        <v>1800</v>
      </c>
      <c r="E795">
        <v>28.6281915</v>
      </c>
      <c r="F795">
        <v>77.375303000000002</v>
      </c>
      <c r="G795">
        <v>8</v>
      </c>
    </row>
    <row r="796" spans="1:7" x14ac:dyDescent="0.3">
      <c r="A796" t="s">
        <v>1801</v>
      </c>
      <c r="B796" t="s">
        <v>506</v>
      </c>
      <c r="C796" t="s">
        <v>1236</v>
      </c>
      <c r="D796" t="s">
        <v>1802</v>
      </c>
      <c r="E796">
        <v>21.163948000000001</v>
      </c>
      <c r="F796">
        <v>81.788546999999994</v>
      </c>
      <c r="G796">
        <v>8</v>
      </c>
    </row>
    <row r="797" spans="1:7" x14ac:dyDescent="0.3">
      <c r="A797" t="s">
        <v>1803</v>
      </c>
      <c r="B797" t="s">
        <v>386</v>
      </c>
      <c r="C797" t="s">
        <v>1804</v>
      </c>
      <c r="D797" t="s">
        <v>1805</v>
      </c>
      <c r="E797">
        <v>8.481360724</v>
      </c>
      <c r="F797">
        <v>76.912481549999995</v>
      </c>
      <c r="G797">
        <v>8</v>
      </c>
    </row>
    <row r="798" spans="1:7" x14ac:dyDescent="0.3">
      <c r="A798" t="s">
        <v>1806</v>
      </c>
      <c r="B798" t="s">
        <v>386</v>
      </c>
      <c r="C798" t="s">
        <v>1807</v>
      </c>
      <c r="D798" t="s">
        <v>1808</v>
      </c>
      <c r="E798">
        <v>10.560449240000001</v>
      </c>
      <c r="F798">
        <v>76.217144239999996</v>
      </c>
      <c r="G798">
        <v>17</v>
      </c>
    </row>
    <row r="799" spans="1:7" x14ac:dyDescent="0.3">
      <c r="A799" t="s">
        <v>1809</v>
      </c>
      <c r="B799" t="s">
        <v>386</v>
      </c>
      <c r="C799" t="s">
        <v>1804</v>
      </c>
      <c r="D799" t="s">
        <v>1810</v>
      </c>
      <c r="E799">
        <v>8.4928520840000008</v>
      </c>
      <c r="F799">
        <v>76.958014439999999</v>
      </c>
      <c r="G799">
        <v>8</v>
      </c>
    </row>
    <row r="800" spans="1:7" x14ac:dyDescent="0.3">
      <c r="A800" t="s">
        <v>1811</v>
      </c>
      <c r="B800" t="s">
        <v>386</v>
      </c>
      <c r="C800" t="s">
        <v>1804</v>
      </c>
      <c r="D800" t="s">
        <v>1812</v>
      </c>
      <c r="E800">
        <v>8.5088484799999993</v>
      </c>
      <c r="F800">
        <v>76.946222539999994</v>
      </c>
      <c r="G800">
        <v>8</v>
      </c>
    </row>
    <row r="801" spans="1:7" x14ac:dyDescent="0.3">
      <c r="A801" t="s">
        <v>1813</v>
      </c>
      <c r="B801" t="s">
        <v>506</v>
      </c>
      <c r="C801" t="s">
        <v>1236</v>
      </c>
      <c r="D801" t="s">
        <v>1814</v>
      </c>
      <c r="E801">
        <v>21.160121920000002</v>
      </c>
      <c r="F801">
        <v>81.795153209999995</v>
      </c>
      <c r="G801">
        <v>8</v>
      </c>
    </row>
    <row r="802" spans="1:7" x14ac:dyDescent="0.3">
      <c r="A802" t="s">
        <v>1815</v>
      </c>
      <c r="B802" t="s">
        <v>115</v>
      </c>
      <c r="C802" t="s">
        <v>1163</v>
      </c>
      <c r="D802" t="s">
        <v>1816</v>
      </c>
      <c r="E802">
        <v>17.41406061</v>
      </c>
      <c r="F802">
        <v>78.457780470000003</v>
      </c>
      <c r="G802">
        <v>18</v>
      </c>
    </row>
    <row r="803" spans="1:7" x14ac:dyDescent="0.3">
      <c r="A803" t="s">
        <v>1817</v>
      </c>
      <c r="B803" t="s">
        <v>115</v>
      </c>
      <c r="C803" t="s">
        <v>1163</v>
      </c>
      <c r="D803" t="s">
        <v>1818</v>
      </c>
      <c r="E803">
        <v>17.31694482</v>
      </c>
      <c r="F803">
        <v>78.40246655</v>
      </c>
      <c r="G803">
        <v>18</v>
      </c>
    </row>
    <row r="804" spans="1:7" x14ac:dyDescent="0.3">
      <c r="A804" t="s">
        <v>1819</v>
      </c>
      <c r="B804" t="s">
        <v>41</v>
      </c>
      <c r="C804" t="s">
        <v>1820</v>
      </c>
      <c r="D804" t="s">
        <v>1821</v>
      </c>
      <c r="E804">
        <v>18.793202990000001</v>
      </c>
      <c r="F804">
        <v>73.296993920000006</v>
      </c>
      <c r="G804">
        <v>18</v>
      </c>
    </row>
    <row r="805" spans="1:7" x14ac:dyDescent="0.3">
      <c r="A805" t="s">
        <v>1822</v>
      </c>
      <c r="B805" t="s">
        <v>41</v>
      </c>
      <c r="C805" t="s">
        <v>1823</v>
      </c>
      <c r="D805" t="s">
        <v>1824</v>
      </c>
      <c r="E805">
        <v>19.068953570000001</v>
      </c>
      <c r="F805">
        <v>73.022510150000002</v>
      </c>
      <c r="G805">
        <v>18</v>
      </c>
    </row>
    <row r="806" spans="1:7" x14ac:dyDescent="0.3">
      <c r="A806" t="s">
        <v>1825</v>
      </c>
      <c r="B806" t="s">
        <v>49</v>
      </c>
      <c r="C806" t="s">
        <v>1008</v>
      </c>
      <c r="D806" t="s">
        <v>1826</v>
      </c>
      <c r="E806">
        <v>13.00777749</v>
      </c>
      <c r="F806">
        <v>80.207308839999996</v>
      </c>
      <c r="G806">
        <v>19</v>
      </c>
    </row>
    <row r="807" spans="1:7" x14ac:dyDescent="0.3">
      <c r="A807" t="s">
        <v>1827</v>
      </c>
      <c r="B807" t="s">
        <v>49</v>
      </c>
      <c r="C807" t="s">
        <v>1828</v>
      </c>
      <c r="D807" t="s">
        <v>1829</v>
      </c>
      <c r="E807">
        <v>12.24034498</v>
      </c>
      <c r="F807">
        <v>79.662281590000006</v>
      </c>
      <c r="G807">
        <v>19</v>
      </c>
    </row>
    <row r="808" spans="1:7" x14ac:dyDescent="0.3">
      <c r="A808" t="s">
        <v>1830</v>
      </c>
      <c r="B808" t="s">
        <v>386</v>
      </c>
      <c r="C808" t="s">
        <v>1831</v>
      </c>
      <c r="D808" t="s">
        <v>1832</v>
      </c>
      <c r="E808">
        <v>10.734774850000001</v>
      </c>
      <c r="F808">
        <v>76.048543989999999</v>
      </c>
      <c r="G808">
        <v>19</v>
      </c>
    </row>
    <row r="809" spans="1:7" x14ac:dyDescent="0.3">
      <c r="A809" t="s">
        <v>1833</v>
      </c>
      <c r="B809" t="s">
        <v>49</v>
      </c>
      <c r="C809" t="s">
        <v>1834</v>
      </c>
      <c r="D809" t="s">
        <v>1835</v>
      </c>
      <c r="E809">
        <v>12.23639376</v>
      </c>
      <c r="F809">
        <v>79.089600880000006</v>
      </c>
      <c r="G809">
        <v>19</v>
      </c>
    </row>
    <row r="810" spans="1:7" x14ac:dyDescent="0.3">
      <c r="A810" t="s">
        <v>1836</v>
      </c>
      <c r="B810" t="s">
        <v>45</v>
      </c>
      <c r="C810" t="s">
        <v>1837</v>
      </c>
      <c r="E810">
        <v>28.635470000000002</v>
      </c>
      <c r="F810">
        <v>77.221299999999999</v>
      </c>
    </row>
    <row r="811" spans="1:7" x14ac:dyDescent="0.3">
      <c r="A811" t="s">
        <v>1838</v>
      </c>
      <c r="B811" t="s">
        <v>8</v>
      </c>
      <c r="C811" t="s">
        <v>1839</v>
      </c>
      <c r="E811">
        <v>28.288074999999999</v>
      </c>
      <c r="F811">
        <v>77.295115999999993</v>
      </c>
    </row>
    <row r="812" spans="1:7" x14ac:dyDescent="0.3">
      <c r="A812" t="s">
        <v>1840</v>
      </c>
      <c r="B812" t="s">
        <v>18</v>
      </c>
      <c r="C812" t="s">
        <v>1841</v>
      </c>
      <c r="E812">
        <v>27.832687</v>
      </c>
      <c r="F812">
        <v>77.418785</v>
      </c>
    </row>
    <row r="813" spans="1:7" x14ac:dyDescent="0.3">
      <c r="A813" t="s">
        <v>1842</v>
      </c>
      <c r="B813" t="s">
        <v>41</v>
      </c>
      <c r="C813" t="s">
        <v>42</v>
      </c>
      <c r="D813" t="s">
        <v>1843</v>
      </c>
      <c r="E813">
        <v>18.621901999999999</v>
      </c>
      <c r="F813">
        <v>73.824969999999993</v>
      </c>
      <c r="G813">
        <v>18</v>
      </c>
    </row>
    <row r="814" spans="1:7" x14ac:dyDescent="0.3">
      <c r="A814" t="s">
        <v>1844</v>
      </c>
      <c r="B814" t="s">
        <v>41</v>
      </c>
      <c r="C814" t="s">
        <v>1845</v>
      </c>
      <c r="D814" t="s">
        <v>1846</v>
      </c>
      <c r="E814">
        <v>18.793453</v>
      </c>
      <c r="F814">
        <v>73.297218999999998</v>
      </c>
      <c r="G814">
        <v>18</v>
      </c>
    </row>
    <row r="815" spans="1:7" x14ac:dyDescent="0.3">
      <c r="A815" t="s">
        <v>1847</v>
      </c>
      <c r="B815" t="s">
        <v>68</v>
      </c>
      <c r="C815" t="s">
        <v>1848</v>
      </c>
      <c r="D815" t="s">
        <v>1849</v>
      </c>
      <c r="E815">
        <v>21.301571370000001</v>
      </c>
      <c r="F815">
        <v>72.953781530000001</v>
      </c>
      <c r="G815">
        <v>18</v>
      </c>
    </row>
    <row r="816" spans="1:7" x14ac:dyDescent="0.3">
      <c r="A816" t="s">
        <v>1850</v>
      </c>
      <c r="B816" t="s">
        <v>41</v>
      </c>
      <c r="C816" t="s">
        <v>1851</v>
      </c>
      <c r="D816" t="s">
        <v>1852</v>
      </c>
      <c r="E816">
        <v>19.119994429999998</v>
      </c>
      <c r="F816">
        <v>72.914103600000004</v>
      </c>
    </row>
    <row r="817" spans="1:7" x14ac:dyDescent="0.3">
      <c r="A817" t="s">
        <v>1853</v>
      </c>
      <c r="B817" t="s">
        <v>41</v>
      </c>
      <c r="C817" t="s">
        <v>1851</v>
      </c>
      <c r="D817" t="s">
        <v>1854</v>
      </c>
      <c r="E817">
        <v>20.221177269999998</v>
      </c>
      <c r="F817">
        <v>72.881229709999999</v>
      </c>
    </row>
    <row r="818" spans="1:7" x14ac:dyDescent="0.3">
      <c r="A818" t="s">
        <v>1855</v>
      </c>
      <c r="B818" t="s">
        <v>68</v>
      </c>
      <c r="C818" t="s">
        <v>1856</v>
      </c>
      <c r="D818" t="s">
        <v>1857</v>
      </c>
      <c r="E818">
        <v>20.944573590000001</v>
      </c>
      <c r="F818">
        <v>72.962844000000004</v>
      </c>
    </row>
    <row r="819" spans="1:7" x14ac:dyDescent="0.3">
      <c r="A819" t="s">
        <v>1858</v>
      </c>
      <c r="B819" t="s">
        <v>68</v>
      </c>
      <c r="C819" t="s">
        <v>1859</v>
      </c>
      <c r="D819" t="s">
        <v>1860</v>
      </c>
      <c r="E819">
        <v>22.024157670000001</v>
      </c>
      <c r="F819">
        <v>73.117532769999997</v>
      </c>
    </row>
    <row r="820" spans="1:7" x14ac:dyDescent="0.3">
      <c r="A820" t="s">
        <v>1861</v>
      </c>
      <c r="B820" t="s">
        <v>150</v>
      </c>
      <c r="C820" t="s">
        <v>1862</v>
      </c>
      <c r="D820" t="s">
        <v>1863</v>
      </c>
      <c r="E820">
        <v>12.911623609999999</v>
      </c>
      <c r="F820">
        <v>77.648996780000004</v>
      </c>
      <c r="G820">
        <v>16</v>
      </c>
    </row>
    <row r="821" spans="1:7" x14ac:dyDescent="0.3">
      <c r="A821" t="s">
        <v>1864</v>
      </c>
      <c r="B821" t="s">
        <v>150</v>
      </c>
      <c r="C821" t="s">
        <v>1862</v>
      </c>
      <c r="D821" t="s">
        <v>1865</v>
      </c>
      <c r="E821">
        <v>12.91895366</v>
      </c>
      <c r="F821">
        <v>77.612475649999993</v>
      </c>
      <c r="G821">
        <v>16</v>
      </c>
    </row>
    <row r="822" spans="1:7" x14ac:dyDescent="0.3">
      <c r="A822" t="s">
        <v>1866</v>
      </c>
      <c r="B822" t="s">
        <v>150</v>
      </c>
      <c r="C822" t="s">
        <v>1862</v>
      </c>
      <c r="D822" t="s">
        <v>1867</v>
      </c>
      <c r="E822">
        <v>12.93068034</v>
      </c>
      <c r="F822">
        <v>77.576627389999999</v>
      </c>
      <c r="G822">
        <v>16</v>
      </c>
    </row>
    <row r="823" spans="1:7" x14ac:dyDescent="0.3">
      <c r="A823" t="s">
        <v>1868</v>
      </c>
      <c r="B823" t="s">
        <v>150</v>
      </c>
      <c r="C823" t="s">
        <v>1862</v>
      </c>
      <c r="D823" t="s">
        <v>1869</v>
      </c>
      <c r="E823">
        <v>12.9499757</v>
      </c>
      <c r="F823">
        <v>77.540717999999998</v>
      </c>
      <c r="G823">
        <v>16</v>
      </c>
    </row>
    <row r="824" spans="1:7" x14ac:dyDescent="0.3">
      <c r="A824" t="s">
        <v>1870</v>
      </c>
      <c r="B824" t="s">
        <v>150</v>
      </c>
      <c r="C824" t="s">
        <v>1862</v>
      </c>
      <c r="D824" t="s">
        <v>1871</v>
      </c>
      <c r="E824">
        <v>12.95898377</v>
      </c>
      <c r="F824">
        <v>77.664402730000006</v>
      </c>
      <c r="G824">
        <v>16</v>
      </c>
    </row>
    <row r="825" spans="1:7" x14ac:dyDescent="0.3">
      <c r="A825" t="s">
        <v>1872</v>
      </c>
      <c r="B825" t="s">
        <v>150</v>
      </c>
      <c r="C825" t="s">
        <v>1862</v>
      </c>
      <c r="D825" t="s">
        <v>1873</v>
      </c>
      <c r="E825">
        <v>12.96495904</v>
      </c>
      <c r="F825">
        <v>77.644234530000006</v>
      </c>
      <c r="G825">
        <v>16</v>
      </c>
    </row>
    <row r="826" spans="1:7" x14ac:dyDescent="0.3">
      <c r="A826" t="s">
        <v>1874</v>
      </c>
      <c r="B826" t="s">
        <v>150</v>
      </c>
      <c r="C826" t="s">
        <v>1862</v>
      </c>
      <c r="D826" t="s">
        <v>1875</v>
      </c>
      <c r="E826">
        <v>13.024253979999999</v>
      </c>
      <c r="F826">
        <v>77.536718559999997</v>
      </c>
      <c r="G826">
        <v>16</v>
      </c>
    </row>
    <row r="827" spans="1:7" x14ac:dyDescent="0.3">
      <c r="A827" t="s">
        <v>1876</v>
      </c>
      <c r="B827" t="s">
        <v>150</v>
      </c>
      <c r="C827" t="s">
        <v>1862</v>
      </c>
      <c r="D827" t="s">
        <v>1877</v>
      </c>
      <c r="E827">
        <v>13.06689523</v>
      </c>
      <c r="F827">
        <v>77.444309739999994</v>
      </c>
      <c r="G827">
        <v>16</v>
      </c>
    </row>
    <row r="828" spans="1:7" x14ac:dyDescent="0.3">
      <c r="A828" t="s">
        <v>1878</v>
      </c>
      <c r="B828" t="s">
        <v>150</v>
      </c>
      <c r="C828" t="s">
        <v>1862</v>
      </c>
      <c r="D828" t="s">
        <v>1879</v>
      </c>
      <c r="E828">
        <v>13.02043003</v>
      </c>
      <c r="F828">
        <v>77.640933559999993</v>
      </c>
      <c r="G828">
        <v>16</v>
      </c>
    </row>
    <row r="829" spans="1:7" x14ac:dyDescent="0.3">
      <c r="A829" t="s">
        <v>1880</v>
      </c>
      <c r="B829" t="s">
        <v>150</v>
      </c>
      <c r="C829" t="s">
        <v>1862</v>
      </c>
      <c r="D829" t="s">
        <v>1881</v>
      </c>
      <c r="E829">
        <v>12.99493599</v>
      </c>
      <c r="F829">
        <v>77.699245340000004</v>
      </c>
      <c r="G829">
        <v>16</v>
      </c>
    </row>
    <row r="830" spans="1:7" x14ac:dyDescent="0.3">
      <c r="A830" t="s">
        <v>1882</v>
      </c>
      <c r="B830" t="s">
        <v>150</v>
      </c>
      <c r="C830" t="s">
        <v>1862</v>
      </c>
      <c r="D830" t="s">
        <v>1883</v>
      </c>
      <c r="E830">
        <v>13.09596479</v>
      </c>
      <c r="F830">
        <v>77.594525939999997</v>
      </c>
      <c r="G830">
        <v>16</v>
      </c>
    </row>
    <row r="831" spans="1:7" x14ac:dyDescent="0.3">
      <c r="A831" t="s">
        <v>1884</v>
      </c>
      <c r="B831" t="s">
        <v>150</v>
      </c>
      <c r="C831" t="s">
        <v>1862</v>
      </c>
      <c r="D831" t="s">
        <v>1885</v>
      </c>
      <c r="E831">
        <v>13.053353570000001</v>
      </c>
      <c r="F831">
        <v>77.543227239999993</v>
      </c>
      <c r="G831">
        <v>16</v>
      </c>
    </row>
    <row r="832" spans="1:7" x14ac:dyDescent="0.3">
      <c r="A832" t="s">
        <v>1886</v>
      </c>
      <c r="B832" t="s">
        <v>150</v>
      </c>
      <c r="C832" t="s">
        <v>1862</v>
      </c>
      <c r="D832" t="s">
        <v>1887</v>
      </c>
      <c r="E832">
        <v>13.038239430000001</v>
      </c>
      <c r="F832">
        <v>77.557751039999999</v>
      </c>
      <c r="G832">
        <v>16</v>
      </c>
    </row>
    <row r="833" spans="1:7" x14ac:dyDescent="0.3">
      <c r="A833" t="s">
        <v>1888</v>
      </c>
      <c r="B833" t="s">
        <v>150</v>
      </c>
      <c r="C833" t="s">
        <v>1862</v>
      </c>
      <c r="D833" t="s">
        <v>1889</v>
      </c>
      <c r="E833">
        <v>13.032111029999999</v>
      </c>
      <c r="F833">
        <v>77.527482840000005</v>
      </c>
      <c r="G833">
        <v>16</v>
      </c>
    </row>
    <row r="834" spans="1:7" x14ac:dyDescent="0.3">
      <c r="A834" t="s">
        <v>1890</v>
      </c>
      <c r="B834" t="s">
        <v>49</v>
      </c>
      <c r="C834" t="s">
        <v>1008</v>
      </c>
      <c r="D834" t="s">
        <v>1891</v>
      </c>
      <c r="E834">
        <v>13.088248999999999</v>
      </c>
      <c r="F834">
        <v>80.285359</v>
      </c>
      <c r="G834">
        <v>16</v>
      </c>
    </row>
    <row r="835" spans="1:7" x14ac:dyDescent="0.3">
      <c r="A835" t="s">
        <v>1890</v>
      </c>
      <c r="B835" t="s">
        <v>49</v>
      </c>
      <c r="C835" t="s">
        <v>1008</v>
      </c>
      <c r="D835" t="s">
        <v>1891</v>
      </c>
      <c r="E835">
        <v>13.088248999999999</v>
      </c>
      <c r="F835">
        <v>80.285359</v>
      </c>
      <c r="G835">
        <v>16</v>
      </c>
    </row>
    <row r="836" spans="1:7" x14ac:dyDescent="0.3">
      <c r="A836" t="s">
        <v>1892</v>
      </c>
      <c r="B836" t="s">
        <v>49</v>
      </c>
      <c r="C836" t="s">
        <v>1008</v>
      </c>
      <c r="D836" t="s">
        <v>1893</v>
      </c>
      <c r="E836">
        <v>13.079097000000001</v>
      </c>
      <c r="F836">
        <v>80.261538000000002</v>
      </c>
      <c r="G836">
        <v>16</v>
      </c>
    </row>
    <row r="837" spans="1:7" x14ac:dyDescent="0.3">
      <c r="A837" t="s">
        <v>1892</v>
      </c>
      <c r="B837" t="s">
        <v>49</v>
      </c>
      <c r="C837" t="s">
        <v>1008</v>
      </c>
      <c r="D837" t="s">
        <v>1893</v>
      </c>
      <c r="E837">
        <v>13.079097000000001</v>
      </c>
      <c r="F837">
        <v>80.261538000000002</v>
      </c>
      <c r="G837">
        <v>16</v>
      </c>
    </row>
    <row r="838" spans="1:7" x14ac:dyDescent="0.3">
      <c r="A838" t="s">
        <v>1894</v>
      </c>
      <c r="B838" t="s">
        <v>49</v>
      </c>
      <c r="C838" t="s">
        <v>1008</v>
      </c>
      <c r="D838" t="s">
        <v>1895</v>
      </c>
      <c r="E838">
        <v>13.0237</v>
      </c>
      <c r="F838">
        <v>80.228200000000001</v>
      </c>
      <c r="G838">
        <v>16</v>
      </c>
    </row>
    <row r="839" spans="1:7" x14ac:dyDescent="0.3">
      <c r="A839" t="s">
        <v>1896</v>
      </c>
      <c r="B839" t="s">
        <v>49</v>
      </c>
      <c r="C839" t="s">
        <v>1008</v>
      </c>
      <c r="D839" t="s">
        <v>1897</v>
      </c>
      <c r="E839">
        <v>13.0853</v>
      </c>
      <c r="F839">
        <v>80.201599999999999</v>
      </c>
      <c r="G839">
        <v>16</v>
      </c>
    </row>
    <row r="840" spans="1:7" x14ac:dyDescent="0.3">
      <c r="A840" t="s">
        <v>1592</v>
      </c>
      <c r="B840" t="s">
        <v>49</v>
      </c>
      <c r="C840" t="s">
        <v>1008</v>
      </c>
      <c r="D840" t="s">
        <v>1897</v>
      </c>
      <c r="E840">
        <v>13.0853</v>
      </c>
      <c r="F840">
        <v>80.201599999999999</v>
      </c>
      <c r="G840">
        <v>16</v>
      </c>
    </row>
    <row r="841" spans="1:7" x14ac:dyDescent="0.3">
      <c r="A841" t="s">
        <v>1721</v>
      </c>
      <c r="B841" t="s">
        <v>45</v>
      </c>
      <c r="C841" t="s">
        <v>45</v>
      </c>
      <c r="D841" t="s">
        <v>1898</v>
      </c>
      <c r="E841">
        <v>28.618260410000001</v>
      </c>
      <c r="F841">
        <v>77.212569860000002</v>
      </c>
      <c r="G841">
        <v>16</v>
      </c>
    </row>
    <row r="842" spans="1:7" x14ac:dyDescent="0.3">
      <c r="A842" t="s">
        <v>1721</v>
      </c>
      <c r="B842" t="s">
        <v>45</v>
      </c>
      <c r="C842" t="s">
        <v>45</v>
      </c>
      <c r="D842" t="s">
        <v>1898</v>
      </c>
      <c r="E842">
        <v>28.618260410000001</v>
      </c>
      <c r="F842">
        <v>77.212569860000002</v>
      </c>
      <c r="G842">
        <v>16</v>
      </c>
    </row>
    <row r="843" spans="1:7" x14ac:dyDescent="0.3">
      <c r="A843" t="s">
        <v>1899</v>
      </c>
      <c r="B843" t="s">
        <v>45</v>
      </c>
      <c r="C843" t="s">
        <v>45</v>
      </c>
      <c r="D843" t="s">
        <v>1900</v>
      </c>
      <c r="E843">
        <v>28.595833330000001</v>
      </c>
      <c r="F843">
        <v>77.180555560000002</v>
      </c>
      <c r="G843">
        <v>16</v>
      </c>
    </row>
    <row r="844" spans="1:7" x14ac:dyDescent="0.3">
      <c r="A844" t="s">
        <v>1901</v>
      </c>
      <c r="B844" t="s">
        <v>45</v>
      </c>
      <c r="C844" t="s">
        <v>45</v>
      </c>
      <c r="D844" t="s">
        <v>1902</v>
      </c>
      <c r="E844">
        <v>28.572793000000001</v>
      </c>
      <c r="F844">
        <v>77.208662000000004</v>
      </c>
      <c r="G844">
        <v>16</v>
      </c>
    </row>
    <row r="845" spans="1:7" x14ac:dyDescent="0.3">
      <c r="A845" t="s">
        <v>1721</v>
      </c>
      <c r="B845" t="s">
        <v>45</v>
      </c>
      <c r="C845" t="s">
        <v>45</v>
      </c>
      <c r="D845" t="s">
        <v>1903</v>
      </c>
      <c r="E845">
        <v>28.618260410000001</v>
      </c>
      <c r="F845">
        <v>77.212569860000002</v>
      </c>
      <c r="G845">
        <v>16</v>
      </c>
    </row>
    <row r="846" spans="1:7" x14ac:dyDescent="0.3">
      <c r="A846" t="s">
        <v>1721</v>
      </c>
      <c r="B846" t="s">
        <v>45</v>
      </c>
      <c r="C846" t="s">
        <v>45</v>
      </c>
      <c r="D846" t="s">
        <v>1898</v>
      </c>
      <c r="E846">
        <v>28.618260410000001</v>
      </c>
      <c r="F846">
        <v>77.212569860000002</v>
      </c>
      <c r="G846">
        <v>16</v>
      </c>
    </row>
    <row r="847" spans="1:7" x14ac:dyDescent="0.3">
      <c r="A847" t="s">
        <v>1904</v>
      </c>
      <c r="B847" t="s">
        <v>105</v>
      </c>
      <c r="C847" t="s">
        <v>105</v>
      </c>
      <c r="D847" t="s">
        <v>1905</v>
      </c>
      <c r="E847">
        <v>15.51047222</v>
      </c>
      <c r="F847">
        <v>73.837222220000001</v>
      </c>
      <c r="G847">
        <v>16</v>
      </c>
    </row>
    <row r="848" spans="1:7" x14ac:dyDescent="0.3">
      <c r="A848" t="s">
        <v>1624</v>
      </c>
      <c r="B848" t="s">
        <v>386</v>
      </c>
      <c r="C848" t="s">
        <v>1435</v>
      </c>
      <c r="D848" t="s">
        <v>1906</v>
      </c>
      <c r="E848">
        <v>9.9771640000000001</v>
      </c>
      <c r="F848">
        <v>76.277770000000004</v>
      </c>
      <c r="G848">
        <v>16</v>
      </c>
    </row>
    <row r="849" spans="1:7" x14ac:dyDescent="0.3">
      <c r="A849" t="s">
        <v>1609</v>
      </c>
      <c r="B849" t="s">
        <v>8</v>
      </c>
      <c r="C849" t="s">
        <v>1610</v>
      </c>
      <c r="D849" t="s">
        <v>1907</v>
      </c>
      <c r="E849">
        <v>30.695929</v>
      </c>
      <c r="F849">
        <v>76.834873999999999</v>
      </c>
      <c r="G849">
        <v>16</v>
      </c>
    </row>
    <row r="850" spans="1:7" x14ac:dyDescent="0.3">
      <c r="A850" t="s">
        <v>1908</v>
      </c>
      <c r="B850" t="s">
        <v>386</v>
      </c>
      <c r="C850" t="s">
        <v>1909</v>
      </c>
      <c r="D850" t="s">
        <v>1910</v>
      </c>
      <c r="E850">
        <v>9.6362799999999993</v>
      </c>
      <c r="F850">
        <v>76.3352</v>
      </c>
      <c r="G850">
        <v>16</v>
      </c>
    </row>
    <row r="851" spans="1:7" x14ac:dyDescent="0.3">
      <c r="A851" t="s">
        <v>1911</v>
      </c>
      <c r="B851" t="s">
        <v>386</v>
      </c>
      <c r="C851" t="s">
        <v>1912</v>
      </c>
      <c r="D851" t="s">
        <v>1913</v>
      </c>
      <c r="E851">
        <v>8.4811589999999999</v>
      </c>
      <c r="F851">
        <v>76.912456000000006</v>
      </c>
      <c r="G851">
        <v>16</v>
      </c>
    </row>
    <row r="852" spans="1:7" x14ac:dyDescent="0.3">
      <c r="A852" t="s">
        <v>1914</v>
      </c>
      <c r="B852" t="s">
        <v>386</v>
      </c>
      <c r="C852" t="s">
        <v>1912</v>
      </c>
      <c r="D852" t="s">
        <v>1810</v>
      </c>
      <c r="E852">
        <v>8.4927752000000005</v>
      </c>
      <c r="F852">
        <v>76.957295599999995</v>
      </c>
      <c r="G852">
        <v>16</v>
      </c>
    </row>
    <row r="853" spans="1:7" x14ac:dyDescent="0.3">
      <c r="A853" t="s">
        <v>1915</v>
      </c>
      <c r="B853" t="s">
        <v>386</v>
      </c>
      <c r="C853" t="s">
        <v>1916</v>
      </c>
      <c r="D853" t="s">
        <v>1917</v>
      </c>
      <c r="E853">
        <v>8.4600160169999992</v>
      </c>
      <c r="F853">
        <v>77.004024720000004</v>
      </c>
      <c r="G853">
        <v>16</v>
      </c>
    </row>
    <row r="854" spans="1:7" x14ac:dyDescent="0.3">
      <c r="A854" t="s">
        <v>1918</v>
      </c>
      <c r="B854" t="s">
        <v>386</v>
      </c>
      <c r="C854" t="s">
        <v>1916</v>
      </c>
      <c r="D854" t="s">
        <v>1919</v>
      </c>
      <c r="E854">
        <v>8.8929527910000008</v>
      </c>
      <c r="F854">
        <v>76.578787329999997</v>
      </c>
      <c r="G854">
        <v>16</v>
      </c>
    </row>
    <row r="855" spans="1:7" x14ac:dyDescent="0.3">
      <c r="A855" t="s">
        <v>1920</v>
      </c>
      <c r="B855" t="s">
        <v>386</v>
      </c>
      <c r="C855" t="s">
        <v>1916</v>
      </c>
      <c r="D855" t="s">
        <v>1921</v>
      </c>
      <c r="E855">
        <v>10.00552573</v>
      </c>
      <c r="F855">
        <v>76.305044800000005</v>
      </c>
      <c r="G855">
        <v>16</v>
      </c>
    </row>
    <row r="856" spans="1:7" x14ac:dyDescent="0.3">
      <c r="A856" t="s">
        <v>1922</v>
      </c>
      <c r="B856" t="s">
        <v>386</v>
      </c>
      <c r="C856" t="s">
        <v>1916</v>
      </c>
      <c r="D856" t="s">
        <v>1923</v>
      </c>
      <c r="E856">
        <v>10.56052307</v>
      </c>
      <c r="F856">
        <v>76.217240799999999</v>
      </c>
      <c r="G856">
        <v>16</v>
      </c>
    </row>
    <row r="857" spans="1:7" x14ac:dyDescent="0.3">
      <c r="A857" t="s">
        <v>1924</v>
      </c>
      <c r="B857" t="s">
        <v>386</v>
      </c>
      <c r="C857" t="s">
        <v>1916</v>
      </c>
      <c r="D857" t="s">
        <v>1925</v>
      </c>
      <c r="E857">
        <v>11.20838069</v>
      </c>
      <c r="F857">
        <v>75.808485869999998</v>
      </c>
      <c r="G857">
        <v>16</v>
      </c>
    </row>
    <row r="858" spans="1:7" x14ac:dyDescent="0.3">
      <c r="A858" t="s">
        <v>1926</v>
      </c>
      <c r="B858" t="s">
        <v>386</v>
      </c>
      <c r="C858" t="s">
        <v>1916</v>
      </c>
      <c r="D858" t="s">
        <v>1927</v>
      </c>
      <c r="E858">
        <v>11.86893912</v>
      </c>
      <c r="F858">
        <v>75.403165729999998</v>
      </c>
      <c r="G858">
        <v>16</v>
      </c>
    </row>
    <row r="859" spans="1:7" x14ac:dyDescent="0.3">
      <c r="A859" t="s">
        <v>1928</v>
      </c>
      <c r="B859" t="s">
        <v>68</v>
      </c>
      <c r="C859" t="s">
        <v>1929</v>
      </c>
      <c r="D859" t="s">
        <v>1930</v>
      </c>
      <c r="E859">
        <v>22.996680999999999</v>
      </c>
      <c r="F859">
        <v>72.498226000000003</v>
      </c>
      <c r="G859">
        <v>20</v>
      </c>
    </row>
    <row r="860" spans="1:7" x14ac:dyDescent="0.3">
      <c r="A860" t="s">
        <v>1931</v>
      </c>
      <c r="B860" t="s">
        <v>150</v>
      </c>
      <c r="C860" t="s">
        <v>1932</v>
      </c>
      <c r="D860" t="s">
        <v>1933</v>
      </c>
      <c r="E860">
        <v>12.865031999999999</v>
      </c>
      <c r="F860">
        <v>77.657853000000003</v>
      </c>
      <c r="G860">
        <v>20</v>
      </c>
    </row>
    <row r="861" spans="1:7" x14ac:dyDescent="0.3">
      <c r="A861" t="s">
        <v>1934</v>
      </c>
      <c r="B861" t="s">
        <v>8</v>
      </c>
      <c r="C861" t="s">
        <v>1935</v>
      </c>
      <c r="D861" t="s">
        <v>1936</v>
      </c>
      <c r="E861">
        <v>28.462298000000001</v>
      </c>
      <c r="F861">
        <v>77.048472000000004</v>
      </c>
      <c r="G861">
        <v>20</v>
      </c>
    </row>
    <row r="862" spans="1:7" x14ac:dyDescent="0.3">
      <c r="A862" t="s">
        <v>1937</v>
      </c>
      <c r="B862" t="s">
        <v>115</v>
      </c>
      <c r="C862" t="s">
        <v>1938</v>
      </c>
      <c r="D862" t="s">
        <v>1939</v>
      </c>
      <c r="E862">
        <v>17.494851000000001</v>
      </c>
      <c r="F862">
        <v>78.336466999999999</v>
      </c>
      <c r="G862">
        <v>20</v>
      </c>
    </row>
    <row r="863" spans="1:7" x14ac:dyDescent="0.3">
      <c r="A863" t="s">
        <v>1940</v>
      </c>
      <c r="B863" t="s">
        <v>115</v>
      </c>
      <c r="C863" t="s">
        <v>1938</v>
      </c>
      <c r="D863" t="s">
        <v>1941</v>
      </c>
      <c r="E863">
        <v>17.435967999999999</v>
      </c>
      <c r="F863">
        <v>78.400030000000001</v>
      </c>
      <c r="G863">
        <v>20</v>
      </c>
    </row>
    <row r="864" spans="1:7" x14ac:dyDescent="0.3">
      <c r="A864" t="s">
        <v>1942</v>
      </c>
      <c r="B864" t="s">
        <v>115</v>
      </c>
      <c r="C864" t="s">
        <v>1938</v>
      </c>
      <c r="D864" t="s">
        <v>1943</v>
      </c>
      <c r="E864">
        <v>17.523923</v>
      </c>
      <c r="F864">
        <v>78.430328000000003</v>
      </c>
      <c r="G864">
        <v>20</v>
      </c>
    </row>
    <row r="865" spans="1:7" x14ac:dyDescent="0.3">
      <c r="A865" t="s">
        <v>1944</v>
      </c>
      <c r="B865" t="s">
        <v>115</v>
      </c>
      <c r="C865" t="s">
        <v>1938</v>
      </c>
      <c r="D865" t="s">
        <v>1945</v>
      </c>
      <c r="E865">
        <v>17.438229</v>
      </c>
      <c r="F865">
        <v>78.457262999999998</v>
      </c>
      <c r="G865">
        <v>20</v>
      </c>
    </row>
    <row r="866" spans="1:7" x14ac:dyDescent="0.3">
      <c r="A866" t="s">
        <v>1946</v>
      </c>
      <c r="B866" t="s">
        <v>115</v>
      </c>
      <c r="C866" t="s">
        <v>1938</v>
      </c>
      <c r="D866" t="s">
        <v>1947</v>
      </c>
      <c r="E866">
        <v>17.444838000000001</v>
      </c>
      <c r="F866">
        <v>78.466949</v>
      </c>
      <c r="G866">
        <v>20</v>
      </c>
    </row>
    <row r="867" spans="1:7" x14ac:dyDescent="0.3">
      <c r="A867" t="s">
        <v>1948</v>
      </c>
      <c r="B867" t="s">
        <v>181</v>
      </c>
      <c r="C867" t="s">
        <v>1949</v>
      </c>
      <c r="D867" t="s">
        <v>1950</v>
      </c>
      <c r="E867">
        <v>30.661356000000001</v>
      </c>
      <c r="F867">
        <v>76.731482</v>
      </c>
      <c r="G867">
        <v>20</v>
      </c>
    </row>
    <row r="868" spans="1:7" x14ac:dyDescent="0.3">
      <c r="A868" t="s">
        <v>1951</v>
      </c>
      <c r="B868" t="s">
        <v>45</v>
      </c>
      <c r="C868" t="s">
        <v>1837</v>
      </c>
      <c r="D868" t="s">
        <v>1952</v>
      </c>
      <c r="E868">
        <v>28.661960000000001</v>
      </c>
      <c r="F868">
        <v>77.152242000000001</v>
      </c>
      <c r="G868">
        <v>20</v>
      </c>
    </row>
    <row r="869" spans="1:7" x14ac:dyDescent="0.3">
      <c r="A869" t="s">
        <v>1953</v>
      </c>
      <c r="B869" t="s">
        <v>45</v>
      </c>
      <c r="C869" t="s">
        <v>1837</v>
      </c>
      <c r="D869" t="s">
        <v>1954</v>
      </c>
      <c r="E869">
        <v>28.564862999999999</v>
      </c>
      <c r="F869">
        <v>77.236743000000004</v>
      </c>
      <c r="G869">
        <v>20</v>
      </c>
    </row>
    <row r="870" spans="1:7" x14ac:dyDescent="0.3">
      <c r="A870" t="s">
        <v>1955</v>
      </c>
      <c r="B870" t="s">
        <v>41</v>
      </c>
      <c r="C870" t="s">
        <v>1956</v>
      </c>
      <c r="D870" t="s">
        <v>1957</v>
      </c>
      <c r="E870">
        <v>16.6869187</v>
      </c>
      <c r="F870">
        <v>74.270380500000002</v>
      </c>
      <c r="G870">
        <v>21</v>
      </c>
    </row>
    <row r="871" spans="1:7" x14ac:dyDescent="0.3">
      <c r="A871" t="s">
        <v>1958</v>
      </c>
      <c r="B871" t="s">
        <v>115</v>
      </c>
      <c r="C871" t="s">
        <v>1163</v>
      </c>
      <c r="D871" t="s">
        <v>1959</v>
      </c>
      <c r="E871">
        <v>17.437256999999999</v>
      </c>
      <c r="F871">
        <v>78.452294300000005</v>
      </c>
      <c r="G871">
        <v>21</v>
      </c>
    </row>
    <row r="872" spans="1:7" x14ac:dyDescent="0.3">
      <c r="A872" t="s">
        <v>1960</v>
      </c>
      <c r="B872" t="s">
        <v>45</v>
      </c>
      <c r="C872" t="s">
        <v>1961</v>
      </c>
      <c r="D872" t="s">
        <v>1962</v>
      </c>
      <c r="E872">
        <v>28.621449999999999</v>
      </c>
      <c r="F872">
        <v>77.293555999999995</v>
      </c>
      <c r="G872">
        <v>14</v>
      </c>
    </row>
    <row r="873" spans="1:7" x14ac:dyDescent="0.3">
      <c r="A873" t="s">
        <v>1825</v>
      </c>
      <c r="B873" t="s">
        <v>49</v>
      </c>
      <c r="C873" t="s">
        <v>1008</v>
      </c>
      <c r="D873" t="s">
        <v>1826</v>
      </c>
      <c r="E873">
        <v>13.00777749</v>
      </c>
      <c r="F873">
        <v>80.207308839999996</v>
      </c>
      <c r="G873">
        <v>19</v>
      </c>
    </row>
    <row r="874" spans="1:7" x14ac:dyDescent="0.3">
      <c r="A874" t="s">
        <v>1827</v>
      </c>
      <c r="B874" t="s">
        <v>49</v>
      </c>
      <c r="C874" t="s">
        <v>1828</v>
      </c>
      <c r="D874" t="s">
        <v>1829</v>
      </c>
      <c r="E874">
        <v>12.24034498</v>
      </c>
      <c r="F874">
        <v>79.662281590000006</v>
      </c>
      <c r="G874">
        <v>19</v>
      </c>
    </row>
    <row r="875" spans="1:7" x14ac:dyDescent="0.3">
      <c r="A875" t="s">
        <v>1963</v>
      </c>
      <c r="B875" t="s">
        <v>49</v>
      </c>
      <c r="C875" t="s">
        <v>1964</v>
      </c>
      <c r="D875" t="s">
        <v>1965</v>
      </c>
      <c r="E875">
        <v>12.779884450000001</v>
      </c>
      <c r="F875">
        <v>78.717769709999999</v>
      </c>
      <c r="G875">
        <v>19</v>
      </c>
    </row>
    <row r="876" spans="1:7" x14ac:dyDescent="0.3">
      <c r="A876" t="s">
        <v>1830</v>
      </c>
      <c r="B876" t="s">
        <v>386</v>
      </c>
      <c r="C876" t="s">
        <v>1831</v>
      </c>
      <c r="D876" t="s">
        <v>1832</v>
      </c>
      <c r="E876">
        <v>10.734774850000001</v>
      </c>
      <c r="F876">
        <v>76.048543989999999</v>
      </c>
      <c r="G876">
        <v>19</v>
      </c>
    </row>
    <row r="877" spans="1:7" x14ac:dyDescent="0.3">
      <c r="A877" t="s">
        <v>1966</v>
      </c>
      <c r="B877" t="s">
        <v>49</v>
      </c>
      <c r="C877" t="s">
        <v>1967</v>
      </c>
      <c r="D877" t="s">
        <v>1968</v>
      </c>
      <c r="E877">
        <v>11.19362344</v>
      </c>
      <c r="F877">
        <v>78.104834150000002</v>
      </c>
      <c r="G877">
        <v>19</v>
      </c>
    </row>
    <row r="878" spans="1:7" x14ac:dyDescent="0.3">
      <c r="A878" t="s">
        <v>1969</v>
      </c>
      <c r="B878" t="s">
        <v>49</v>
      </c>
      <c r="C878" t="s">
        <v>1338</v>
      </c>
      <c r="D878" t="s">
        <v>1970</v>
      </c>
      <c r="E878">
        <v>9.9870810530000007</v>
      </c>
      <c r="F878">
        <v>78.241544439999998</v>
      </c>
      <c r="G878">
        <v>19</v>
      </c>
    </row>
    <row r="879" spans="1:7" x14ac:dyDescent="0.3">
      <c r="A879" t="s">
        <v>1971</v>
      </c>
      <c r="B879" t="s">
        <v>49</v>
      </c>
      <c r="C879" t="s">
        <v>997</v>
      </c>
      <c r="D879" t="s">
        <v>1972</v>
      </c>
      <c r="E879">
        <v>12.54250304</v>
      </c>
      <c r="F879">
        <v>78.201532740000005</v>
      </c>
      <c r="G879">
        <v>19</v>
      </c>
    </row>
    <row r="880" spans="1:7" x14ac:dyDescent="0.3">
      <c r="A880" t="s">
        <v>1973</v>
      </c>
      <c r="B880" t="s">
        <v>49</v>
      </c>
      <c r="C880" t="s">
        <v>1974</v>
      </c>
      <c r="D880" t="s">
        <v>1975</v>
      </c>
      <c r="E880">
        <v>12.9023796</v>
      </c>
      <c r="F880">
        <v>78.93386744</v>
      </c>
      <c r="G880">
        <v>19</v>
      </c>
    </row>
    <row r="881" spans="1:7" x14ac:dyDescent="0.3">
      <c r="A881" t="s">
        <v>1976</v>
      </c>
      <c r="B881" t="s">
        <v>386</v>
      </c>
      <c r="C881" t="s">
        <v>1977</v>
      </c>
      <c r="D881" t="s">
        <v>1978</v>
      </c>
      <c r="E881">
        <v>10.887677</v>
      </c>
      <c r="F881">
        <v>76.189594999999997</v>
      </c>
      <c r="G881">
        <v>19</v>
      </c>
    </row>
    <row r="882" spans="1:7" x14ac:dyDescent="0.3">
      <c r="A882" t="s">
        <v>1979</v>
      </c>
      <c r="B882" t="s">
        <v>807</v>
      </c>
      <c r="C882" t="s">
        <v>1346</v>
      </c>
      <c r="D882" t="s">
        <v>1980</v>
      </c>
      <c r="E882">
        <v>13.62754649</v>
      </c>
      <c r="F882">
        <v>79.430563829999997</v>
      </c>
      <c r="G882">
        <v>19</v>
      </c>
    </row>
    <row r="883" spans="1:7" x14ac:dyDescent="0.3">
      <c r="A883" t="s">
        <v>1981</v>
      </c>
      <c r="B883" t="s">
        <v>49</v>
      </c>
      <c r="C883" t="s">
        <v>1982</v>
      </c>
      <c r="D883" t="s">
        <v>1983</v>
      </c>
      <c r="E883">
        <v>11.30199446</v>
      </c>
      <c r="F883">
        <v>77.600043760000005</v>
      </c>
      <c r="G883">
        <v>19</v>
      </c>
    </row>
    <row r="884" spans="1:7" x14ac:dyDescent="0.3">
      <c r="A884" t="s">
        <v>1984</v>
      </c>
      <c r="B884" t="s">
        <v>807</v>
      </c>
      <c r="C884" t="s">
        <v>1985</v>
      </c>
      <c r="D884" t="s">
        <v>1986</v>
      </c>
      <c r="E884">
        <v>17.399572970000001</v>
      </c>
      <c r="F884">
        <v>82.681138020000006</v>
      </c>
      <c r="G884">
        <v>19</v>
      </c>
    </row>
    <row r="885" spans="1:7" x14ac:dyDescent="0.3">
      <c r="A885" t="s">
        <v>1987</v>
      </c>
      <c r="B885" t="s">
        <v>8</v>
      </c>
      <c r="C885" t="s">
        <v>1935</v>
      </c>
      <c r="D885" t="s">
        <v>1988</v>
      </c>
      <c r="E885">
        <v>28.498999999999999</v>
      </c>
      <c r="F885">
        <v>77.083560000000006</v>
      </c>
      <c r="G885">
        <v>13</v>
      </c>
    </row>
    <row r="886" spans="1:7" x14ac:dyDescent="0.3">
      <c r="A886" t="s">
        <v>1989</v>
      </c>
      <c r="B886" t="s">
        <v>511</v>
      </c>
      <c r="C886" t="s">
        <v>1990</v>
      </c>
      <c r="D886" t="s">
        <v>1991</v>
      </c>
      <c r="E886">
        <v>23.24006</v>
      </c>
      <c r="F886">
        <v>75.781220000000005</v>
      </c>
      <c r="G886">
        <v>13</v>
      </c>
    </row>
    <row r="887" spans="1:7" x14ac:dyDescent="0.3">
      <c r="A887" t="s">
        <v>1992</v>
      </c>
      <c r="B887" t="s">
        <v>49</v>
      </c>
      <c r="C887" t="s">
        <v>1993</v>
      </c>
      <c r="D887" t="s">
        <v>1994</v>
      </c>
      <c r="E887">
        <v>11.591984999999999</v>
      </c>
      <c r="F887">
        <v>78.627218999999997</v>
      </c>
      <c r="G887">
        <v>11</v>
      </c>
    </row>
    <row r="888" spans="1:7" x14ac:dyDescent="0.3">
      <c r="A888" t="s">
        <v>1995</v>
      </c>
      <c r="B888" t="s">
        <v>49</v>
      </c>
      <c r="C888" t="s">
        <v>1996</v>
      </c>
      <c r="D888" t="s">
        <v>1997</v>
      </c>
      <c r="E888">
        <v>11.175093</v>
      </c>
      <c r="F888">
        <v>77.263373999999999</v>
      </c>
      <c r="G888">
        <v>11</v>
      </c>
    </row>
    <row r="889" spans="1:7" x14ac:dyDescent="0.3">
      <c r="A889" t="s">
        <v>1998</v>
      </c>
      <c r="B889" t="s">
        <v>150</v>
      </c>
      <c r="C889" t="s">
        <v>1862</v>
      </c>
      <c r="D889" t="s">
        <v>1999</v>
      </c>
      <c r="E889">
        <v>12.996362</v>
      </c>
      <c r="F889">
        <v>77.695802</v>
      </c>
    </row>
    <row r="890" spans="1:7" x14ac:dyDescent="0.3">
      <c r="A890" t="s">
        <v>2000</v>
      </c>
      <c r="B890" t="s">
        <v>150</v>
      </c>
      <c r="C890" t="s">
        <v>1862</v>
      </c>
      <c r="D890" t="s">
        <v>2001</v>
      </c>
      <c r="E890">
        <v>12.934801</v>
      </c>
      <c r="F890">
        <v>77.610917999999998</v>
      </c>
      <c r="G890">
        <v>11</v>
      </c>
    </row>
    <row r="891" spans="1:7" x14ac:dyDescent="0.3">
      <c r="A891" t="s">
        <v>2002</v>
      </c>
      <c r="B891" t="s">
        <v>386</v>
      </c>
      <c r="C891" t="s">
        <v>2003</v>
      </c>
      <c r="D891" t="s">
        <v>2004</v>
      </c>
      <c r="E891">
        <v>9.4551751999999993</v>
      </c>
      <c r="F891">
        <v>76.542559400000002</v>
      </c>
      <c r="G891">
        <v>11</v>
      </c>
    </row>
    <row r="892" spans="1:7" x14ac:dyDescent="0.3">
      <c r="A892" t="s">
        <v>2005</v>
      </c>
      <c r="B892" t="s">
        <v>49</v>
      </c>
      <c r="C892" t="s">
        <v>2006</v>
      </c>
      <c r="D892" t="s">
        <v>2007</v>
      </c>
      <c r="E892">
        <v>11.008934999999999</v>
      </c>
      <c r="F892">
        <v>76.959540000000004</v>
      </c>
      <c r="G892">
        <v>11</v>
      </c>
    </row>
    <row r="893" spans="1:7" x14ac:dyDescent="0.3">
      <c r="A893" t="s">
        <v>2008</v>
      </c>
      <c r="B893" t="s">
        <v>386</v>
      </c>
      <c r="C893" t="s">
        <v>2009</v>
      </c>
      <c r="D893" t="s">
        <v>2010</v>
      </c>
      <c r="E893">
        <v>11.2484737</v>
      </c>
      <c r="F893">
        <v>75.833512200000001</v>
      </c>
      <c r="G893">
        <v>11</v>
      </c>
    </row>
    <row r="894" spans="1:7" x14ac:dyDescent="0.3">
      <c r="A894" t="s">
        <v>2011</v>
      </c>
      <c r="B894" t="s">
        <v>49</v>
      </c>
      <c r="C894" t="s">
        <v>2012</v>
      </c>
      <c r="D894" t="s">
        <v>2013</v>
      </c>
      <c r="E894">
        <v>12.582141</v>
      </c>
      <c r="F894">
        <v>78.157100999999997</v>
      </c>
      <c r="G894">
        <v>11</v>
      </c>
    </row>
    <row r="895" spans="1:7" x14ac:dyDescent="0.3">
      <c r="A895" t="s">
        <v>2014</v>
      </c>
      <c r="B895" t="s">
        <v>150</v>
      </c>
      <c r="C895" t="s">
        <v>2015</v>
      </c>
      <c r="D895" t="s">
        <v>2016</v>
      </c>
      <c r="E895">
        <v>12.298073</v>
      </c>
      <c r="F895">
        <v>76.664021000000005</v>
      </c>
      <c r="G895">
        <v>11</v>
      </c>
    </row>
    <row r="896" spans="1:7" x14ac:dyDescent="0.3">
      <c r="A896" t="s">
        <v>2017</v>
      </c>
      <c r="B896" t="s">
        <v>49</v>
      </c>
      <c r="C896" t="s">
        <v>2018</v>
      </c>
      <c r="D896" t="s">
        <v>2019</v>
      </c>
      <c r="E896">
        <v>11.519342</v>
      </c>
      <c r="F896">
        <v>77.935041999999996</v>
      </c>
      <c r="G896">
        <v>11</v>
      </c>
    </row>
    <row r="897" spans="1:7" x14ac:dyDescent="0.3">
      <c r="A897" t="s">
        <v>2020</v>
      </c>
      <c r="B897" t="s">
        <v>49</v>
      </c>
      <c r="C897" t="s">
        <v>2021</v>
      </c>
      <c r="D897" t="s">
        <v>2022</v>
      </c>
      <c r="E897">
        <v>11.2064644</v>
      </c>
      <c r="F897">
        <v>78.881240599999998</v>
      </c>
      <c r="G897">
        <v>11</v>
      </c>
    </row>
    <row r="898" spans="1:7" x14ac:dyDescent="0.3">
      <c r="A898" t="s">
        <v>2023</v>
      </c>
      <c r="B898" t="s">
        <v>49</v>
      </c>
      <c r="C898" t="s">
        <v>2024</v>
      </c>
      <c r="D898" t="s">
        <v>2025</v>
      </c>
      <c r="E898">
        <v>11.7194357</v>
      </c>
      <c r="F898">
        <v>79.336459700000006</v>
      </c>
      <c r="G898">
        <v>11</v>
      </c>
    </row>
    <row r="899" spans="1:7" x14ac:dyDescent="0.3">
      <c r="A899" t="s">
        <v>2026</v>
      </c>
      <c r="B899" t="s">
        <v>386</v>
      </c>
      <c r="C899" t="s">
        <v>2027</v>
      </c>
      <c r="D899" t="s">
        <v>2028</v>
      </c>
      <c r="E899">
        <v>10.0243734</v>
      </c>
      <c r="F899">
        <v>76.308867899999996</v>
      </c>
      <c r="G899">
        <v>11</v>
      </c>
    </row>
    <row r="900" spans="1:7" x14ac:dyDescent="0.3">
      <c r="A900" t="s">
        <v>2029</v>
      </c>
      <c r="B900" t="s">
        <v>49</v>
      </c>
      <c r="C900" t="s">
        <v>2030</v>
      </c>
      <c r="D900" t="s">
        <v>2031</v>
      </c>
      <c r="E900">
        <v>10.242808699999999</v>
      </c>
      <c r="F900">
        <v>77.498363400000002</v>
      </c>
      <c r="G900">
        <v>11</v>
      </c>
    </row>
    <row r="901" spans="1:7" x14ac:dyDescent="0.3">
      <c r="A901" t="s">
        <v>2032</v>
      </c>
      <c r="B901" t="s">
        <v>150</v>
      </c>
      <c r="C901" t="s">
        <v>2033</v>
      </c>
      <c r="D901" t="s">
        <v>2034</v>
      </c>
      <c r="E901">
        <v>12.9019627</v>
      </c>
      <c r="F901">
        <v>77.468995000000007</v>
      </c>
      <c r="G901">
        <v>11</v>
      </c>
    </row>
    <row r="902" spans="1:7" x14ac:dyDescent="0.3">
      <c r="A902" t="s">
        <v>2035</v>
      </c>
      <c r="B902" t="s">
        <v>386</v>
      </c>
      <c r="C902" t="s">
        <v>2036</v>
      </c>
      <c r="D902" t="s">
        <v>2037</v>
      </c>
      <c r="E902">
        <v>10.223043499999999</v>
      </c>
      <c r="F902">
        <v>76.375525499999995</v>
      </c>
      <c r="G902">
        <v>11</v>
      </c>
    </row>
    <row r="903" spans="1:7" x14ac:dyDescent="0.3">
      <c r="A903" t="s">
        <v>2038</v>
      </c>
      <c r="B903" t="s">
        <v>49</v>
      </c>
      <c r="C903" t="s">
        <v>2039</v>
      </c>
      <c r="D903" t="s">
        <v>2040</v>
      </c>
      <c r="E903">
        <v>12.646274699999999</v>
      </c>
      <c r="F903">
        <v>78.047011100000006</v>
      </c>
      <c r="G903">
        <v>11</v>
      </c>
    </row>
    <row r="904" spans="1:7" x14ac:dyDescent="0.3">
      <c r="A904" t="s">
        <v>2041</v>
      </c>
      <c r="B904" t="s">
        <v>386</v>
      </c>
      <c r="C904" t="s">
        <v>2042</v>
      </c>
      <c r="D904" t="s">
        <v>2043</v>
      </c>
      <c r="E904">
        <v>10.5955128</v>
      </c>
      <c r="F904">
        <v>76.044332199999999</v>
      </c>
      <c r="G904">
        <v>11</v>
      </c>
    </row>
    <row r="905" spans="1:7" x14ac:dyDescent="0.3">
      <c r="A905" t="s">
        <v>2044</v>
      </c>
      <c r="B905" t="s">
        <v>386</v>
      </c>
      <c r="C905" t="s">
        <v>2027</v>
      </c>
      <c r="D905" t="s">
        <v>2045</v>
      </c>
      <c r="E905">
        <v>10.011133299999999</v>
      </c>
      <c r="F905">
        <v>76.312371400000004</v>
      </c>
      <c r="G905">
        <v>11</v>
      </c>
    </row>
    <row r="906" spans="1:7" x14ac:dyDescent="0.3">
      <c r="A906" t="s">
        <v>2046</v>
      </c>
      <c r="B906" t="s">
        <v>49</v>
      </c>
      <c r="C906" t="s">
        <v>2047</v>
      </c>
      <c r="D906" t="s">
        <v>2048</v>
      </c>
      <c r="E906">
        <v>12.297694</v>
      </c>
      <c r="F906">
        <v>79.733649999999997</v>
      </c>
      <c r="G906">
        <v>11</v>
      </c>
    </row>
    <row r="907" spans="1:7" x14ac:dyDescent="0.3">
      <c r="A907" t="s">
        <v>2049</v>
      </c>
      <c r="B907" t="s">
        <v>49</v>
      </c>
      <c r="C907" t="s">
        <v>2050</v>
      </c>
      <c r="D907" t="s">
        <v>2051</v>
      </c>
      <c r="E907">
        <v>10.855946100000001</v>
      </c>
      <c r="F907">
        <v>76.862530899999996</v>
      </c>
      <c r="G907">
        <v>11</v>
      </c>
    </row>
    <row r="908" spans="1:7" x14ac:dyDescent="0.3">
      <c r="A908" t="s">
        <v>2052</v>
      </c>
      <c r="B908" t="s">
        <v>49</v>
      </c>
      <c r="C908" t="s">
        <v>2053</v>
      </c>
      <c r="D908" t="s">
        <v>2054</v>
      </c>
      <c r="E908">
        <v>11.492271199999999</v>
      </c>
      <c r="F908">
        <v>78.153577400000003</v>
      </c>
      <c r="G908">
        <v>11</v>
      </c>
    </row>
    <row r="909" spans="1:7" x14ac:dyDescent="0.3">
      <c r="A909" t="s">
        <v>2055</v>
      </c>
      <c r="B909" t="s">
        <v>49</v>
      </c>
      <c r="C909" t="s">
        <v>2056</v>
      </c>
      <c r="D909" t="s">
        <v>2057</v>
      </c>
      <c r="E909">
        <v>10.4425816</v>
      </c>
      <c r="F909">
        <v>77.520390300000003</v>
      </c>
      <c r="G909">
        <v>11</v>
      </c>
    </row>
    <row r="910" spans="1:7" x14ac:dyDescent="0.3">
      <c r="A910" t="s">
        <v>2058</v>
      </c>
      <c r="B910" t="s">
        <v>49</v>
      </c>
      <c r="C910" t="s">
        <v>2059</v>
      </c>
      <c r="D910" t="s">
        <v>2060</v>
      </c>
      <c r="E910">
        <v>11.759223799999999</v>
      </c>
      <c r="F910">
        <v>78.427344099999999</v>
      </c>
      <c r="G910">
        <v>11</v>
      </c>
    </row>
    <row r="911" spans="1:7" x14ac:dyDescent="0.3">
      <c r="A911" t="s">
        <v>2061</v>
      </c>
      <c r="B911" t="s">
        <v>49</v>
      </c>
      <c r="C911" t="s">
        <v>2062</v>
      </c>
      <c r="D911" t="s">
        <v>2063</v>
      </c>
      <c r="E911">
        <v>9.7590386000000002</v>
      </c>
      <c r="F911">
        <v>77.979158200000001</v>
      </c>
      <c r="G911">
        <v>11</v>
      </c>
    </row>
    <row r="912" spans="1:7" x14ac:dyDescent="0.3">
      <c r="A912" t="s">
        <v>2064</v>
      </c>
      <c r="B912" t="s">
        <v>49</v>
      </c>
      <c r="C912" t="s">
        <v>2065</v>
      </c>
      <c r="D912" t="s">
        <v>2066</v>
      </c>
      <c r="E912" t="s">
        <v>2067</v>
      </c>
      <c r="F912">
        <v>77.977679199999997</v>
      </c>
      <c r="G912">
        <v>11</v>
      </c>
    </row>
    <row r="913" spans="1:7" x14ac:dyDescent="0.3">
      <c r="A913" t="s">
        <v>2068</v>
      </c>
      <c r="B913" t="s">
        <v>150</v>
      </c>
      <c r="C913" t="s">
        <v>2069</v>
      </c>
      <c r="D913" t="s">
        <v>2070</v>
      </c>
      <c r="E913">
        <v>12.990221200000001</v>
      </c>
      <c r="F913">
        <v>76.881680900000006</v>
      </c>
      <c r="G913">
        <v>11</v>
      </c>
    </row>
    <row r="914" spans="1:7" x14ac:dyDescent="0.3">
      <c r="A914" t="s">
        <v>2071</v>
      </c>
      <c r="B914" t="s">
        <v>2072</v>
      </c>
      <c r="C914" t="s">
        <v>2073</v>
      </c>
      <c r="D914" t="s">
        <v>2074</v>
      </c>
      <c r="E914">
        <v>12.99431</v>
      </c>
      <c r="F914">
        <v>80.187060000000002</v>
      </c>
      <c r="G914">
        <v>10</v>
      </c>
    </row>
    <row r="915" spans="1:7" x14ac:dyDescent="0.3">
      <c r="A915" t="s">
        <v>2075</v>
      </c>
      <c r="B915" t="s">
        <v>2072</v>
      </c>
      <c r="C915" t="s">
        <v>2076</v>
      </c>
      <c r="D915" t="s">
        <v>2077</v>
      </c>
      <c r="E915">
        <v>12.78326</v>
      </c>
      <c r="F915">
        <v>80.016710000000003</v>
      </c>
      <c r="G915">
        <v>10</v>
      </c>
    </row>
    <row r="916" spans="1:7" x14ac:dyDescent="0.3">
      <c r="A916" t="s">
        <v>2078</v>
      </c>
      <c r="B916" t="s">
        <v>2072</v>
      </c>
      <c r="C916" t="s">
        <v>2076</v>
      </c>
      <c r="D916" t="s">
        <v>2079</v>
      </c>
      <c r="E916">
        <v>12.433949999999999</v>
      </c>
      <c r="F916">
        <v>79.832350000000005</v>
      </c>
      <c r="G916">
        <v>10</v>
      </c>
    </row>
    <row r="917" spans="1:7" x14ac:dyDescent="0.3">
      <c r="A917" t="s">
        <v>2080</v>
      </c>
      <c r="B917" t="s">
        <v>2072</v>
      </c>
      <c r="C917" t="s">
        <v>2081</v>
      </c>
      <c r="D917" t="s">
        <v>2082</v>
      </c>
      <c r="E917">
        <v>12.16381</v>
      </c>
      <c r="F917">
        <v>79.611459999999994</v>
      </c>
      <c r="G917">
        <v>10</v>
      </c>
    </row>
    <row r="918" spans="1:7" x14ac:dyDescent="0.3">
      <c r="A918" t="s">
        <v>2083</v>
      </c>
      <c r="B918" t="s">
        <v>2072</v>
      </c>
      <c r="C918" t="s">
        <v>2081</v>
      </c>
      <c r="D918" t="s">
        <v>2084</v>
      </c>
      <c r="E918">
        <v>12.06382</v>
      </c>
      <c r="F918">
        <v>79.547550000000001</v>
      </c>
      <c r="G918">
        <v>10</v>
      </c>
    </row>
    <row r="919" spans="1:7" x14ac:dyDescent="0.3">
      <c r="A919" t="s">
        <v>2085</v>
      </c>
      <c r="B919" t="s">
        <v>2072</v>
      </c>
      <c r="C919" t="s">
        <v>2086</v>
      </c>
      <c r="D919" t="s">
        <v>2087</v>
      </c>
      <c r="E919">
        <v>11.71881</v>
      </c>
      <c r="F919">
        <v>79.335750000000004</v>
      </c>
      <c r="G919">
        <v>10</v>
      </c>
    </row>
    <row r="920" spans="1:7" x14ac:dyDescent="0.3">
      <c r="A920" t="s">
        <v>2088</v>
      </c>
      <c r="B920" t="s">
        <v>2072</v>
      </c>
      <c r="C920" t="s">
        <v>2089</v>
      </c>
      <c r="D920" t="s">
        <v>2090</v>
      </c>
      <c r="E920">
        <v>11.03248</v>
      </c>
      <c r="F920">
        <v>78.808009999999996</v>
      </c>
      <c r="G920">
        <v>10</v>
      </c>
    </row>
    <row r="921" spans="1:7" x14ac:dyDescent="0.3">
      <c r="A921" t="s">
        <v>2091</v>
      </c>
      <c r="B921" t="s">
        <v>2072</v>
      </c>
      <c r="C921" t="s">
        <v>2089</v>
      </c>
      <c r="D921" t="s">
        <v>2092</v>
      </c>
      <c r="E921">
        <v>11.004619999999999</v>
      </c>
      <c r="F921">
        <v>78.788759999999996</v>
      </c>
      <c r="G921">
        <v>10</v>
      </c>
    </row>
    <row r="922" spans="1:7" x14ac:dyDescent="0.3">
      <c r="A922" t="s">
        <v>2093</v>
      </c>
      <c r="B922" t="s">
        <v>2072</v>
      </c>
      <c r="C922" t="s">
        <v>2094</v>
      </c>
      <c r="D922" t="s">
        <v>2095</v>
      </c>
      <c r="E922">
        <v>10.021839999999999</v>
      </c>
      <c r="F922">
        <v>78.313519999999997</v>
      </c>
      <c r="G922">
        <v>10</v>
      </c>
    </row>
    <row r="923" spans="1:7" x14ac:dyDescent="0.3">
      <c r="A923" t="s">
        <v>2096</v>
      </c>
      <c r="B923" t="s">
        <v>2072</v>
      </c>
      <c r="C923" t="s">
        <v>2094</v>
      </c>
      <c r="D923" t="s">
        <v>2097</v>
      </c>
      <c r="E923">
        <v>9.9444999999999997</v>
      </c>
      <c r="F923">
        <v>78.154179999999997</v>
      </c>
      <c r="G923">
        <v>10</v>
      </c>
    </row>
    <row r="924" spans="1:7" x14ac:dyDescent="0.3">
      <c r="A924" t="s">
        <v>2098</v>
      </c>
      <c r="B924" t="s">
        <v>68</v>
      </c>
      <c r="C924" t="s">
        <v>69</v>
      </c>
      <c r="D924" t="s">
        <v>2099</v>
      </c>
      <c r="E924">
        <v>23.058</v>
      </c>
      <c r="F924">
        <v>72.500100000000003</v>
      </c>
      <c r="G924">
        <v>24</v>
      </c>
    </row>
    <row r="925" spans="1:7" x14ac:dyDescent="0.3">
      <c r="A925" t="s">
        <v>2100</v>
      </c>
      <c r="B925" t="s">
        <v>502</v>
      </c>
      <c r="C925" t="s">
        <v>2101</v>
      </c>
      <c r="D925" t="s">
        <v>2102</v>
      </c>
      <c r="E925">
        <v>13.625373099999999</v>
      </c>
      <c r="F925">
        <v>79.432233299999993</v>
      </c>
      <c r="G925">
        <v>11</v>
      </c>
    </row>
    <row r="926" spans="1:7" x14ac:dyDescent="0.3">
      <c r="A926" t="s">
        <v>1979</v>
      </c>
      <c r="B926" t="s">
        <v>502</v>
      </c>
      <c r="C926" t="s">
        <v>1346</v>
      </c>
      <c r="D926" t="s">
        <v>1980</v>
      </c>
      <c r="E926">
        <v>13.62754649</v>
      </c>
      <c r="F926">
        <v>79.430563829999997</v>
      </c>
      <c r="G926">
        <v>19</v>
      </c>
    </row>
    <row r="927" spans="1:7" x14ac:dyDescent="0.3">
      <c r="A927" t="s">
        <v>2103</v>
      </c>
      <c r="B927" t="s">
        <v>502</v>
      </c>
      <c r="C927" t="s">
        <v>1250</v>
      </c>
      <c r="D927" t="s">
        <v>2104</v>
      </c>
      <c r="E927">
        <v>16.512922499999998</v>
      </c>
      <c r="F927">
        <v>80.749756500000004</v>
      </c>
      <c r="G927">
        <v>7</v>
      </c>
    </row>
    <row r="928" spans="1:7" x14ac:dyDescent="0.3">
      <c r="A928" t="s">
        <v>2105</v>
      </c>
      <c r="B928" t="s">
        <v>502</v>
      </c>
      <c r="C928" t="s">
        <v>2106</v>
      </c>
      <c r="D928" t="s">
        <v>2107</v>
      </c>
      <c r="E928">
        <v>16.778579000000001</v>
      </c>
      <c r="F928">
        <v>81.221053999999995</v>
      </c>
      <c r="G928">
        <v>7</v>
      </c>
    </row>
    <row r="929" spans="1:7" x14ac:dyDescent="0.3">
      <c r="A929" t="s">
        <v>2108</v>
      </c>
      <c r="B929" t="s">
        <v>502</v>
      </c>
      <c r="C929" t="s">
        <v>1264</v>
      </c>
      <c r="D929" t="s">
        <v>2109</v>
      </c>
      <c r="E929">
        <v>17.684290000000001</v>
      </c>
      <c r="F929">
        <v>83.185923000000003</v>
      </c>
      <c r="G929">
        <v>7</v>
      </c>
    </row>
    <row r="930" spans="1:7" x14ac:dyDescent="0.3">
      <c r="A930" t="s">
        <v>2110</v>
      </c>
      <c r="B930" t="s">
        <v>502</v>
      </c>
      <c r="C930" t="s">
        <v>1264</v>
      </c>
      <c r="D930" t="s">
        <v>2111</v>
      </c>
      <c r="E930">
        <v>17.738719</v>
      </c>
      <c r="F930">
        <v>83.26258</v>
      </c>
      <c r="G930">
        <v>7</v>
      </c>
    </row>
    <row r="931" spans="1:7" x14ac:dyDescent="0.3">
      <c r="A931" t="s">
        <v>2112</v>
      </c>
      <c r="B931" t="s">
        <v>502</v>
      </c>
      <c r="C931" t="s">
        <v>1264</v>
      </c>
      <c r="D931" t="s">
        <v>2113</v>
      </c>
      <c r="E931">
        <v>17.725417</v>
      </c>
      <c r="F931">
        <v>83.315174999999996</v>
      </c>
      <c r="G931">
        <v>7</v>
      </c>
    </row>
    <row r="932" spans="1:7" x14ac:dyDescent="0.3">
      <c r="A932" t="s">
        <v>1249</v>
      </c>
      <c r="B932" t="s">
        <v>502</v>
      </c>
      <c r="C932" t="s">
        <v>1250</v>
      </c>
      <c r="D932" t="s">
        <v>1251</v>
      </c>
      <c r="E932">
        <v>16.5812639</v>
      </c>
      <c r="F932">
        <v>80.526349300000007</v>
      </c>
      <c r="G932">
        <v>7</v>
      </c>
    </row>
    <row r="933" spans="1:7" x14ac:dyDescent="0.3">
      <c r="A933" t="s">
        <v>1345</v>
      </c>
      <c r="B933" t="s">
        <v>502</v>
      </c>
      <c r="C933" t="s">
        <v>1346</v>
      </c>
      <c r="D933" t="s">
        <v>1347</v>
      </c>
      <c r="E933">
        <v>13.29360934</v>
      </c>
      <c r="F933">
        <v>79.581709470000007</v>
      </c>
      <c r="G933">
        <v>7</v>
      </c>
    </row>
    <row r="934" spans="1:7" x14ac:dyDescent="0.3">
      <c r="A934" t="s">
        <v>1348</v>
      </c>
      <c r="B934" t="s">
        <v>502</v>
      </c>
      <c r="C934" t="s">
        <v>1349</v>
      </c>
      <c r="D934" t="s">
        <v>1350</v>
      </c>
      <c r="E934">
        <v>13.374120509999999</v>
      </c>
      <c r="F934">
        <v>79.092102929999996</v>
      </c>
      <c r="G934">
        <v>7</v>
      </c>
    </row>
    <row r="935" spans="1:7" x14ac:dyDescent="0.3">
      <c r="A935" t="s">
        <v>1348</v>
      </c>
      <c r="B935" t="s">
        <v>502</v>
      </c>
      <c r="C935" t="s">
        <v>1351</v>
      </c>
      <c r="D935" t="s">
        <v>1352</v>
      </c>
      <c r="E935">
        <v>13.479943799999999</v>
      </c>
      <c r="F935">
        <v>79.189790299999999</v>
      </c>
      <c r="G935">
        <v>7</v>
      </c>
    </row>
    <row r="936" spans="1:7" x14ac:dyDescent="0.3">
      <c r="A936" t="s">
        <v>1356</v>
      </c>
      <c r="B936" t="s">
        <v>502</v>
      </c>
      <c r="C936" t="s">
        <v>1357</v>
      </c>
      <c r="D936" t="s">
        <v>1358</v>
      </c>
      <c r="E936">
        <v>17.373680499999999</v>
      </c>
      <c r="F936">
        <v>82.586259400000003</v>
      </c>
      <c r="G936">
        <v>7</v>
      </c>
    </row>
    <row r="937" spans="1:7" x14ac:dyDescent="0.3">
      <c r="A937" t="s">
        <v>1362</v>
      </c>
      <c r="B937" t="s">
        <v>502</v>
      </c>
      <c r="C937" t="s">
        <v>1349</v>
      </c>
      <c r="D937" t="s">
        <v>1363</v>
      </c>
      <c r="E937">
        <v>13.203591899999999</v>
      </c>
      <c r="F937">
        <v>78.941565800000006</v>
      </c>
      <c r="G937">
        <v>7</v>
      </c>
    </row>
    <row r="938" spans="1:7" x14ac:dyDescent="0.3">
      <c r="A938" t="s">
        <v>1364</v>
      </c>
      <c r="B938" t="s">
        <v>502</v>
      </c>
      <c r="C938" t="s">
        <v>1365</v>
      </c>
      <c r="D938" t="s">
        <v>1366</v>
      </c>
      <c r="E938">
        <v>16.992119599999999</v>
      </c>
      <c r="F938">
        <v>81.773577399999994</v>
      </c>
      <c r="G938">
        <v>7</v>
      </c>
    </row>
    <row r="939" spans="1:7" x14ac:dyDescent="0.3">
      <c r="A939" t="s">
        <v>1407</v>
      </c>
      <c r="B939" t="s">
        <v>502</v>
      </c>
      <c r="C939" t="s">
        <v>1346</v>
      </c>
      <c r="D939" t="s">
        <v>2114</v>
      </c>
      <c r="E939">
        <v>13.6207096</v>
      </c>
      <c r="F939">
        <v>79.382814600000003</v>
      </c>
      <c r="G939">
        <v>7</v>
      </c>
    </row>
    <row r="940" spans="1:7" x14ac:dyDescent="0.3">
      <c r="A940" t="s">
        <v>1409</v>
      </c>
      <c r="B940" t="s">
        <v>502</v>
      </c>
      <c r="C940" t="s">
        <v>1410</v>
      </c>
      <c r="D940" t="s">
        <v>1411</v>
      </c>
      <c r="E940">
        <v>15.146297199999999</v>
      </c>
      <c r="F940">
        <v>77.377456100000003</v>
      </c>
      <c r="G940">
        <v>7</v>
      </c>
    </row>
    <row r="941" spans="1:7" x14ac:dyDescent="0.3">
      <c r="A941" t="s">
        <v>1423</v>
      </c>
      <c r="B941" t="s">
        <v>502</v>
      </c>
      <c r="C941" t="s">
        <v>1048</v>
      </c>
      <c r="D941" t="s">
        <v>1424</v>
      </c>
      <c r="E941">
        <v>15.8305662</v>
      </c>
      <c r="F941">
        <v>78.017989200000002</v>
      </c>
      <c r="G941">
        <v>7</v>
      </c>
    </row>
    <row r="942" spans="1:7" x14ac:dyDescent="0.3">
      <c r="A942" t="s">
        <v>1425</v>
      </c>
      <c r="B942" t="s">
        <v>502</v>
      </c>
      <c r="C942" t="s">
        <v>1048</v>
      </c>
      <c r="D942" t="s">
        <v>1426</v>
      </c>
      <c r="E942">
        <v>15.8498643</v>
      </c>
      <c r="F942">
        <v>78.004500300000004</v>
      </c>
      <c r="G942">
        <v>7</v>
      </c>
    </row>
    <row r="943" spans="1:7" x14ac:dyDescent="0.3">
      <c r="A943" t="s">
        <v>1440</v>
      </c>
      <c r="B943" t="s">
        <v>502</v>
      </c>
      <c r="C943" t="s">
        <v>1441</v>
      </c>
      <c r="D943" t="s">
        <v>1442</v>
      </c>
      <c r="E943">
        <v>14.7529922</v>
      </c>
      <c r="F943">
        <v>78.555076799999995</v>
      </c>
      <c r="G943">
        <v>7</v>
      </c>
    </row>
    <row r="944" spans="1:7" x14ac:dyDescent="0.3">
      <c r="A944" t="s">
        <v>2115</v>
      </c>
      <c r="B944" t="s">
        <v>502</v>
      </c>
      <c r="C944" t="s">
        <v>2116</v>
      </c>
      <c r="D944" t="s">
        <v>2117</v>
      </c>
      <c r="E944">
        <v>17.075886199999999</v>
      </c>
      <c r="F944">
        <v>82.121731400000002</v>
      </c>
      <c r="G944">
        <v>7</v>
      </c>
    </row>
    <row r="945" spans="1:7" x14ac:dyDescent="0.3">
      <c r="A945" t="s">
        <v>1984</v>
      </c>
      <c r="B945" t="s">
        <v>2118</v>
      </c>
      <c r="C945" t="s">
        <v>1985</v>
      </c>
      <c r="D945" t="s">
        <v>1986</v>
      </c>
      <c r="E945">
        <v>17.399572970000001</v>
      </c>
      <c r="F945">
        <v>82.681138020000006</v>
      </c>
      <c r="G945">
        <v>19</v>
      </c>
    </row>
    <row r="946" spans="1:7" x14ac:dyDescent="0.3">
      <c r="A946" t="s">
        <v>1050</v>
      </c>
      <c r="B946" t="s">
        <v>1051</v>
      </c>
      <c r="C946" t="s">
        <v>1052</v>
      </c>
      <c r="D946" t="s">
        <v>1053</v>
      </c>
      <c r="E946">
        <v>26.164406</v>
      </c>
      <c r="F946">
        <v>91.715515999999994</v>
      </c>
      <c r="G946">
        <v>7</v>
      </c>
    </row>
    <row r="947" spans="1:7" x14ac:dyDescent="0.3">
      <c r="A947" t="s">
        <v>1279</v>
      </c>
      <c r="B947" t="s">
        <v>1051</v>
      </c>
      <c r="C947" t="s">
        <v>1280</v>
      </c>
      <c r="D947" t="s">
        <v>1281</v>
      </c>
      <c r="E947">
        <v>26.747048700000001</v>
      </c>
      <c r="F947">
        <v>94.168071800000007</v>
      </c>
      <c r="G947">
        <v>7</v>
      </c>
    </row>
    <row r="948" spans="1:7" x14ac:dyDescent="0.3">
      <c r="A948" t="s">
        <v>2119</v>
      </c>
      <c r="B948" t="s">
        <v>1051</v>
      </c>
      <c r="C948" t="s">
        <v>1052</v>
      </c>
      <c r="D948" t="s">
        <v>2120</v>
      </c>
      <c r="E948">
        <v>26.111364999999999</v>
      </c>
      <c r="F948">
        <v>91.746149000000003</v>
      </c>
      <c r="G948">
        <v>7</v>
      </c>
    </row>
    <row r="949" spans="1:7" x14ac:dyDescent="0.3">
      <c r="A949" t="s">
        <v>1293</v>
      </c>
      <c r="B949" t="s">
        <v>1051</v>
      </c>
      <c r="C949" t="s">
        <v>194</v>
      </c>
      <c r="D949" t="s">
        <v>1294</v>
      </c>
      <c r="E949">
        <v>26.312331499999999</v>
      </c>
      <c r="F949">
        <v>92.640186400000005</v>
      </c>
      <c r="G949">
        <v>7</v>
      </c>
    </row>
    <row r="950" spans="1:7" x14ac:dyDescent="0.3">
      <c r="A950" t="s">
        <v>1385</v>
      </c>
      <c r="B950" t="s">
        <v>1051</v>
      </c>
      <c r="C950" t="s">
        <v>1052</v>
      </c>
      <c r="D950" t="s">
        <v>1386</v>
      </c>
      <c r="E950">
        <v>26.111877</v>
      </c>
      <c r="F950">
        <v>91.759799000000001</v>
      </c>
      <c r="G950">
        <v>7</v>
      </c>
    </row>
    <row r="951" spans="1:7" x14ac:dyDescent="0.3">
      <c r="A951" t="s">
        <v>1377</v>
      </c>
      <c r="B951" t="s">
        <v>2121</v>
      </c>
      <c r="C951" t="s">
        <v>1110</v>
      </c>
      <c r="D951" t="s">
        <v>1378</v>
      </c>
      <c r="E951">
        <v>20.240902999999999</v>
      </c>
      <c r="F951">
        <v>85.758055999999996</v>
      </c>
      <c r="G951">
        <v>7</v>
      </c>
    </row>
    <row r="952" spans="1:7" x14ac:dyDescent="0.3">
      <c r="A952" t="s">
        <v>1174</v>
      </c>
      <c r="B952" t="s">
        <v>418</v>
      </c>
      <c r="C952" t="s">
        <v>1175</v>
      </c>
      <c r="D952" t="s">
        <v>1176</v>
      </c>
      <c r="E952">
        <v>25.634198999999999</v>
      </c>
      <c r="F952">
        <v>85105514</v>
      </c>
      <c r="G952">
        <v>7</v>
      </c>
    </row>
    <row r="953" spans="1:7" x14ac:dyDescent="0.3">
      <c r="A953" t="s">
        <v>1246</v>
      </c>
      <c r="B953" t="s">
        <v>418</v>
      </c>
      <c r="C953" t="s">
        <v>1247</v>
      </c>
      <c r="D953" t="s">
        <v>1248</v>
      </c>
      <c r="E953">
        <v>25.252209400000002</v>
      </c>
      <c r="F953">
        <v>87.045028900000005</v>
      </c>
      <c r="G953">
        <v>7</v>
      </c>
    </row>
    <row r="954" spans="1:7" x14ac:dyDescent="0.3">
      <c r="A954" t="s">
        <v>1235</v>
      </c>
      <c r="B954" t="s">
        <v>2122</v>
      </c>
      <c r="C954" t="s">
        <v>1236</v>
      </c>
      <c r="D954" t="s">
        <v>1237</v>
      </c>
      <c r="E954">
        <v>21.256789699999999</v>
      </c>
      <c r="F954">
        <v>81.559444499999998</v>
      </c>
      <c r="G954">
        <v>7</v>
      </c>
    </row>
    <row r="955" spans="1:7" x14ac:dyDescent="0.3">
      <c r="A955" t="s">
        <v>1276</v>
      </c>
      <c r="B955" t="s">
        <v>2123</v>
      </c>
      <c r="C955" t="s">
        <v>1277</v>
      </c>
      <c r="D955" t="s">
        <v>1278</v>
      </c>
      <c r="E955">
        <v>19.065780199999999</v>
      </c>
      <c r="F955">
        <v>81.963595600000005</v>
      </c>
      <c r="G955">
        <v>7</v>
      </c>
    </row>
    <row r="956" spans="1:7" x14ac:dyDescent="0.3">
      <c r="A956" t="s">
        <v>1415</v>
      </c>
      <c r="B956" t="s">
        <v>2123</v>
      </c>
      <c r="C956" t="s">
        <v>1416</v>
      </c>
      <c r="D956" t="s">
        <v>1417</v>
      </c>
      <c r="E956">
        <v>22.013661200000001</v>
      </c>
      <c r="F956">
        <v>82.0487988</v>
      </c>
      <c r="G956">
        <v>7</v>
      </c>
    </row>
    <row r="957" spans="1:7" x14ac:dyDescent="0.3">
      <c r="A957" t="s">
        <v>1421</v>
      </c>
      <c r="B957" t="s">
        <v>2122</v>
      </c>
      <c r="C957" t="s">
        <v>1236</v>
      </c>
      <c r="D957" t="s">
        <v>1422</v>
      </c>
      <c r="E957">
        <v>21.319443400000001</v>
      </c>
      <c r="F957">
        <v>81.637296599999999</v>
      </c>
      <c r="G957">
        <v>7</v>
      </c>
    </row>
    <row r="958" spans="1:7" x14ac:dyDescent="0.3">
      <c r="A958" t="s">
        <v>2124</v>
      </c>
      <c r="B958" t="s">
        <v>2122</v>
      </c>
      <c r="C958" t="s">
        <v>1236</v>
      </c>
      <c r="D958" t="s">
        <v>2125</v>
      </c>
      <c r="E958">
        <v>21.237817199999999</v>
      </c>
      <c r="F958">
        <v>81.689614800000001</v>
      </c>
      <c r="G958">
        <v>7</v>
      </c>
    </row>
    <row r="959" spans="1:7" x14ac:dyDescent="0.3">
      <c r="A959" t="s">
        <v>1240</v>
      </c>
      <c r="B959" t="s">
        <v>2122</v>
      </c>
      <c r="C959" t="s">
        <v>1241</v>
      </c>
      <c r="D959" t="s">
        <v>1242</v>
      </c>
      <c r="E959">
        <v>21.2165392</v>
      </c>
      <c r="F959">
        <v>81.401487000000003</v>
      </c>
      <c r="G959">
        <v>7</v>
      </c>
    </row>
    <row r="960" spans="1:7" x14ac:dyDescent="0.3">
      <c r="A960" t="s">
        <v>2126</v>
      </c>
      <c r="B960" t="s">
        <v>2127</v>
      </c>
      <c r="C960" t="s">
        <v>68</v>
      </c>
      <c r="D960" t="s">
        <v>2128</v>
      </c>
      <c r="E960">
        <v>20.690899999999999</v>
      </c>
      <c r="F960">
        <v>72.949600000000004</v>
      </c>
      <c r="G960">
        <v>24</v>
      </c>
    </row>
    <row r="961" spans="1:7" x14ac:dyDescent="0.3">
      <c r="A961" t="s">
        <v>2129</v>
      </c>
      <c r="B961" t="s">
        <v>352</v>
      </c>
      <c r="C961" t="s">
        <v>65</v>
      </c>
      <c r="D961" t="s">
        <v>2130</v>
      </c>
      <c r="E961">
        <v>30.364799000000001</v>
      </c>
      <c r="F961">
        <v>78.085352700000001</v>
      </c>
      <c r="G961">
        <v>7</v>
      </c>
    </row>
    <row r="962" spans="1:7" x14ac:dyDescent="0.3">
      <c r="A962" t="s">
        <v>1960</v>
      </c>
      <c r="B962" t="s">
        <v>2131</v>
      </c>
      <c r="C962" t="s">
        <v>1961</v>
      </c>
      <c r="D962" t="s">
        <v>1962</v>
      </c>
      <c r="E962">
        <v>28.621449999999999</v>
      </c>
      <c r="F962">
        <v>77.293555999999995</v>
      </c>
      <c r="G962">
        <v>14</v>
      </c>
    </row>
    <row r="963" spans="1:7" x14ac:dyDescent="0.3">
      <c r="A963" t="s">
        <v>1951</v>
      </c>
      <c r="B963" t="s">
        <v>2131</v>
      </c>
      <c r="C963" t="s">
        <v>1837</v>
      </c>
      <c r="D963" t="s">
        <v>1952</v>
      </c>
      <c r="E963">
        <v>28.661960000000001</v>
      </c>
      <c r="F963">
        <v>77.152242000000001</v>
      </c>
      <c r="G963">
        <v>20</v>
      </c>
    </row>
    <row r="964" spans="1:7" x14ac:dyDescent="0.3">
      <c r="A964" t="s">
        <v>1953</v>
      </c>
      <c r="B964" t="s">
        <v>2131</v>
      </c>
      <c r="C964" t="s">
        <v>1837</v>
      </c>
      <c r="D964" t="s">
        <v>1954</v>
      </c>
      <c r="E964">
        <v>28.564862999999999</v>
      </c>
      <c r="F964">
        <v>77.236743000000004</v>
      </c>
      <c r="G964">
        <v>20</v>
      </c>
    </row>
    <row r="965" spans="1:7" x14ac:dyDescent="0.3">
      <c r="A965" t="s">
        <v>1721</v>
      </c>
      <c r="B965" t="s">
        <v>2131</v>
      </c>
      <c r="C965" t="s">
        <v>45</v>
      </c>
      <c r="D965" t="s">
        <v>1898</v>
      </c>
      <c r="E965">
        <v>28.618260410000001</v>
      </c>
      <c r="F965">
        <v>77.212569860000002</v>
      </c>
      <c r="G965">
        <v>8</v>
      </c>
    </row>
    <row r="966" spans="1:7" x14ac:dyDescent="0.3">
      <c r="A966" t="s">
        <v>1721</v>
      </c>
      <c r="B966" t="s">
        <v>2131</v>
      </c>
      <c r="C966" t="s">
        <v>45</v>
      </c>
      <c r="D966" t="s">
        <v>1898</v>
      </c>
      <c r="E966">
        <v>28.618260410000001</v>
      </c>
      <c r="F966">
        <v>77.212569860000002</v>
      </c>
      <c r="G966">
        <v>8</v>
      </c>
    </row>
    <row r="967" spans="1:7" x14ac:dyDescent="0.3">
      <c r="A967" t="s">
        <v>2132</v>
      </c>
      <c r="B967" t="s">
        <v>2131</v>
      </c>
      <c r="C967" t="s">
        <v>45</v>
      </c>
      <c r="D967" t="s">
        <v>1900</v>
      </c>
      <c r="E967">
        <v>28.595833330000001</v>
      </c>
      <c r="F967">
        <v>77.180555560000002</v>
      </c>
      <c r="G967">
        <v>8</v>
      </c>
    </row>
    <row r="968" spans="1:7" x14ac:dyDescent="0.3">
      <c r="A968" t="s">
        <v>1901</v>
      </c>
      <c r="B968" t="s">
        <v>2131</v>
      </c>
      <c r="C968" t="s">
        <v>45</v>
      </c>
      <c r="D968" t="s">
        <v>1902</v>
      </c>
      <c r="E968">
        <v>28.572793000000001</v>
      </c>
      <c r="F968">
        <v>77.208662000000004</v>
      </c>
      <c r="G968">
        <v>8</v>
      </c>
    </row>
    <row r="969" spans="1:7" x14ac:dyDescent="0.3">
      <c r="A969" t="s">
        <v>1721</v>
      </c>
      <c r="B969" t="s">
        <v>2131</v>
      </c>
      <c r="C969" t="s">
        <v>45</v>
      </c>
      <c r="D969" t="s">
        <v>1903</v>
      </c>
      <c r="E969">
        <v>28.618260410000001</v>
      </c>
      <c r="F969">
        <v>77.212569860000002</v>
      </c>
      <c r="G969">
        <v>8</v>
      </c>
    </row>
    <row r="970" spans="1:7" x14ac:dyDescent="0.3">
      <c r="A970" t="s">
        <v>1721</v>
      </c>
      <c r="B970" t="s">
        <v>2131</v>
      </c>
      <c r="C970" t="s">
        <v>45</v>
      </c>
      <c r="D970" t="s">
        <v>1898</v>
      </c>
      <c r="E970">
        <v>28.618260410000001</v>
      </c>
      <c r="F970">
        <v>77.212569860000002</v>
      </c>
      <c r="G970">
        <v>8</v>
      </c>
    </row>
    <row r="971" spans="1:7" x14ac:dyDescent="0.3">
      <c r="A971" t="s">
        <v>2133</v>
      </c>
      <c r="B971" t="s">
        <v>2131</v>
      </c>
      <c r="C971" t="s">
        <v>45</v>
      </c>
      <c r="D971" t="s">
        <v>2134</v>
      </c>
      <c r="E971">
        <v>28.564830000000001</v>
      </c>
      <c r="F971">
        <v>77.188910000000007</v>
      </c>
      <c r="G971">
        <v>7</v>
      </c>
    </row>
    <row r="972" spans="1:7" x14ac:dyDescent="0.3">
      <c r="A972" t="s">
        <v>2135</v>
      </c>
      <c r="B972" t="s">
        <v>2131</v>
      </c>
      <c r="C972" t="s">
        <v>45</v>
      </c>
      <c r="D972" t="s">
        <v>2136</v>
      </c>
      <c r="E972">
        <v>28.660779999999999</v>
      </c>
      <c r="F972">
        <v>77.153599999999997</v>
      </c>
      <c r="G972">
        <v>7</v>
      </c>
    </row>
    <row r="973" spans="1:7" x14ac:dyDescent="0.3">
      <c r="A973" t="s">
        <v>2137</v>
      </c>
      <c r="B973" t="s">
        <v>2131</v>
      </c>
      <c r="C973" t="s">
        <v>45</v>
      </c>
      <c r="D973" t="s">
        <v>2138</v>
      </c>
      <c r="E973">
        <v>28.568169999999999</v>
      </c>
      <c r="F973">
        <v>77.241119999999995</v>
      </c>
      <c r="G973">
        <v>7</v>
      </c>
    </row>
    <row r="974" spans="1:7" x14ac:dyDescent="0.3">
      <c r="A974" t="s">
        <v>2139</v>
      </c>
      <c r="B974" t="s">
        <v>2131</v>
      </c>
      <c r="C974" t="s">
        <v>45</v>
      </c>
      <c r="D974" t="s">
        <v>2140</v>
      </c>
      <c r="E974">
        <v>28.5279341</v>
      </c>
      <c r="F974">
        <v>77.215634699999995</v>
      </c>
      <c r="G974">
        <v>7</v>
      </c>
    </row>
    <row r="975" spans="1:7" x14ac:dyDescent="0.3">
      <c r="A975" t="s">
        <v>2141</v>
      </c>
      <c r="B975" t="s">
        <v>2131</v>
      </c>
      <c r="C975" t="s">
        <v>45</v>
      </c>
      <c r="D975" t="s">
        <v>2142</v>
      </c>
      <c r="E975">
        <v>28.709288999999998</v>
      </c>
      <c r="F975">
        <v>77.135498999999996</v>
      </c>
      <c r="G975">
        <v>7</v>
      </c>
    </row>
    <row r="976" spans="1:7" x14ac:dyDescent="0.3">
      <c r="A976" t="s">
        <v>2143</v>
      </c>
      <c r="B976" t="s">
        <v>2131</v>
      </c>
      <c r="C976" t="s">
        <v>45</v>
      </c>
      <c r="D976" t="s">
        <v>2144</v>
      </c>
      <c r="E976">
        <v>28.602589999999999</v>
      </c>
      <c r="F976">
        <v>77.237904</v>
      </c>
      <c r="G976">
        <v>7</v>
      </c>
    </row>
    <row r="977" spans="1:7" x14ac:dyDescent="0.3">
      <c r="A977" t="s">
        <v>2145</v>
      </c>
      <c r="B977" t="s">
        <v>2131</v>
      </c>
      <c r="C977" t="s">
        <v>45</v>
      </c>
      <c r="D977" t="s">
        <v>2146</v>
      </c>
      <c r="E977">
        <v>28.564624999999999</v>
      </c>
      <c r="F977">
        <v>77.177460999999994</v>
      </c>
      <c r="G977">
        <v>7</v>
      </c>
    </row>
    <row r="978" spans="1:7" x14ac:dyDescent="0.3">
      <c r="A978" t="s">
        <v>2147</v>
      </c>
      <c r="B978" t="s">
        <v>2131</v>
      </c>
      <c r="C978" t="s">
        <v>87</v>
      </c>
      <c r="D978" t="s">
        <v>2148</v>
      </c>
      <c r="E978">
        <v>28.383022</v>
      </c>
      <c r="F978">
        <v>77.052279999999996</v>
      </c>
      <c r="G978">
        <v>7</v>
      </c>
    </row>
    <row r="979" spans="1:7" x14ac:dyDescent="0.3">
      <c r="A979" t="s">
        <v>2149</v>
      </c>
      <c r="B979" t="s">
        <v>2131</v>
      </c>
      <c r="C979" t="s">
        <v>45</v>
      </c>
      <c r="D979" t="s">
        <v>2150</v>
      </c>
      <c r="E979">
        <v>28.527674000000001</v>
      </c>
      <c r="F979">
        <v>77.273003000000003</v>
      </c>
      <c r="G979">
        <v>7</v>
      </c>
    </row>
    <row r="980" spans="1:7" x14ac:dyDescent="0.3">
      <c r="A980" t="s">
        <v>2151</v>
      </c>
      <c r="B980" t="s">
        <v>2131</v>
      </c>
      <c r="C980" t="s">
        <v>45</v>
      </c>
      <c r="D980" t="s">
        <v>2152</v>
      </c>
      <c r="E980">
        <v>28.587135</v>
      </c>
      <c r="F980">
        <v>77.241353000000004</v>
      </c>
      <c r="G980">
        <v>7</v>
      </c>
    </row>
    <row r="981" spans="1:7" x14ac:dyDescent="0.3">
      <c r="A981" t="s">
        <v>2153</v>
      </c>
      <c r="B981" t="s">
        <v>2131</v>
      </c>
      <c r="C981" t="s">
        <v>45</v>
      </c>
      <c r="D981" t="s">
        <v>2154</v>
      </c>
      <c r="E981">
        <v>28.62932</v>
      </c>
      <c r="F981">
        <v>77.212620000000001</v>
      </c>
      <c r="G981">
        <v>7</v>
      </c>
    </row>
    <row r="982" spans="1:7" x14ac:dyDescent="0.3">
      <c r="A982" t="s">
        <v>2155</v>
      </c>
      <c r="B982" t="s">
        <v>2131</v>
      </c>
      <c r="C982" t="s">
        <v>45</v>
      </c>
      <c r="D982" t="s">
        <v>2156</v>
      </c>
      <c r="E982">
        <v>28.58342</v>
      </c>
      <c r="F982">
        <v>77.191318999999993</v>
      </c>
      <c r="G982">
        <v>7</v>
      </c>
    </row>
    <row r="983" spans="1:7" x14ac:dyDescent="0.3">
      <c r="A983" t="s">
        <v>2157</v>
      </c>
      <c r="B983" t="s">
        <v>2131</v>
      </c>
      <c r="C983" t="s">
        <v>45</v>
      </c>
      <c r="D983" t="s">
        <v>2158</v>
      </c>
      <c r="E983">
        <v>28.543012000000001</v>
      </c>
      <c r="F983">
        <v>77.220428999999996</v>
      </c>
      <c r="G983">
        <v>7</v>
      </c>
    </row>
    <row r="984" spans="1:7" x14ac:dyDescent="0.3">
      <c r="A984" t="s">
        <v>2159</v>
      </c>
      <c r="B984" t="s">
        <v>2131</v>
      </c>
      <c r="C984" t="s">
        <v>45</v>
      </c>
      <c r="D984" t="s">
        <v>2160</v>
      </c>
      <c r="E984">
        <v>28.633300999999999</v>
      </c>
      <c r="F984">
        <v>77.126960999999994</v>
      </c>
      <c r="G984">
        <v>7</v>
      </c>
    </row>
    <row r="985" spans="1:7" x14ac:dyDescent="0.3">
      <c r="A985" t="s">
        <v>972</v>
      </c>
      <c r="B985" t="s">
        <v>2131</v>
      </c>
      <c r="C985" t="s">
        <v>45</v>
      </c>
      <c r="D985" t="s">
        <v>973</v>
      </c>
      <c r="E985">
        <v>28.599629</v>
      </c>
      <c r="F985">
        <v>77.195806000000005</v>
      </c>
      <c r="G985">
        <v>7</v>
      </c>
    </row>
    <row r="986" spans="1:7" x14ac:dyDescent="0.3">
      <c r="A986" t="s">
        <v>1193</v>
      </c>
      <c r="B986" t="s">
        <v>2131</v>
      </c>
      <c r="C986" t="s">
        <v>45</v>
      </c>
      <c r="D986" t="s">
        <v>1194</v>
      </c>
      <c r="E986">
        <v>28.676245999999999</v>
      </c>
      <c r="F986">
        <v>77.317679999999996</v>
      </c>
      <c r="G986">
        <v>7</v>
      </c>
    </row>
    <row r="987" spans="1:7" x14ac:dyDescent="0.3">
      <c r="A987" t="s">
        <v>1252</v>
      </c>
      <c r="B987" t="s">
        <v>2131</v>
      </c>
      <c r="C987" t="s">
        <v>45</v>
      </c>
      <c r="D987" t="s">
        <v>1253</v>
      </c>
      <c r="E987">
        <v>28.642218799999998</v>
      </c>
      <c r="F987">
        <v>77.105891299999996</v>
      </c>
      <c r="G987">
        <v>7</v>
      </c>
    </row>
    <row r="988" spans="1:7" x14ac:dyDescent="0.3">
      <c r="A988" t="s">
        <v>1327</v>
      </c>
      <c r="B988" t="s">
        <v>2131</v>
      </c>
      <c r="C988" t="s">
        <v>45</v>
      </c>
      <c r="D988" t="s">
        <v>1328</v>
      </c>
      <c r="E988">
        <v>28.732426499999999</v>
      </c>
      <c r="F988">
        <v>77.198624800000005</v>
      </c>
      <c r="G988">
        <v>7</v>
      </c>
    </row>
    <row r="989" spans="1:7" x14ac:dyDescent="0.3">
      <c r="A989" t="s">
        <v>1329</v>
      </c>
      <c r="B989" t="s">
        <v>2131</v>
      </c>
      <c r="C989" t="s">
        <v>45</v>
      </c>
      <c r="D989" t="s">
        <v>1330</v>
      </c>
      <c r="E989">
        <v>28.619866680000001</v>
      </c>
      <c r="F989">
        <v>77.113982440000001</v>
      </c>
      <c r="G989">
        <v>7</v>
      </c>
    </row>
    <row r="990" spans="1:7" x14ac:dyDescent="0.3">
      <c r="A990" t="s">
        <v>2161</v>
      </c>
      <c r="B990" t="s">
        <v>2131</v>
      </c>
      <c r="C990" t="s">
        <v>45</v>
      </c>
      <c r="D990" t="s">
        <v>2162</v>
      </c>
      <c r="E990">
        <v>28.627092000000001</v>
      </c>
      <c r="F990">
        <v>77.121841000000003</v>
      </c>
      <c r="G990">
        <v>7</v>
      </c>
    </row>
    <row r="991" spans="1:7" x14ac:dyDescent="0.3">
      <c r="A991" t="s">
        <v>1836</v>
      </c>
      <c r="B991" t="s">
        <v>2131</v>
      </c>
      <c r="C991" t="s">
        <v>1837</v>
      </c>
      <c r="D991" t="s">
        <v>2163</v>
      </c>
      <c r="E991">
        <v>28.635470000000002</v>
      </c>
      <c r="F991">
        <v>77.221299999999999</v>
      </c>
      <c r="G991">
        <v>22</v>
      </c>
    </row>
    <row r="992" spans="1:7" x14ac:dyDescent="0.3">
      <c r="A992" t="s">
        <v>1082</v>
      </c>
      <c r="B992" t="s">
        <v>2131</v>
      </c>
      <c r="C992" t="s">
        <v>45</v>
      </c>
      <c r="D992" t="s">
        <v>2164</v>
      </c>
      <c r="E992">
        <v>28.622485999999999</v>
      </c>
      <c r="F992">
        <v>77.095470000000006</v>
      </c>
      <c r="G992">
        <v>7</v>
      </c>
    </row>
    <row r="993" spans="1:7" x14ac:dyDescent="0.3">
      <c r="A993" t="s">
        <v>1090</v>
      </c>
      <c r="B993" t="s">
        <v>2131</v>
      </c>
      <c r="C993" t="s">
        <v>45</v>
      </c>
      <c r="D993" t="s">
        <v>1091</v>
      </c>
      <c r="E993">
        <v>28.703312</v>
      </c>
      <c r="F993">
        <v>77.181109000000006</v>
      </c>
      <c r="G993">
        <v>7</v>
      </c>
    </row>
    <row r="994" spans="1:7" x14ac:dyDescent="0.3">
      <c r="A994" t="s">
        <v>1256</v>
      </c>
      <c r="B994" t="s">
        <v>2131</v>
      </c>
      <c r="C994" t="s">
        <v>45</v>
      </c>
      <c r="D994" t="s">
        <v>1257</v>
      </c>
      <c r="E994">
        <v>28.5512199</v>
      </c>
      <c r="F994">
        <v>77.056702000000001</v>
      </c>
      <c r="G994">
        <v>7</v>
      </c>
    </row>
    <row r="995" spans="1:7" x14ac:dyDescent="0.3">
      <c r="A995" t="s">
        <v>2165</v>
      </c>
      <c r="B995" t="s">
        <v>2131</v>
      </c>
      <c r="C995" t="s">
        <v>45</v>
      </c>
      <c r="D995" t="s">
        <v>2166</v>
      </c>
      <c r="E995">
        <v>28.687417700000001</v>
      </c>
      <c r="F995">
        <v>77.134116300000002</v>
      </c>
      <c r="G995">
        <v>7</v>
      </c>
    </row>
    <row r="996" spans="1:7" x14ac:dyDescent="0.3">
      <c r="A996" t="s">
        <v>2167</v>
      </c>
      <c r="B996" t="s">
        <v>2131</v>
      </c>
      <c r="C996" t="s">
        <v>45</v>
      </c>
      <c r="D996" t="s">
        <v>2168</v>
      </c>
      <c r="E996">
        <v>28.855880200000001</v>
      </c>
      <c r="F996">
        <v>77.124500400000002</v>
      </c>
      <c r="G996">
        <v>7</v>
      </c>
    </row>
    <row r="997" spans="1:7" x14ac:dyDescent="0.3">
      <c r="A997" t="s">
        <v>1443</v>
      </c>
      <c r="B997" t="s">
        <v>2131</v>
      </c>
      <c r="C997" t="s">
        <v>87</v>
      </c>
      <c r="D997" t="s">
        <v>1444</v>
      </c>
      <c r="E997">
        <v>28.443819600000001</v>
      </c>
      <c r="F997">
        <v>77.111725300000003</v>
      </c>
      <c r="G997">
        <v>7</v>
      </c>
    </row>
    <row r="998" spans="1:7" x14ac:dyDescent="0.3">
      <c r="A998" t="s">
        <v>2169</v>
      </c>
      <c r="B998" t="s">
        <v>2131</v>
      </c>
      <c r="C998" t="s">
        <v>87</v>
      </c>
      <c r="D998" t="s">
        <v>2170</v>
      </c>
      <c r="E998">
        <v>28.451114</v>
      </c>
      <c r="F998">
        <v>77.100126000000003</v>
      </c>
      <c r="G998">
        <v>7</v>
      </c>
    </row>
    <row r="999" spans="1:7" x14ac:dyDescent="0.3">
      <c r="A999" t="s">
        <v>1456</v>
      </c>
      <c r="B999" t="s">
        <v>2131</v>
      </c>
      <c r="C999" t="s">
        <v>45</v>
      </c>
      <c r="D999" t="s">
        <v>2171</v>
      </c>
      <c r="E999">
        <v>28.617966200000001</v>
      </c>
      <c r="F999">
        <v>77.248789400000007</v>
      </c>
      <c r="G999">
        <v>7</v>
      </c>
    </row>
    <row r="1000" spans="1:7" x14ac:dyDescent="0.3">
      <c r="A1000" t="s">
        <v>2172</v>
      </c>
      <c r="B1000" t="s">
        <v>2131</v>
      </c>
      <c r="C1000" t="s">
        <v>259</v>
      </c>
      <c r="D1000" t="s">
        <v>2173</v>
      </c>
      <c r="E1000">
        <v>28.6257406</v>
      </c>
      <c r="F1000">
        <v>77.375318800000002</v>
      </c>
      <c r="G1000">
        <v>7</v>
      </c>
    </row>
    <row r="1001" spans="1:7" x14ac:dyDescent="0.3">
      <c r="A1001" t="s">
        <v>2174</v>
      </c>
      <c r="B1001" t="s">
        <v>2131</v>
      </c>
      <c r="C1001" t="s">
        <v>87</v>
      </c>
      <c r="D1001" t="s">
        <v>2175</v>
      </c>
      <c r="E1001">
        <v>28.4022133</v>
      </c>
      <c r="F1001">
        <v>76.969044999999994</v>
      </c>
      <c r="G1001">
        <v>7</v>
      </c>
    </row>
    <row r="1002" spans="1:7" x14ac:dyDescent="0.3">
      <c r="A1002" t="s">
        <v>2176</v>
      </c>
      <c r="B1002" t="s">
        <v>2131</v>
      </c>
      <c r="C1002" t="s">
        <v>87</v>
      </c>
      <c r="D1002" t="s">
        <v>2177</v>
      </c>
      <c r="E1002">
        <v>28.391085</v>
      </c>
      <c r="F1002">
        <v>76.972660000000005</v>
      </c>
      <c r="G1002">
        <v>7</v>
      </c>
    </row>
    <row r="1003" spans="1:7" x14ac:dyDescent="0.3">
      <c r="A1003" t="s">
        <v>2178</v>
      </c>
      <c r="B1003" t="s">
        <v>2131</v>
      </c>
      <c r="C1003" t="s">
        <v>45</v>
      </c>
      <c r="D1003" t="s">
        <v>2179</v>
      </c>
      <c r="E1003">
        <v>28.549479900000001</v>
      </c>
      <c r="F1003">
        <v>77.121370200000001</v>
      </c>
      <c r="G1003">
        <v>7</v>
      </c>
    </row>
    <row r="1004" spans="1:7" x14ac:dyDescent="0.3">
      <c r="A1004" t="s">
        <v>2178</v>
      </c>
      <c r="B1004" t="s">
        <v>2131</v>
      </c>
      <c r="C1004" t="s">
        <v>45</v>
      </c>
      <c r="D1004" t="s">
        <v>2179</v>
      </c>
      <c r="E1004">
        <v>28.549479900000001</v>
      </c>
      <c r="F1004">
        <v>77.121370200000001</v>
      </c>
      <c r="G1004">
        <v>7</v>
      </c>
    </row>
    <row r="1005" spans="1:7" x14ac:dyDescent="0.3">
      <c r="A1005" t="s">
        <v>2180</v>
      </c>
      <c r="B1005" t="s">
        <v>2131</v>
      </c>
      <c r="C1005" t="s">
        <v>45</v>
      </c>
      <c r="D1005" t="s">
        <v>2179</v>
      </c>
      <c r="E1005">
        <v>28.551684900000001</v>
      </c>
      <c r="F1005">
        <v>77.121667200000005</v>
      </c>
      <c r="G1005">
        <v>7</v>
      </c>
    </row>
    <row r="1006" spans="1:7" x14ac:dyDescent="0.3">
      <c r="A1006" t="s">
        <v>2180</v>
      </c>
      <c r="B1006" t="s">
        <v>2131</v>
      </c>
      <c r="C1006" t="s">
        <v>45</v>
      </c>
      <c r="D1006" t="s">
        <v>2179</v>
      </c>
      <c r="E1006">
        <v>28.551684900000001</v>
      </c>
      <c r="F1006">
        <v>77.121667200000005</v>
      </c>
      <c r="G1006">
        <v>7</v>
      </c>
    </row>
    <row r="1007" spans="1:7" x14ac:dyDescent="0.3">
      <c r="A1007" t="s">
        <v>2181</v>
      </c>
      <c r="B1007" t="s">
        <v>2131</v>
      </c>
      <c r="C1007" t="s">
        <v>87</v>
      </c>
      <c r="D1007" t="s">
        <v>2182</v>
      </c>
      <c r="E1007">
        <v>28.397718099999999</v>
      </c>
      <c r="F1007">
        <v>77.071521300000001</v>
      </c>
      <c r="G1007">
        <v>7</v>
      </c>
    </row>
    <row r="1008" spans="1:7" x14ac:dyDescent="0.3">
      <c r="A1008" t="s">
        <v>2181</v>
      </c>
      <c r="B1008" t="s">
        <v>2131</v>
      </c>
      <c r="C1008" t="s">
        <v>87</v>
      </c>
      <c r="D1008" t="s">
        <v>2182</v>
      </c>
      <c r="E1008">
        <v>28.397718099999999</v>
      </c>
      <c r="F1008">
        <v>77.071521300000001</v>
      </c>
      <c r="G1008">
        <v>7</v>
      </c>
    </row>
    <row r="1009" spans="1:7" x14ac:dyDescent="0.3">
      <c r="A1009" t="s">
        <v>2183</v>
      </c>
      <c r="B1009" t="s">
        <v>1605</v>
      </c>
      <c r="C1009" t="s">
        <v>1435</v>
      </c>
      <c r="D1009" t="s">
        <v>2184</v>
      </c>
      <c r="E1009">
        <v>9.9768500079999995</v>
      </c>
      <c r="F1009">
        <v>76.457688540000007</v>
      </c>
      <c r="G1009">
        <v>7</v>
      </c>
    </row>
    <row r="1010" spans="1:7" x14ac:dyDescent="0.3">
      <c r="A1010" t="s">
        <v>1904</v>
      </c>
      <c r="B1010" t="s">
        <v>105</v>
      </c>
      <c r="C1010" t="s">
        <v>105</v>
      </c>
      <c r="D1010" t="s">
        <v>1905</v>
      </c>
      <c r="E1010">
        <v>15.51047222</v>
      </c>
      <c r="F1010">
        <v>73.837222220000001</v>
      </c>
      <c r="G1010">
        <v>8</v>
      </c>
    </row>
    <row r="1011" spans="1:7" x14ac:dyDescent="0.3">
      <c r="A1011" t="s">
        <v>2185</v>
      </c>
      <c r="B1011" t="s">
        <v>105</v>
      </c>
      <c r="C1011" t="s">
        <v>105</v>
      </c>
      <c r="D1011" t="s">
        <v>2186</v>
      </c>
      <c r="E1011">
        <v>15.506360000000001</v>
      </c>
      <c r="F1011">
        <v>73.824879999999993</v>
      </c>
      <c r="G1011">
        <v>7</v>
      </c>
    </row>
    <row r="1012" spans="1:7" x14ac:dyDescent="0.3">
      <c r="A1012" t="s">
        <v>2187</v>
      </c>
      <c r="B1012" t="s">
        <v>105</v>
      </c>
      <c r="C1012" t="s">
        <v>105</v>
      </c>
      <c r="D1012" t="s">
        <v>2188</v>
      </c>
      <c r="E1012">
        <v>15.469336</v>
      </c>
      <c r="F1012">
        <v>73.820463000000004</v>
      </c>
      <c r="G1012">
        <v>7</v>
      </c>
    </row>
    <row r="1013" spans="1:7" x14ac:dyDescent="0.3">
      <c r="A1013" t="s">
        <v>1928</v>
      </c>
      <c r="B1013" t="s">
        <v>68</v>
      </c>
      <c r="C1013" t="s">
        <v>1929</v>
      </c>
      <c r="D1013" t="s">
        <v>1930</v>
      </c>
      <c r="E1013">
        <v>22.996680999999999</v>
      </c>
      <c r="F1013">
        <v>72.498226000000003</v>
      </c>
      <c r="G1013">
        <v>20</v>
      </c>
    </row>
    <row r="1014" spans="1:7" x14ac:dyDescent="0.3">
      <c r="A1014" t="s">
        <v>1847</v>
      </c>
      <c r="B1014" t="s">
        <v>68</v>
      </c>
      <c r="C1014" t="s">
        <v>1848</v>
      </c>
      <c r="D1014" t="s">
        <v>1849</v>
      </c>
      <c r="E1014">
        <v>21.301571370000001</v>
      </c>
      <c r="F1014">
        <v>72.953781530000001</v>
      </c>
      <c r="G1014">
        <v>18</v>
      </c>
    </row>
    <row r="1015" spans="1:7" x14ac:dyDescent="0.3">
      <c r="A1015" t="s">
        <v>1858</v>
      </c>
      <c r="B1015" t="s">
        <v>68</v>
      </c>
      <c r="C1015" t="s">
        <v>1859</v>
      </c>
      <c r="D1015" t="s">
        <v>1860</v>
      </c>
      <c r="E1015">
        <v>22.0242</v>
      </c>
      <c r="F1015">
        <v>73.117500000000007</v>
      </c>
      <c r="G1015">
        <v>24</v>
      </c>
    </row>
    <row r="1016" spans="1:7" x14ac:dyDescent="0.3">
      <c r="A1016" t="s">
        <v>2189</v>
      </c>
      <c r="B1016" t="s">
        <v>68</v>
      </c>
      <c r="C1016" t="s">
        <v>69</v>
      </c>
      <c r="D1016" t="s">
        <v>2190</v>
      </c>
      <c r="E1016">
        <v>23.04626</v>
      </c>
      <c r="F1016">
        <v>72.530690000000007</v>
      </c>
      <c r="G1016">
        <v>7</v>
      </c>
    </row>
    <row r="1017" spans="1:7" x14ac:dyDescent="0.3">
      <c r="A1017" t="s">
        <v>2191</v>
      </c>
      <c r="B1017" t="s">
        <v>68</v>
      </c>
      <c r="C1017" t="s">
        <v>69</v>
      </c>
      <c r="D1017" t="s">
        <v>2192</v>
      </c>
      <c r="E1017">
        <v>23.02938</v>
      </c>
      <c r="F1017">
        <v>72.561419999999998</v>
      </c>
      <c r="G1017">
        <v>7</v>
      </c>
    </row>
    <row r="1018" spans="1:7" x14ac:dyDescent="0.3">
      <c r="A1018" t="s">
        <v>2193</v>
      </c>
      <c r="B1018" t="s">
        <v>68</v>
      </c>
      <c r="C1018" t="s">
        <v>69</v>
      </c>
      <c r="D1018" t="s">
        <v>2194</v>
      </c>
      <c r="E1018">
        <v>23.014261000000001</v>
      </c>
      <c r="F1018">
        <v>72.503946999999997</v>
      </c>
      <c r="G1018">
        <v>7</v>
      </c>
    </row>
    <row r="1019" spans="1:7" x14ac:dyDescent="0.3">
      <c r="A1019" t="s">
        <v>2195</v>
      </c>
      <c r="B1019" t="s">
        <v>68</v>
      </c>
      <c r="C1019" t="s">
        <v>69</v>
      </c>
      <c r="D1019" t="s">
        <v>2196</v>
      </c>
      <c r="E1019">
        <v>23.025580000000001</v>
      </c>
      <c r="F1019">
        <v>72.479910000000004</v>
      </c>
      <c r="G1019">
        <v>7</v>
      </c>
    </row>
    <row r="1020" spans="1:7" x14ac:dyDescent="0.3">
      <c r="A1020" t="s">
        <v>2197</v>
      </c>
      <c r="B1020" t="s">
        <v>68</v>
      </c>
      <c r="C1020" t="s">
        <v>2198</v>
      </c>
      <c r="D1020" t="s">
        <v>2199</v>
      </c>
      <c r="E1020">
        <v>21.164947999999999</v>
      </c>
      <c r="F1020">
        <v>72.835879000000006</v>
      </c>
      <c r="G1020">
        <v>7</v>
      </c>
    </row>
    <row r="1021" spans="1:7" x14ac:dyDescent="0.3">
      <c r="A1021" t="s">
        <v>2200</v>
      </c>
      <c r="B1021" t="s">
        <v>68</v>
      </c>
      <c r="C1021" t="s">
        <v>1288</v>
      </c>
      <c r="D1021" t="s">
        <v>2201</v>
      </c>
      <c r="E1021">
        <v>22.227526000000001</v>
      </c>
      <c r="F1021">
        <v>70.801091999999997</v>
      </c>
      <c r="G1021">
        <v>7</v>
      </c>
    </row>
    <row r="1022" spans="1:7" x14ac:dyDescent="0.3">
      <c r="A1022" t="s">
        <v>2202</v>
      </c>
      <c r="B1022" t="s">
        <v>68</v>
      </c>
      <c r="C1022" t="s">
        <v>2198</v>
      </c>
      <c r="D1022" t="s">
        <v>2203</v>
      </c>
      <c r="E1022">
        <v>21.159828999999998</v>
      </c>
      <c r="F1022">
        <v>72.770602999999994</v>
      </c>
      <c r="G1022">
        <v>7</v>
      </c>
    </row>
    <row r="1023" spans="1:7" x14ac:dyDescent="0.3">
      <c r="A1023" t="s">
        <v>1077</v>
      </c>
      <c r="B1023" t="s">
        <v>68</v>
      </c>
      <c r="C1023" t="s">
        <v>185</v>
      </c>
      <c r="D1023" t="s">
        <v>1078</v>
      </c>
      <c r="E1023">
        <v>22.271792999999999</v>
      </c>
      <c r="F1023">
        <v>73.190794999999994</v>
      </c>
      <c r="G1023">
        <v>7</v>
      </c>
    </row>
    <row r="1024" spans="1:7" x14ac:dyDescent="0.3">
      <c r="A1024" t="s">
        <v>1102</v>
      </c>
      <c r="B1024" t="s">
        <v>68</v>
      </c>
      <c r="C1024" t="s">
        <v>185</v>
      </c>
      <c r="D1024" t="s">
        <v>1103</v>
      </c>
      <c r="E1024">
        <v>22.403828000000001</v>
      </c>
      <c r="F1024">
        <v>73.134550000000004</v>
      </c>
      <c r="G1024">
        <v>7</v>
      </c>
    </row>
    <row r="1025" spans="1:7" x14ac:dyDescent="0.3">
      <c r="A1025" t="s">
        <v>1116</v>
      </c>
      <c r="B1025" t="s">
        <v>68</v>
      </c>
      <c r="C1025" t="s">
        <v>1117</v>
      </c>
      <c r="D1025" t="s">
        <v>1118</v>
      </c>
      <c r="E1025">
        <v>21.885704</v>
      </c>
      <c r="F1025">
        <v>73.688136</v>
      </c>
      <c r="G1025">
        <v>7</v>
      </c>
    </row>
    <row r="1026" spans="1:7" x14ac:dyDescent="0.3">
      <c r="A1026" t="s">
        <v>1189</v>
      </c>
      <c r="B1026" t="s">
        <v>68</v>
      </c>
      <c r="C1026" t="s">
        <v>69</v>
      </c>
      <c r="D1026" t="s">
        <v>1190</v>
      </c>
      <c r="E1026">
        <v>23.052278699999999</v>
      </c>
      <c r="F1026">
        <v>72.571088200000005</v>
      </c>
      <c r="G1026">
        <v>7</v>
      </c>
    </row>
    <row r="1027" spans="1:7" x14ac:dyDescent="0.3">
      <c r="A1027" t="s">
        <v>2204</v>
      </c>
      <c r="B1027" t="s">
        <v>68</v>
      </c>
      <c r="C1027" t="s">
        <v>69</v>
      </c>
      <c r="D1027" t="s">
        <v>2205</v>
      </c>
      <c r="E1027">
        <v>23.039752199999999</v>
      </c>
      <c r="F1027">
        <v>72.531812400000007</v>
      </c>
      <c r="G1027">
        <v>7</v>
      </c>
    </row>
    <row r="1028" spans="1:7" x14ac:dyDescent="0.3">
      <c r="A1028" t="s">
        <v>2204</v>
      </c>
      <c r="B1028" t="s">
        <v>68</v>
      </c>
      <c r="C1028" t="s">
        <v>69</v>
      </c>
      <c r="D1028" t="s">
        <v>2205</v>
      </c>
      <c r="E1028">
        <v>23.039752199999999</v>
      </c>
      <c r="F1028">
        <v>72.531812400000007</v>
      </c>
      <c r="G1028">
        <v>7</v>
      </c>
    </row>
    <row r="1029" spans="1:7" x14ac:dyDescent="0.3">
      <c r="A1029" t="s">
        <v>2206</v>
      </c>
      <c r="B1029" t="s">
        <v>68</v>
      </c>
      <c r="C1029" t="s">
        <v>69</v>
      </c>
      <c r="D1029" t="s">
        <v>2207</v>
      </c>
      <c r="E1029">
        <v>22.935403999999998</v>
      </c>
      <c r="F1029">
        <v>72.520954000000003</v>
      </c>
      <c r="G1029">
        <v>7</v>
      </c>
    </row>
    <row r="1030" spans="1:7" x14ac:dyDescent="0.3">
      <c r="A1030" t="s">
        <v>1287</v>
      </c>
      <c r="B1030" t="s">
        <v>68</v>
      </c>
      <c r="C1030" t="s">
        <v>1288</v>
      </c>
      <c r="D1030" t="s">
        <v>1289</v>
      </c>
      <c r="E1030">
        <v>22.225263999999999</v>
      </c>
      <c r="F1030">
        <v>70.801197000000002</v>
      </c>
      <c r="G1030">
        <v>7</v>
      </c>
    </row>
    <row r="1031" spans="1:7" x14ac:dyDescent="0.3">
      <c r="A1031" t="s">
        <v>1304</v>
      </c>
      <c r="B1031" t="s">
        <v>68</v>
      </c>
      <c r="C1031" t="s">
        <v>69</v>
      </c>
      <c r="D1031" t="s">
        <v>1305</v>
      </c>
      <c r="E1031">
        <v>23.063390299999998</v>
      </c>
      <c r="F1031">
        <v>72.531762499999999</v>
      </c>
      <c r="G1031">
        <v>7</v>
      </c>
    </row>
    <row r="1032" spans="1:7" x14ac:dyDescent="0.3">
      <c r="A1032" t="s">
        <v>1306</v>
      </c>
      <c r="B1032" t="s">
        <v>68</v>
      </c>
      <c r="C1032" t="s">
        <v>69</v>
      </c>
      <c r="D1032" t="s">
        <v>1307</v>
      </c>
      <c r="E1032">
        <v>23.033220100000001</v>
      </c>
      <c r="F1032">
        <v>72.513752800000006</v>
      </c>
      <c r="G1032">
        <v>7</v>
      </c>
    </row>
    <row r="1033" spans="1:7" x14ac:dyDescent="0.3">
      <c r="A1033" t="s">
        <v>2208</v>
      </c>
      <c r="B1033" t="s">
        <v>68</v>
      </c>
      <c r="C1033" t="s">
        <v>1288</v>
      </c>
      <c r="D1033" t="s">
        <v>2209</v>
      </c>
      <c r="E1033">
        <v>22.296704800000001</v>
      </c>
      <c r="F1033">
        <v>70.799122199999999</v>
      </c>
      <c r="G1033">
        <v>7</v>
      </c>
    </row>
    <row r="1034" spans="1:7" x14ac:dyDescent="0.3">
      <c r="A1034" t="s">
        <v>1466</v>
      </c>
      <c r="B1034" t="s">
        <v>68</v>
      </c>
      <c r="C1034" t="s">
        <v>1467</v>
      </c>
      <c r="D1034" t="s">
        <v>1468</v>
      </c>
      <c r="E1034">
        <v>21.716411399999998</v>
      </c>
      <c r="F1034">
        <v>72.656297899999998</v>
      </c>
      <c r="G1034">
        <v>7</v>
      </c>
    </row>
    <row r="1035" spans="1:7" x14ac:dyDescent="0.3">
      <c r="A1035" t="s">
        <v>1469</v>
      </c>
      <c r="B1035" t="s">
        <v>68</v>
      </c>
      <c r="C1035" t="s">
        <v>185</v>
      </c>
      <c r="D1035" t="s">
        <v>1470</v>
      </c>
      <c r="E1035">
        <v>22.3205834</v>
      </c>
      <c r="F1035">
        <v>73.188377900000006</v>
      </c>
      <c r="G1035">
        <v>7</v>
      </c>
    </row>
    <row r="1036" spans="1:7" x14ac:dyDescent="0.3">
      <c r="A1036" t="s">
        <v>1477</v>
      </c>
      <c r="B1036" t="s">
        <v>68</v>
      </c>
      <c r="C1036" t="s">
        <v>1478</v>
      </c>
      <c r="D1036" t="s">
        <v>1479</v>
      </c>
      <c r="E1036">
        <v>21.528409960000001</v>
      </c>
      <c r="F1036">
        <v>70.458457949999996</v>
      </c>
      <c r="G1036">
        <v>7</v>
      </c>
    </row>
    <row r="1037" spans="1:7" x14ac:dyDescent="0.3">
      <c r="A1037" t="s">
        <v>1480</v>
      </c>
      <c r="B1037" t="s">
        <v>68</v>
      </c>
      <c r="C1037" t="s">
        <v>1481</v>
      </c>
      <c r="D1037" t="s">
        <v>1482</v>
      </c>
      <c r="E1037">
        <v>23.265533399999999</v>
      </c>
      <c r="F1037">
        <v>69.678672800000001</v>
      </c>
      <c r="G1037">
        <v>7</v>
      </c>
    </row>
    <row r="1038" spans="1:7" x14ac:dyDescent="0.3">
      <c r="A1038" t="s">
        <v>1987</v>
      </c>
      <c r="B1038" t="s">
        <v>8</v>
      </c>
      <c r="C1038" t="s">
        <v>1935</v>
      </c>
      <c r="D1038" t="s">
        <v>1988</v>
      </c>
      <c r="E1038">
        <v>28.498999999999999</v>
      </c>
      <c r="F1038">
        <v>77.083560000000006</v>
      </c>
      <c r="G1038">
        <v>13</v>
      </c>
    </row>
    <row r="1039" spans="1:7" x14ac:dyDescent="0.3">
      <c r="A1039" t="s">
        <v>1934</v>
      </c>
      <c r="B1039" t="s">
        <v>8</v>
      </c>
      <c r="C1039" t="s">
        <v>1935</v>
      </c>
      <c r="D1039" t="s">
        <v>1936</v>
      </c>
      <c r="E1039">
        <v>28.462298000000001</v>
      </c>
      <c r="F1039">
        <v>77.048472000000004</v>
      </c>
      <c r="G1039">
        <v>20</v>
      </c>
    </row>
    <row r="1040" spans="1:7" x14ac:dyDescent="0.3">
      <c r="A1040" t="s">
        <v>1609</v>
      </c>
      <c r="B1040" t="s">
        <v>8</v>
      </c>
      <c r="C1040" t="s">
        <v>1610</v>
      </c>
      <c r="D1040" t="s">
        <v>1907</v>
      </c>
      <c r="E1040">
        <v>30.695929</v>
      </c>
      <c r="F1040">
        <v>76.834873999999999</v>
      </c>
      <c r="G1040">
        <v>8</v>
      </c>
    </row>
    <row r="1041" spans="1:7" x14ac:dyDescent="0.3">
      <c r="A1041" t="s">
        <v>1838</v>
      </c>
      <c r="B1041" t="s">
        <v>8</v>
      </c>
      <c r="C1041" t="s">
        <v>1839</v>
      </c>
      <c r="E1041">
        <v>28.288074999999999</v>
      </c>
      <c r="F1041">
        <v>77.295115999999993</v>
      </c>
      <c r="G1041">
        <v>22</v>
      </c>
    </row>
    <row r="1042" spans="1:7" x14ac:dyDescent="0.3">
      <c r="A1042" t="s">
        <v>974</v>
      </c>
      <c r="B1042" t="s">
        <v>8</v>
      </c>
      <c r="C1042" t="s">
        <v>975</v>
      </c>
      <c r="D1042" t="s">
        <v>976</v>
      </c>
      <c r="E1042">
        <v>29.157568999999999</v>
      </c>
      <c r="F1042">
        <v>77.035832999999997</v>
      </c>
      <c r="G1042">
        <v>7</v>
      </c>
    </row>
    <row r="1043" spans="1:7" x14ac:dyDescent="0.3">
      <c r="A1043" t="s">
        <v>2210</v>
      </c>
      <c r="B1043" t="s">
        <v>8</v>
      </c>
      <c r="C1043" t="s">
        <v>87</v>
      </c>
      <c r="D1043" t="s">
        <v>2211</v>
      </c>
      <c r="E1043">
        <v>28.481146800000001</v>
      </c>
      <c r="F1043">
        <v>77.083120199999996</v>
      </c>
      <c r="G1043">
        <v>7</v>
      </c>
    </row>
    <row r="1044" spans="1:7" x14ac:dyDescent="0.3">
      <c r="A1044" t="s">
        <v>2212</v>
      </c>
      <c r="B1044" t="s">
        <v>24</v>
      </c>
      <c r="C1044" t="s">
        <v>2213</v>
      </c>
      <c r="D1044" t="s">
        <v>2214</v>
      </c>
      <c r="E1044">
        <v>30.887318799999999</v>
      </c>
      <c r="F1044">
        <v>77.087941099999995</v>
      </c>
      <c r="G1044">
        <v>7</v>
      </c>
    </row>
    <row r="1045" spans="1:7" x14ac:dyDescent="0.3">
      <c r="A1045" t="s">
        <v>1308</v>
      </c>
      <c r="B1045" t="s">
        <v>1309</v>
      </c>
      <c r="C1045" t="s">
        <v>1309</v>
      </c>
      <c r="D1045" t="s">
        <v>1310</v>
      </c>
      <c r="E1045">
        <v>29.125961700000001</v>
      </c>
      <c r="F1045">
        <v>75.802781699999997</v>
      </c>
      <c r="G1045">
        <v>7</v>
      </c>
    </row>
    <row r="1046" spans="1:7" x14ac:dyDescent="0.3">
      <c r="A1046" t="s">
        <v>2215</v>
      </c>
      <c r="B1046" t="s">
        <v>1163</v>
      </c>
      <c r="C1046" t="s">
        <v>1163</v>
      </c>
      <c r="D1046" t="s">
        <v>2216</v>
      </c>
      <c r="E1046">
        <v>17.499345000000002</v>
      </c>
      <c r="F1046">
        <v>78.541865999999999</v>
      </c>
      <c r="G1046">
        <v>7</v>
      </c>
    </row>
    <row r="1047" spans="1:7" x14ac:dyDescent="0.3">
      <c r="A1047" t="s">
        <v>1418</v>
      </c>
      <c r="B1047" t="s">
        <v>1419</v>
      </c>
      <c r="C1047" t="s">
        <v>1419</v>
      </c>
      <c r="D1047" t="s">
        <v>1420</v>
      </c>
      <c r="E1047">
        <v>20.923831499999999</v>
      </c>
      <c r="F1047">
        <v>86.249428399999999</v>
      </c>
      <c r="G1047">
        <v>7</v>
      </c>
    </row>
    <row r="1048" spans="1:7" x14ac:dyDescent="0.3">
      <c r="A1048" t="s">
        <v>2217</v>
      </c>
      <c r="B1048" t="s">
        <v>845</v>
      </c>
      <c r="C1048" t="s">
        <v>490</v>
      </c>
      <c r="D1048" t="s">
        <v>2218</v>
      </c>
      <c r="E1048">
        <v>32.706609999999998</v>
      </c>
      <c r="F1048">
        <v>74.895679999999999</v>
      </c>
      <c r="G1048">
        <v>7</v>
      </c>
    </row>
    <row r="1049" spans="1:7" x14ac:dyDescent="0.3">
      <c r="A1049" t="s">
        <v>2219</v>
      </c>
      <c r="B1049" t="s">
        <v>845</v>
      </c>
      <c r="C1049" t="s">
        <v>490</v>
      </c>
      <c r="D1049" t="s">
        <v>2220</v>
      </c>
      <c r="E1049">
        <v>32.713042999999999</v>
      </c>
      <c r="F1049">
        <v>74.859840599999998</v>
      </c>
      <c r="G1049">
        <v>7</v>
      </c>
    </row>
    <row r="1050" spans="1:7" x14ac:dyDescent="0.3">
      <c r="A1050" t="s">
        <v>2221</v>
      </c>
      <c r="B1050" t="s">
        <v>405</v>
      </c>
      <c r="C1050" t="s">
        <v>1064</v>
      </c>
      <c r="D1050" t="s">
        <v>2222</v>
      </c>
      <c r="E1050">
        <v>22.790939999999999</v>
      </c>
      <c r="F1050">
        <v>86.147310000000004</v>
      </c>
      <c r="G1050">
        <v>7</v>
      </c>
    </row>
    <row r="1051" spans="1:7" x14ac:dyDescent="0.3">
      <c r="A1051" t="s">
        <v>1044</v>
      </c>
      <c r="B1051" t="s">
        <v>405</v>
      </c>
      <c r="C1051" t="s">
        <v>1045</v>
      </c>
      <c r="D1051" t="s">
        <v>1046</v>
      </c>
      <c r="E1051">
        <v>23.371302</v>
      </c>
      <c r="F1051">
        <v>85.350736999999995</v>
      </c>
      <c r="G1051">
        <v>7</v>
      </c>
    </row>
    <row r="1052" spans="1:7" x14ac:dyDescent="0.3">
      <c r="A1052" t="s">
        <v>1063</v>
      </c>
      <c r="B1052" t="s">
        <v>405</v>
      </c>
      <c r="C1052" t="s">
        <v>1064</v>
      </c>
      <c r="D1052" t="s">
        <v>1065</v>
      </c>
      <c r="E1052">
        <v>22.800098999999999</v>
      </c>
      <c r="F1052">
        <v>86.188305</v>
      </c>
      <c r="G1052">
        <v>7</v>
      </c>
    </row>
    <row r="1053" spans="1:7" x14ac:dyDescent="0.3">
      <c r="A1053" t="s">
        <v>1066</v>
      </c>
      <c r="B1053" t="s">
        <v>405</v>
      </c>
      <c r="C1053" t="s">
        <v>1064</v>
      </c>
      <c r="D1053" t="s">
        <v>1067</v>
      </c>
      <c r="E1053">
        <v>22.802610999999999</v>
      </c>
      <c r="F1053">
        <v>86.203632999999996</v>
      </c>
      <c r="G1053">
        <v>7</v>
      </c>
    </row>
    <row r="1054" spans="1:7" x14ac:dyDescent="0.3">
      <c r="A1054" t="s">
        <v>1068</v>
      </c>
      <c r="B1054" t="s">
        <v>405</v>
      </c>
      <c r="C1054" t="s">
        <v>1064</v>
      </c>
      <c r="D1054" t="s">
        <v>1069</v>
      </c>
      <c r="E1054">
        <v>22.808482999999999</v>
      </c>
      <c r="F1054">
        <v>86.198276000000007</v>
      </c>
      <c r="G1054">
        <v>7</v>
      </c>
    </row>
    <row r="1055" spans="1:7" x14ac:dyDescent="0.3">
      <c r="A1055" t="s">
        <v>1143</v>
      </c>
      <c r="B1055" t="s">
        <v>405</v>
      </c>
      <c r="C1055" t="s">
        <v>1144</v>
      </c>
      <c r="D1055" t="s">
        <v>1145</v>
      </c>
      <c r="E1055">
        <v>23.848551</v>
      </c>
      <c r="F1055">
        <v>86.441642000000002</v>
      </c>
      <c r="G1055">
        <v>7</v>
      </c>
    </row>
    <row r="1056" spans="1:7" x14ac:dyDescent="0.3">
      <c r="A1056" t="s">
        <v>2223</v>
      </c>
      <c r="B1056" t="s">
        <v>405</v>
      </c>
      <c r="C1056" t="s">
        <v>1064</v>
      </c>
      <c r="D1056" t="s">
        <v>2224</v>
      </c>
      <c r="E1056">
        <v>22.787788330000001</v>
      </c>
      <c r="F1056">
        <v>86.184428330000003</v>
      </c>
      <c r="G1056">
        <v>7</v>
      </c>
    </row>
    <row r="1057" spans="1:7" x14ac:dyDescent="0.3">
      <c r="A1057" t="s">
        <v>2000</v>
      </c>
      <c r="B1057" t="s">
        <v>150</v>
      </c>
      <c r="C1057" t="s">
        <v>2033</v>
      </c>
      <c r="D1057" t="s">
        <v>2001</v>
      </c>
      <c r="E1057">
        <v>12.934801</v>
      </c>
      <c r="F1057">
        <v>77.610917999999998</v>
      </c>
      <c r="G1057">
        <v>11</v>
      </c>
    </row>
    <row r="1058" spans="1:7" x14ac:dyDescent="0.3">
      <c r="A1058" t="s">
        <v>2014</v>
      </c>
      <c r="B1058" t="s">
        <v>150</v>
      </c>
      <c r="C1058" t="s">
        <v>2015</v>
      </c>
      <c r="D1058" t="s">
        <v>2016</v>
      </c>
      <c r="E1058">
        <v>12.298073</v>
      </c>
      <c r="F1058">
        <v>76.664021000000005</v>
      </c>
      <c r="G1058">
        <v>11</v>
      </c>
    </row>
    <row r="1059" spans="1:7" x14ac:dyDescent="0.3">
      <c r="A1059" t="s">
        <v>2032</v>
      </c>
      <c r="B1059" t="s">
        <v>150</v>
      </c>
      <c r="C1059" t="s">
        <v>2033</v>
      </c>
      <c r="D1059" t="s">
        <v>2034</v>
      </c>
      <c r="E1059">
        <v>12.9019627</v>
      </c>
      <c r="F1059">
        <v>77.468995000000007</v>
      </c>
      <c r="G1059">
        <v>11</v>
      </c>
    </row>
    <row r="1060" spans="1:7" x14ac:dyDescent="0.3">
      <c r="A1060" t="s">
        <v>1931</v>
      </c>
      <c r="B1060" t="s">
        <v>150</v>
      </c>
      <c r="C1060" t="s">
        <v>2033</v>
      </c>
      <c r="D1060" t="s">
        <v>1933</v>
      </c>
      <c r="E1060">
        <v>12.865031999999999</v>
      </c>
      <c r="F1060">
        <v>77.657853000000003</v>
      </c>
      <c r="G1060">
        <v>20</v>
      </c>
    </row>
    <row r="1061" spans="1:7" x14ac:dyDescent="0.3">
      <c r="A1061" t="s">
        <v>1861</v>
      </c>
      <c r="B1061" t="s">
        <v>150</v>
      </c>
      <c r="C1061" t="s">
        <v>2033</v>
      </c>
      <c r="D1061" t="s">
        <v>1863</v>
      </c>
      <c r="E1061">
        <v>12.911623609999999</v>
      </c>
      <c r="F1061">
        <v>77.648996780000004</v>
      </c>
      <c r="G1061">
        <v>15</v>
      </c>
    </row>
    <row r="1062" spans="1:7" x14ac:dyDescent="0.3">
      <c r="A1062" t="s">
        <v>1864</v>
      </c>
      <c r="B1062" t="s">
        <v>150</v>
      </c>
      <c r="C1062" t="s">
        <v>2033</v>
      </c>
      <c r="D1062" t="s">
        <v>2225</v>
      </c>
      <c r="E1062">
        <v>12.91895366</v>
      </c>
      <c r="F1062">
        <v>77.612475649999993</v>
      </c>
      <c r="G1062">
        <v>15</v>
      </c>
    </row>
    <row r="1063" spans="1:7" x14ac:dyDescent="0.3">
      <c r="A1063" t="s">
        <v>1866</v>
      </c>
      <c r="B1063" t="s">
        <v>150</v>
      </c>
      <c r="C1063" t="s">
        <v>2033</v>
      </c>
      <c r="D1063" t="s">
        <v>1867</v>
      </c>
      <c r="E1063">
        <v>12.93068034</v>
      </c>
      <c r="F1063">
        <v>77.576627389999999</v>
      </c>
      <c r="G1063">
        <v>15</v>
      </c>
    </row>
    <row r="1064" spans="1:7" x14ac:dyDescent="0.3">
      <c r="A1064" t="s">
        <v>1868</v>
      </c>
      <c r="B1064" t="s">
        <v>150</v>
      </c>
      <c r="C1064" t="s">
        <v>2033</v>
      </c>
      <c r="D1064" t="s">
        <v>1869</v>
      </c>
      <c r="E1064">
        <v>12.9499757</v>
      </c>
      <c r="F1064">
        <v>77.540717999999998</v>
      </c>
      <c r="G1064">
        <v>15</v>
      </c>
    </row>
    <row r="1065" spans="1:7" x14ac:dyDescent="0.3">
      <c r="A1065" t="s">
        <v>1870</v>
      </c>
      <c r="B1065" t="s">
        <v>150</v>
      </c>
      <c r="C1065" t="s">
        <v>2033</v>
      </c>
      <c r="D1065" t="s">
        <v>1871</v>
      </c>
      <c r="E1065">
        <v>12.95898377</v>
      </c>
      <c r="F1065">
        <v>77.664402730000006</v>
      </c>
      <c r="G1065">
        <v>15</v>
      </c>
    </row>
    <row r="1066" spans="1:7" x14ac:dyDescent="0.3">
      <c r="A1066" t="s">
        <v>1872</v>
      </c>
      <c r="B1066" t="s">
        <v>150</v>
      </c>
      <c r="C1066" t="s">
        <v>2033</v>
      </c>
      <c r="D1066" t="s">
        <v>1873</v>
      </c>
      <c r="E1066">
        <v>12.96495904</v>
      </c>
      <c r="F1066">
        <v>77.644234530000006</v>
      </c>
      <c r="G1066">
        <v>15</v>
      </c>
    </row>
    <row r="1067" spans="1:7" x14ac:dyDescent="0.3">
      <c r="A1067" t="s">
        <v>1874</v>
      </c>
      <c r="B1067" t="s">
        <v>150</v>
      </c>
      <c r="C1067" t="s">
        <v>2033</v>
      </c>
      <c r="D1067" t="s">
        <v>1875</v>
      </c>
      <c r="E1067">
        <v>13.024253979999999</v>
      </c>
      <c r="F1067">
        <v>77.536718559999997</v>
      </c>
      <c r="G1067">
        <v>15</v>
      </c>
    </row>
    <row r="1068" spans="1:7" x14ac:dyDescent="0.3">
      <c r="A1068" t="s">
        <v>1876</v>
      </c>
      <c r="B1068" t="s">
        <v>150</v>
      </c>
      <c r="C1068" t="s">
        <v>2033</v>
      </c>
      <c r="D1068" t="s">
        <v>1877</v>
      </c>
      <c r="E1068">
        <v>13.06689523</v>
      </c>
      <c r="F1068">
        <v>77.444309739999994</v>
      </c>
      <c r="G1068">
        <v>15</v>
      </c>
    </row>
    <row r="1069" spans="1:7" x14ac:dyDescent="0.3">
      <c r="A1069" t="s">
        <v>1878</v>
      </c>
      <c r="B1069" t="s">
        <v>150</v>
      </c>
      <c r="C1069" t="s">
        <v>2033</v>
      </c>
      <c r="D1069" t="s">
        <v>1879</v>
      </c>
      <c r="E1069">
        <v>13.02043003</v>
      </c>
      <c r="F1069">
        <v>77.640933559999993</v>
      </c>
      <c r="G1069">
        <v>15</v>
      </c>
    </row>
    <row r="1070" spans="1:7" x14ac:dyDescent="0.3">
      <c r="A1070" t="s">
        <v>1880</v>
      </c>
      <c r="B1070" t="s">
        <v>150</v>
      </c>
      <c r="C1070" t="s">
        <v>2033</v>
      </c>
      <c r="D1070" t="s">
        <v>1881</v>
      </c>
      <c r="E1070">
        <v>12.99493599</v>
      </c>
      <c r="F1070">
        <v>77.699245340000004</v>
      </c>
      <c r="G1070">
        <v>15</v>
      </c>
    </row>
    <row r="1071" spans="1:7" x14ac:dyDescent="0.3">
      <c r="A1071" t="s">
        <v>1882</v>
      </c>
      <c r="B1071" t="s">
        <v>150</v>
      </c>
      <c r="C1071" t="s">
        <v>2033</v>
      </c>
      <c r="D1071" t="s">
        <v>1883</v>
      </c>
      <c r="E1071">
        <v>13.09596479</v>
      </c>
      <c r="F1071">
        <v>77.594525939999997</v>
      </c>
      <c r="G1071">
        <v>15</v>
      </c>
    </row>
    <row r="1072" spans="1:7" x14ac:dyDescent="0.3">
      <c r="A1072" t="s">
        <v>1884</v>
      </c>
      <c r="B1072" t="s">
        <v>150</v>
      </c>
      <c r="C1072" t="s">
        <v>2033</v>
      </c>
      <c r="D1072" t="s">
        <v>1885</v>
      </c>
      <c r="E1072">
        <v>13.053353570000001</v>
      </c>
      <c r="F1072">
        <v>77.543227239999993</v>
      </c>
      <c r="G1072">
        <v>15</v>
      </c>
    </row>
    <row r="1073" spans="1:7" x14ac:dyDescent="0.3">
      <c r="A1073" t="s">
        <v>1886</v>
      </c>
      <c r="B1073" t="s">
        <v>150</v>
      </c>
      <c r="C1073" t="s">
        <v>2033</v>
      </c>
      <c r="D1073" t="s">
        <v>1887</v>
      </c>
      <c r="E1073">
        <v>13.038239430000001</v>
      </c>
      <c r="F1073">
        <v>77.557751039999999</v>
      </c>
      <c r="G1073">
        <v>15</v>
      </c>
    </row>
    <row r="1074" spans="1:7" x14ac:dyDescent="0.3">
      <c r="A1074" t="s">
        <v>1888</v>
      </c>
      <c r="B1074" t="s">
        <v>150</v>
      </c>
      <c r="C1074" t="s">
        <v>2033</v>
      </c>
      <c r="D1074" t="s">
        <v>1889</v>
      </c>
      <c r="E1074">
        <v>13.032111029999999</v>
      </c>
      <c r="F1074">
        <v>77.527482840000005</v>
      </c>
      <c r="G1074">
        <v>15</v>
      </c>
    </row>
    <row r="1075" spans="1:7" x14ac:dyDescent="0.3">
      <c r="A1075" t="s">
        <v>2068</v>
      </c>
      <c r="B1075" t="s">
        <v>150</v>
      </c>
      <c r="C1075" t="s">
        <v>2069</v>
      </c>
      <c r="D1075" t="s">
        <v>2070</v>
      </c>
      <c r="E1075">
        <v>12.990221200000001</v>
      </c>
      <c r="F1075">
        <v>76.881680900000006</v>
      </c>
      <c r="G1075">
        <v>11</v>
      </c>
    </row>
    <row r="1076" spans="1:7" x14ac:dyDescent="0.3">
      <c r="A1076" t="s">
        <v>2226</v>
      </c>
      <c r="B1076" t="s">
        <v>150</v>
      </c>
      <c r="C1076" t="s">
        <v>2069</v>
      </c>
      <c r="D1076" t="s">
        <v>2227</v>
      </c>
      <c r="E1076">
        <v>12.987707500000001</v>
      </c>
      <c r="F1076">
        <v>76.874478400000001</v>
      </c>
      <c r="G1076">
        <v>11</v>
      </c>
    </row>
    <row r="1077" spans="1:7" x14ac:dyDescent="0.3">
      <c r="A1077" t="s">
        <v>2228</v>
      </c>
      <c r="B1077" t="s">
        <v>150</v>
      </c>
      <c r="C1077" t="s">
        <v>2229</v>
      </c>
      <c r="D1077" t="s">
        <v>2230</v>
      </c>
      <c r="E1077">
        <v>12.9873093</v>
      </c>
      <c r="F1077">
        <v>76.206106700000007</v>
      </c>
      <c r="G1077">
        <v>11</v>
      </c>
    </row>
    <row r="1078" spans="1:7" x14ac:dyDescent="0.3">
      <c r="A1078" t="s">
        <v>2231</v>
      </c>
      <c r="B1078" t="s">
        <v>150</v>
      </c>
      <c r="C1078" t="s">
        <v>2232</v>
      </c>
      <c r="D1078" t="s">
        <v>2233</v>
      </c>
      <c r="E1078">
        <v>12.6395692</v>
      </c>
      <c r="F1078">
        <v>77.141376899999997</v>
      </c>
      <c r="G1078">
        <v>11</v>
      </c>
    </row>
    <row r="1079" spans="1:7" x14ac:dyDescent="0.3">
      <c r="A1079" t="s">
        <v>2234</v>
      </c>
      <c r="B1079" t="s">
        <v>150</v>
      </c>
      <c r="C1079" t="s">
        <v>1341</v>
      </c>
      <c r="D1079" t="s">
        <v>2235</v>
      </c>
      <c r="E1079">
        <v>13.04279</v>
      </c>
      <c r="F1079">
        <v>77.609300000000005</v>
      </c>
      <c r="G1079">
        <v>7</v>
      </c>
    </row>
    <row r="1080" spans="1:7" x14ac:dyDescent="0.3">
      <c r="A1080" t="s">
        <v>1447</v>
      </c>
      <c r="B1080" t="s">
        <v>150</v>
      </c>
      <c r="C1080" t="s">
        <v>1341</v>
      </c>
      <c r="D1080" t="s">
        <v>2236</v>
      </c>
      <c r="E1080">
        <v>12.99929</v>
      </c>
      <c r="F1080">
        <v>77.549629999999993</v>
      </c>
      <c r="G1080">
        <v>7</v>
      </c>
    </row>
    <row r="1081" spans="1:7" x14ac:dyDescent="0.3">
      <c r="A1081" t="s">
        <v>2237</v>
      </c>
      <c r="B1081" t="s">
        <v>150</v>
      </c>
      <c r="C1081" t="s">
        <v>1341</v>
      </c>
      <c r="D1081" t="s">
        <v>2238</v>
      </c>
      <c r="E1081">
        <v>12.903919999999999</v>
      </c>
      <c r="F1081">
        <v>77.573490000000007</v>
      </c>
      <c r="G1081">
        <v>7</v>
      </c>
    </row>
    <row r="1082" spans="1:7" x14ac:dyDescent="0.3">
      <c r="A1082" t="s">
        <v>2239</v>
      </c>
      <c r="B1082" t="s">
        <v>150</v>
      </c>
      <c r="C1082" t="s">
        <v>1341</v>
      </c>
      <c r="D1082" t="s">
        <v>2240</v>
      </c>
      <c r="E1082">
        <v>12.97692</v>
      </c>
      <c r="F1082">
        <v>77.718609999999998</v>
      </c>
      <c r="G1082">
        <v>7</v>
      </c>
    </row>
    <row r="1083" spans="1:7" x14ac:dyDescent="0.3">
      <c r="A1083" t="s">
        <v>2241</v>
      </c>
      <c r="B1083" t="s">
        <v>150</v>
      </c>
      <c r="C1083" t="s">
        <v>1341</v>
      </c>
      <c r="D1083" t="s">
        <v>2242</v>
      </c>
      <c r="E1083">
        <v>12.95234</v>
      </c>
      <c r="F1083">
        <v>77.639970000000005</v>
      </c>
      <c r="G1083">
        <v>7</v>
      </c>
    </row>
    <row r="1084" spans="1:7" x14ac:dyDescent="0.3">
      <c r="A1084" t="s">
        <v>2243</v>
      </c>
      <c r="B1084" t="s">
        <v>150</v>
      </c>
      <c r="C1084" t="s">
        <v>1341</v>
      </c>
      <c r="D1084" t="s">
        <v>2244</v>
      </c>
      <c r="E1084">
        <v>12.890829999999999</v>
      </c>
      <c r="F1084">
        <v>77.638210000000001</v>
      </c>
      <c r="G1084">
        <v>7</v>
      </c>
    </row>
    <row r="1085" spans="1:7" x14ac:dyDescent="0.3">
      <c r="A1085" t="s">
        <v>2245</v>
      </c>
      <c r="B1085" t="s">
        <v>150</v>
      </c>
      <c r="C1085" t="s">
        <v>1341</v>
      </c>
      <c r="D1085" t="s">
        <v>2246</v>
      </c>
      <c r="E1085">
        <v>12.966839999999999</v>
      </c>
      <c r="F1085">
        <v>77.716570000000004</v>
      </c>
      <c r="G1085">
        <v>7</v>
      </c>
    </row>
    <row r="1086" spans="1:7" x14ac:dyDescent="0.3">
      <c r="A1086" t="s">
        <v>2247</v>
      </c>
      <c r="B1086" t="s">
        <v>150</v>
      </c>
      <c r="C1086" t="s">
        <v>1341</v>
      </c>
      <c r="D1086" t="s">
        <v>2248</v>
      </c>
      <c r="E1086">
        <v>12.872052999999999</v>
      </c>
      <c r="F1086">
        <v>77.651173999999997</v>
      </c>
      <c r="G1086">
        <v>7</v>
      </c>
    </row>
    <row r="1087" spans="1:7" x14ac:dyDescent="0.3">
      <c r="A1087" t="s">
        <v>2249</v>
      </c>
      <c r="B1087" t="s">
        <v>150</v>
      </c>
      <c r="C1087" t="s">
        <v>2250</v>
      </c>
      <c r="D1087" t="s">
        <v>2251</v>
      </c>
      <c r="E1087">
        <v>12.3255681</v>
      </c>
      <c r="F1087">
        <v>76.610263399999994</v>
      </c>
      <c r="G1087">
        <v>7</v>
      </c>
    </row>
    <row r="1088" spans="1:7" x14ac:dyDescent="0.3">
      <c r="A1088" t="s">
        <v>2252</v>
      </c>
      <c r="B1088" t="s">
        <v>150</v>
      </c>
      <c r="C1088" t="s">
        <v>2253</v>
      </c>
      <c r="D1088" t="s">
        <v>2254</v>
      </c>
      <c r="E1088">
        <v>12.923728000000001</v>
      </c>
      <c r="F1088">
        <v>74.831066000000007</v>
      </c>
      <c r="G1088">
        <v>7</v>
      </c>
    </row>
    <row r="1089" spans="1:7" x14ac:dyDescent="0.3">
      <c r="A1089" t="s">
        <v>2255</v>
      </c>
      <c r="B1089" t="s">
        <v>150</v>
      </c>
      <c r="C1089" t="s">
        <v>2250</v>
      </c>
      <c r="D1089" t="s">
        <v>2256</v>
      </c>
      <c r="E1089">
        <v>12.2951473</v>
      </c>
      <c r="F1089">
        <v>76.6415085</v>
      </c>
      <c r="G1089">
        <v>7</v>
      </c>
    </row>
    <row r="1090" spans="1:7" x14ac:dyDescent="0.3">
      <c r="A1090" t="s">
        <v>2257</v>
      </c>
      <c r="B1090" t="s">
        <v>150</v>
      </c>
      <c r="C1090" t="s">
        <v>2258</v>
      </c>
      <c r="D1090" t="s">
        <v>2259</v>
      </c>
      <c r="E1090">
        <v>12.9770904</v>
      </c>
      <c r="F1090">
        <v>76.831191799999999</v>
      </c>
      <c r="G1090">
        <v>7</v>
      </c>
    </row>
    <row r="1091" spans="1:7" x14ac:dyDescent="0.3">
      <c r="A1091" t="s">
        <v>993</v>
      </c>
      <c r="B1091" t="s">
        <v>150</v>
      </c>
      <c r="C1091" t="s">
        <v>994</v>
      </c>
      <c r="D1091" t="s">
        <v>995</v>
      </c>
      <c r="E1091">
        <v>14.441957</v>
      </c>
      <c r="F1091">
        <v>75.952060000000003</v>
      </c>
      <c r="G1091">
        <v>7</v>
      </c>
    </row>
    <row r="1092" spans="1:7" x14ac:dyDescent="0.3">
      <c r="A1092" t="s">
        <v>1027</v>
      </c>
      <c r="B1092" t="s">
        <v>150</v>
      </c>
      <c r="C1092" t="s">
        <v>1028</v>
      </c>
      <c r="D1092" t="s">
        <v>1029</v>
      </c>
      <c r="E1092">
        <v>13.344796000000001</v>
      </c>
      <c r="F1092">
        <v>77.080191999999997</v>
      </c>
      <c r="G1092">
        <v>7</v>
      </c>
    </row>
    <row r="1093" spans="1:7" x14ac:dyDescent="0.3">
      <c r="A1093" t="s">
        <v>1316</v>
      </c>
      <c r="B1093" t="s">
        <v>150</v>
      </c>
      <c r="C1093" t="s">
        <v>1317</v>
      </c>
      <c r="D1093" t="s">
        <v>1318</v>
      </c>
      <c r="E1093">
        <v>15.8191673</v>
      </c>
      <c r="F1093">
        <v>74.493774400000007</v>
      </c>
      <c r="G1093">
        <v>7</v>
      </c>
    </row>
    <row r="1094" spans="1:7" x14ac:dyDescent="0.3">
      <c r="A1094" t="s">
        <v>1340</v>
      </c>
      <c r="B1094" t="s">
        <v>150</v>
      </c>
      <c r="C1094" t="s">
        <v>1341</v>
      </c>
      <c r="D1094" t="s">
        <v>1342</v>
      </c>
      <c r="E1094">
        <v>77.597289000000004</v>
      </c>
      <c r="F1094">
        <v>12.889141</v>
      </c>
      <c r="G1094">
        <v>7</v>
      </c>
    </row>
    <row r="1095" spans="1:7" x14ac:dyDescent="0.3">
      <c r="A1095" t="s">
        <v>1404</v>
      </c>
      <c r="B1095" t="s">
        <v>150</v>
      </c>
      <c r="C1095" t="s">
        <v>1405</v>
      </c>
      <c r="D1095" t="s">
        <v>1406</v>
      </c>
      <c r="E1095">
        <v>13.924114700000001</v>
      </c>
      <c r="F1095">
        <v>76.640007699999998</v>
      </c>
      <c r="G1095">
        <v>7</v>
      </c>
    </row>
    <row r="1096" spans="1:7" x14ac:dyDescent="0.3">
      <c r="A1096" t="s">
        <v>1437</v>
      </c>
      <c r="B1096" t="s">
        <v>150</v>
      </c>
      <c r="C1096" t="s">
        <v>1438</v>
      </c>
      <c r="D1096" t="s">
        <v>1439</v>
      </c>
      <c r="E1096">
        <v>13.336628299999999</v>
      </c>
      <c r="F1096">
        <v>75.817878300000004</v>
      </c>
      <c r="G1096">
        <v>7</v>
      </c>
    </row>
    <row r="1097" spans="1:7" x14ac:dyDescent="0.3">
      <c r="A1097" t="s">
        <v>2260</v>
      </c>
      <c r="B1097" t="s">
        <v>150</v>
      </c>
      <c r="C1097" t="s">
        <v>2229</v>
      </c>
      <c r="D1097" t="s">
        <v>2261</v>
      </c>
      <c r="E1097">
        <v>12.995207600000001</v>
      </c>
      <c r="F1097">
        <v>76.079467359999995</v>
      </c>
      <c r="G1097">
        <v>7</v>
      </c>
    </row>
    <row r="1098" spans="1:7" x14ac:dyDescent="0.3">
      <c r="A1098" t="s">
        <v>2262</v>
      </c>
      <c r="B1098" t="s">
        <v>150</v>
      </c>
      <c r="C1098" t="s">
        <v>1341</v>
      </c>
      <c r="D1098" t="s">
        <v>2263</v>
      </c>
      <c r="E1098">
        <v>13.192133999999999</v>
      </c>
      <c r="F1098">
        <v>77.646585999999999</v>
      </c>
      <c r="G1098">
        <v>7</v>
      </c>
    </row>
    <row r="1099" spans="1:7" x14ac:dyDescent="0.3">
      <c r="A1099" t="s">
        <v>2264</v>
      </c>
      <c r="B1099" t="s">
        <v>150</v>
      </c>
      <c r="C1099" t="s">
        <v>2253</v>
      </c>
      <c r="D1099" t="s">
        <v>2265</v>
      </c>
      <c r="E1099">
        <v>12.909026580000001</v>
      </c>
      <c r="F1099">
        <v>74.835969719999994</v>
      </c>
      <c r="G1099">
        <v>7</v>
      </c>
    </row>
    <row r="1100" spans="1:7" x14ac:dyDescent="0.3">
      <c r="A1100" t="s">
        <v>2266</v>
      </c>
      <c r="B1100" t="s">
        <v>150</v>
      </c>
      <c r="C1100" t="s">
        <v>2267</v>
      </c>
      <c r="D1100" t="s">
        <v>2268</v>
      </c>
      <c r="E1100">
        <v>17.821825799999999</v>
      </c>
      <c r="F1100">
        <v>76.9393922</v>
      </c>
      <c r="G1100">
        <v>7</v>
      </c>
    </row>
    <row r="1101" spans="1:7" x14ac:dyDescent="0.3">
      <c r="A1101" t="s">
        <v>2002</v>
      </c>
      <c r="B1101" t="s">
        <v>386</v>
      </c>
      <c r="C1101" t="s">
        <v>2003</v>
      </c>
      <c r="D1101" t="s">
        <v>2004</v>
      </c>
      <c r="E1101">
        <v>9.4551751999999993</v>
      </c>
      <c r="F1101">
        <v>76.542559400000002</v>
      </c>
      <c r="G1101">
        <v>11</v>
      </c>
    </row>
    <row r="1102" spans="1:7" x14ac:dyDescent="0.3">
      <c r="A1102" t="s">
        <v>2008</v>
      </c>
      <c r="B1102" t="s">
        <v>386</v>
      </c>
      <c r="C1102" t="s">
        <v>2009</v>
      </c>
      <c r="D1102" t="s">
        <v>2010</v>
      </c>
      <c r="E1102">
        <v>11.2484737</v>
      </c>
      <c r="F1102">
        <v>75.833512200000001</v>
      </c>
      <c r="G1102">
        <v>11</v>
      </c>
    </row>
    <row r="1103" spans="1:7" x14ac:dyDescent="0.3">
      <c r="A1103" t="s">
        <v>2026</v>
      </c>
      <c r="B1103" t="s">
        <v>386</v>
      </c>
      <c r="C1103" t="s">
        <v>2027</v>
      </c>
      <c r="D1103" t="s">
        <v>2028</v>
      </c>
      <c r="E1103">
        <v>10.0243734</v>
      </c>
      <c r="F1103">
        <v>76.308867899999996</v>
      </c>
      <c r="G1103">
        <v>11</v>
      </c>
    </row>
    <row r="1104" spans="1:7" x14ac:dyDescent="0.3">
      <c r="A1104" t="s">
        <v>2035</v>
      </c>
      <c r="B1104" t="s">
        <v>386</v>
      </c>
      <c r="C1104" t="s">
        <v>2036</v>
      </c>
      <c r="D1104" t="s">
        <v>2037</v>
      </c>
      <c r="E1104">
        <v>10.223043499999999</v>
      </c>
      <c r="F1104">
        <v>76.375525499999995</v>
      </c>
      <c r="G1104">
        <v>11</v>
      </c>
    </row>
    <row r="1105" spans="1:7" x14ac:dyDescent="0.3">
      <c r="A1105" t="s">
        <v>2041</v>
      </c>
      <c r="B1105" t="s">
        <v>386</v>
      </c>
      <c r="C1105" t="s">
        <v>2042</v>
      </c>
      <c r="D1105" t="s">
        <v>2043</v>
      </c>
      <c r="E1105">
        <v>10.5955128</v>
      </c>
      <c r="F1105">
        <v>76.044332199999999</v>
      </c>
      <c r="G1105">
        <v>11</v>
      </c>
    </row>
    <row r="1106" spans="1:7" x14ac:dyDescent="0.3">
      <c r="A1106" t="s">
        <v>2044</v>
      </c>
      <c r="B1106" t="s">
        <v>386</v>
      </c>
      <c r="C1106" t="s">
        <v>2027</v>
      </c>
      <c r="D1106" t="s">
        <v>2045</v>
      </c>
      <c r="E1106">
        <v>10.011133299999999</v>
      </c>
      <c r="F1106">
        <v>76.312371400000004</v>
      </c>
      <c r="G1106">
        <v>11</v>
      </c>
    </row>
    <row r="1107" spans="1:7" x14ac:dyDescent="0.3">
      <c r="A1107" t="s">
        <v>1624</v>
      </c>
      <c r="B1107" t="s">
        <v>386</v>
      </c>
      <c r="C1107" t="s">
        <v>1435</v>
      </c>
      <c r="D1107" t="s">
        <v>1906</v>
      </c>
      <c r="E1107">
        <v>9.9771640000000001</v>
      </c>
      <c r="F1107">
        <v>76.277770000000004</v>
      </c>
      <c r="G1107">
        <v>8</v>
      </c>
    </row>
    <row r="1108" spans="1:7" x14ac:dyDescent="0.3">
      <c r="A1108" t="s">
        <v>1908</v>
      </c>
      <c r="B1108" t="s">
        <v>386</v>
      </c>
      <c r="C1108" t="s">
        <v>1909</v>
      </c>
      <c r="D1108" t="s">
        <v>1910</v>
      </c>
      <c r="E1108">
        <v>9.6362799999999993</v>
      </c>
      <c r="F1108">
        <v>76.3352</v>
      </c>
      <c r="G1108">
        <v>8</v>
      </c>
    </row>
    <row r="1109" spans="1:7" x14ac:dyDescent="0.3">
      <c r="A1109" t="s">
        <v>1911</v>
      </c>
      <c r="B1109" t="s">
        <v>386</v>
      </c>
      <c r="C1109" t="s">
        <v>1912</v>
      </c>
      <c r="D1109" t="s">
        <v>1913</v>
      </c>
      <c r="E1109">
        <v>8.4811589999999999</v>
      </c>
      <c r="F1109">
        <v>76.912456000000006</v>
      </c>
      <c r="G1109">
        <v>8</v>
      </c>
    </row>
    <row r="1110" spans="1:7" x14ac:dyDescent="0.3">
      <c r="A1110" t="s">
        <v>1914</v>
      </c>
      <c r="B1110" t="s">
        <v>386</v>
      </c>
      <c r="C1110" t="s">
        <v>1912</v>
      </c>
      <c r="D1110" t="s">
        <v>1810</v>
      </c>
      <c r="E1110">
        <v>8.4927752000000005</v>
      </c>
      <c r="F1110">
        <v>76.957295599999995</v>
      </c>
      <c r="G1110">
        <v>8</v>
      </c>
    </row>
    <row r="1111" spans="1:7" x14ac:dyDescent="0.3">
      <c r="A1111" t="s">
        <v>1915</v>
      </c>
      <c r="B1111" t="s">
        <v>386</v>
      </c>
      <c r="C1111" t="s">
        <v>1912</v>
      </c>
      <c r="D1111" t="s">
        <v>1917</v>
      </c>
      <c r="E1111">
        <v>8.4600160169999992</v>
      </c>
      <c r="F1111">
        <v>77.004024720000004</v>
      </c>
      <c r="G1111">
        <v>17</v>
      </c>
    </row>
    <row r="1112" spans="1:7" x14ac:dyDescent="0.3">
      <c r="A1112" t="s">
        <v>1918</v>
      </c>
      <c r="B1112" t="s">
        <v>386</v>
      </c>
      <c r="C1112" t="s">
        <v>1912</v>
      </c>
      <c r="D1112" t="s">
        <v>1919</v>
      </c>
      <c r="E1112">
        <v>8.8929527910000008</v>
      </c>
      <c r="F1112">
        <v>76.578787329999997</v>
      </c>
      <c r="G1112">
        <v>17</v>
      </c>
    </row>
    <row r="1113" spans="1:7" x14ac:dyDescent="0.3">
      <c r="A1113" t="s">
        <v>1920</v>
      </c>
      <c r="B1113" t="s">
        <v>386</v>
      </c>
      <c r="C1113" t="s">
        <v>1912</v>
      </c>
      <c r="D1113" t="s">
        <v>1921</v>
      </c>
      <c r="E1113">
        <v>10.00552573</v>
      </c>
      <c r="F1113">
        <v>76.305044800000005</v>
      </c>
      <c r="G1113">
        <v>17</v>
      </c>
    </row>
    <row r="1114" spans="1:7" x14ac:dyDescent="0.3">
      <c r="A1114" t="s">
        <v>1922</v>
      </c>
      <c r="B1114" t="s">
        <v>386</v>
      </c>
      <c r="C1114" t="s">
        <v>1912</v>
      </c>
      <c r="D1114" t="s">
        <v>1923</v>
      </c>
      <c r="E1114">
        <v>10.56052307</v>
      </c>
      <c r="F1114">
        <v>76.217240799999999</v>
      </c>
      <c r="G1114">
        <v>17</v>
      </c>
    </row>
    <row r="1115" spans="1:7" x14ac:dyDescent="0.3">
      <c r="A1115" t="s">
        <v>1924</v>
      </c>
      <c r="B1115" t="s">
        <v>386</v>
      </c>
      <c r="C1115" t="s">
        <v>1912</v>
      </c>
      <c r="D1115" t="s">
        <v>1925</v>
      </c>
      <c r="E1115">
        <v>11.20838069</v>
      </c>
      <c r="F1115">
        <v>75.808485869999998</v>
      </c>
      <c r="G1115">
        <v>17</v>
      </c>
    </row>
    <row r="1116" spans="1:7" x14ac:dyDescent="0.3">
      <c r="A1116" t="s">
        <v>1926</v>
      </c>
      <c r="B1116" t="s">
        <v>386</v>
      </c>
      <c r="C1116" t="s">
        <v>1912</v>
      </c>
      <c r="D1116" t="s">
        <v>1927</v>
      </c>
      <c r="E1116">
        <v>11.86893912</v>
      </c>
      <c r="F1116">
        <v>75.403165729999998</v>
      </c>
      <c r="G1116">
        <v>17</v>
      </c>
    </row>
    <row r="1117" spans="1:7" x14ac:dyDescent="0.3">
      <c r="A1117" t="s">
        <v>2049</v>
      </c>
      <c r="B1117" t="s">
        <v>386</v>
      </c>
      <c r="C1117" t="s">
        <v>2050</v>
      </c>
      <c r="D1117" t="s">
        <v>2051</v>
      </c>
      <c r="E1117">
        <v>10.855946100000001</v>
      </c>
      <c r="F1117">
        <v>76.862530899999996</v>
      </c>
      <c r="G1117">
        <v>11</v>
      </c>
    </row>
    <row r="1118" spans="1:7" x14ac:dyDescent="0.3">
      <c r="A1118" t="s">
        <v>1830</v>
      </c>
      <c r="B1118" t="s">
        <v>386</v>
      </c>
      <c r="C1118" t="s">
        <v>1831</v>
      </c>
      <c r="D1118" t="s">
        <v>1832</v>
      </c>
      <c r="E1118">
        <v>10.734774850000001</v>
      </c>
      <c r="F1118">
        <v>76.048543989999999</v>
      </c>
      <c r="G1118">
        <v>19</v>
      </c>
    </row>
    <row r="1119" spans="1:7" x14ac:dyDescent="0.3">
      <c r="A1119" t="s">
        <v>1976</v>
      </c>
      <c r="B1119" t="s">
        <v>386</v>
      </c>
      <c r="C1119" t="s">
        <v>1977</v>
      </c>
      <c r="D1119" t="s">
        <v>1978</v>
      </c>
      <c r="E1119">
        <v>10.887677</v>
      </c>
      <c r="F1119">
        <v>76.189594999999997</v>
      </c>
      <c r="G1119">
        <v>19</v>
      </c>
    </row>
    <row r="1120" spans="1:7" x14ac:dyDescent="0.3">
      <c r="A1120" t="s">
        <v>2269</v>
      </c>
      <c r="B1120" t="s">
        <v>386</v>
      </c>
      <c r="C1120" t="s">
        <v>1435</v>
      </c>
      <c r="D1120" t="s">
        <v>2270</v>
      </c>
      <c r="E1120">
        <v>10.077280999999999</v>
      </c>
      <c r="F1120">
        <v>76.337655999999996</v>
      </c>
      <c r="G1120">
        <v>7</v>
      </c>
    </row>
    <row r="1121" spans="1:7" x14ac:dyDescent="0.3">
      <c r="A1121" t="s">
        <v>2271</v>
      </c>
      <c r="B1121" t="s">
        <v>386</v>
      </c>
      <c r="C1121" t="s">
        <v>2009</v>
      </c>
      <c r="D1121" t="s">
        <v>2272</v>
      </c>
      <c r="E1121">
        <v>11.282287</v>
      </c>
      <c r="F1121">
        <v>75.770054000000002</v>
      </c>
      <c r="G1121">
        <v>7</v>
      </c>
    </row>
    <row r="1122" spans="1:7" x14ac:dyDescent="0.3">
      <c r="A1122" t="s">
        <v>2273</v>
      </c>
      <c r="B1122" t="s">
        <v>386</v>
      </c>
      <c r="C1122" t="s">
        <v>2009</v>
      </c>
      <c r="D1122" t="s">
        <v>2274</v>
      </c>
      <c r="E1122">
        <v>11.217000000000001</v>
      </c>
      <c r="F1122">
        <v>75.858009999999993</v>
      </c>
      <c r="G1122">
        <v>7</v>
      </c>
    </row>
    <row r="1123" spans="1:7" x14ac:dyDescent="0.3">
      <c r="A1123" t="s">
        <v>2275</v>
      </c>
      <c r="B1123" t="s">
        <v>386</v>
      </c>
      <c r="C1123" t="s">
        <v>2276</v>
      </c>
      <c r="D1123" t="s">
        <v>2277</v>
      </c>
      <c r="E1123">
        <v>10.245487000000001</v>
      </c>
      <c r="F1123">
        <v>76.369589000000005</v>
      </c>
      <c r="G1123">
        <v>7</v>
      </c>
    </row>
    <row r="1124" spans="1:7" x14ac:dyDescent="0.3">
      <c r="A1124" t="s">
        <v>2278</v>
      </c>
      <c r="B1124" t="s">
        <v>386</v>
      </c>
      <c r="C1124" t="s">
        <v>1435</v>
      </c>
      <c r="D1124" t="s">
        <v>2279</v>
      </c>
      <c r="E1124">
        <v>10.039145</v>
      </c>
      <c r="F1124">
        <v>76.315573999999998</v>
      </c>
      <c r="G1124">
        <v>7</v>
      </c>
    </row>
    <row r="1125" spans="1:7" x14ac:dyDescent="0.3">
      <c r="A1125" t="s">
        <v>2280</v>
      </c>
      <c r="B1125" t="s">
        <v>386</v>
      </c>
      <c r="C1125" t="s">
        <v>1807</v>
      </c>
      <c r="D1125" t="s">
        <v>2281</v>
      </c>
      <c r="E1125">
        <v>10.540817000000001</v>
      </c>
      <c r="F1125">
        <v>76.189423000000005</v>
      </c>
      <c r="G1125">
        <v>7</v>
      </c>
    </row>
    <row r="1126" spans="1:7" x14ac:dyDescent="0.3">
      <c r="A1126" t="s">
        <v>2282</v>
      </c>
      <c r="B1126" t="s">
        <v>386</v>
      </c>
      <c r="C1126" t="s">
        <v>2283</v>
      </c>
      <c r="D1126" t="s">
        <v>2284</v>
      </c>
      <c r="E1126">
        <v>11.83301</v>
      </c>
      <c r="F1126">
        <v>75.426429999999996</v>
      </c>
      <c r="G1126">
        <v>7</v>
      </c>
    </row>
    <row r="1127" spans="1:7" x14ac:dyDescent="0.3">
      <c r="A1127" t="s">
        <v>2285</v>
      </c>
      <c r="B1127" t="s">
        <v>386</v>
      </c>
      <c r="C1127" t="s">
        <v>1647</v>
      </c>
      <c r="D1127" t="s">
        <v>2286</v>
      </c>
      <c r="E1127">
        <v>8.8738600000000005</v>
      </c>
      <c r="F1127">
        <v>76.641120000000001</v>
      </c>
      <c r="G1127">
        <v>7</v>
      </c>
    </row>
    <row r="1128" spans="1:7" x14ac:dyDescent="0.3">
      <c r="A1128" t="s">
        <v>1024</v>
      </c>
      <c r="B1128" t="s">
        <v>386</v>
      </c>
      <c r="C1128" t="s">
        <v>1025</v>
      </c>
      <c r="D1128" t="s">
        <v>1026</v>
      </c>
      <c r="E1128">
        <v>12.51382323</v>
      </c>
      <c r="F1128">
        <v>75.027131729999994</v>
      </c>
      <c r="G1128">
        <v>7</v>
      </c>
    </row>
    <row r="1129" spans="1:7" x14ac:dyDescent="0.3">
      <c r="A1129" t="s">
        <v>2287</v>
      </c>
      <c r="B1129" t="s">
        <v>386</v>
      </c>
      <c r="C1129" t="s">
        <v>1435</v>
      </c>
      <c r="D1129" t="s">
        <v>2288</v>
      </c>
      <c r="E1129">
        <v>9.9685000000000006</v>
      </c>
      <c r="F1129">
        <v>76.312878999999995</v>
      </c>
      <c r="G1129">
        <v>7</v>
      </c>
    </row>
    <row r="1130" spans="1:7" x14ac:dyDescent="0.3">
      <c r="A1130" t="s">
        <v>2289</v>
      </c>
      <c r="B1130" t="s">
        <v>386</v>
      </c>
      <c r="C1130" t="s">
        <v>2290</v>
      </c>
      <c r="D1130" t="s">
        <v>2291</v>
      </c>
      <c r="E1130">
        <v>8.3901979999999998</v>
      </c>
      <c r="F1130">
        <v>76.976355999999996</v>
      </c>
      <c r="G1130">
        <v>7</v>
      </c>
    </row>
    <row r="1131" spans="1:7" x14ac:dyDescent="0.3">
      <c r="A1131" t="s">
        <v>2292</v>
      </c>
      <c r="B1131" t="s">
        <v>386</v>
      </c>
      <c r="C1131" t="s">
        <v>1807</v>
      </c>
      <c r="D1131" t="s">
        <v>2293</v>
      </c>
      <c r="E1131">
        <v>10.596515999999999</v>
      </c>
      <c r="F1131">
        <v>76.042429999999996</v>
      </c>
      <c r="G1131">
        <v>7</v>
      </c>
    </row>
    <row r="1132" spans="1:7" x14ac:dyDescent="0.3">
      <c r="A1132" t="s">
        <v>2294</v>
      </c>
      <c r="B1132" t="s">
        <v>386</v>
      </c>
      <c r="C1132" t="s">
        <v>1435</v>
      </c>
      <c r="D1132" t="s">
        <v>2295</v>
      </c>
      <c r="E1132">
        <v>9.9261125999999997</v>
      </c>
      <c r="F1132">
        <v>76.317879000000005</v>
      </c>
      <c r="G1132">
        <v>7</v>
      </c>
    </row>
    <row r="1133" spans="1:7" x14ac:dyDescent="0.3">
      <c r="A1133" t="s">
        <v>1434</v>
      </c>
      <c r="B1133" t="s">
        <v>386</v>
      </c>
      <c r="C1133" t="s">
        <v>1435</v>
      </c>
      <c r="D1133" t="s">
        <v>1436</v>
      </c>
      <c r="E1133">
        <v>9.9644344999999994</v>
      </c>
      <c r="F1133">
        <v>76.318495600000006</v>
      </c>
      <c r="G1133">
        <v>7</v>
      </c>
    </row>
    <row r="1134" spans="1:7" x14ac:dyDescent="0.3">
      <c r="A1134" t="s">
        <v>1492</v>
      </c>
      <c r="B1134" t="s">
        <v>386</v>
      </c>
      <c r="C1134" t="s">
        <v>1493</v>
      </c>
      <c r="D1134" t="s">
        <v>1494</v>
      </c>
      <c r="E1134">
        <v>9.5802797000000002</v>
      </c>
      <c r="F1134">
        <v>76.970185900000004</v>
      </c>
      <c r="G1134">
        <v>7</v>
      </c>
    </row>
    <row r="1135" spans="1:7" x14ac:dyDescent="0.3">
      <c r="A1135" t="s">
        <v>2296</v>
      </c>
      <c r="B1135" t="s">
        <v>386</v>
      </c>
      <c r="C1135" t="s">
        <v>2297</v>
      </c>
      <c r="D1135" t="s">
        <v>2298</v>
      </c>
      <c r="E1135">
        <v>9.5447482000000008</v>
      </c>
      <c r="F1135">
        <v>76.877561</v>
      </c>
      <c r="G1135">
        <v>7</v>
      </c>
    </row>
    <row r="1136" spans="1:7" x14ac:dyDescent="0.3">
      <c r="A1136" t="s">
        <v>2299</v>
      </c>
      <c r="B1136" t="s">
        <v>386</v>
      </c>
      <c r="C1136" t="s">
        <v>2290</v>
      </c>
      <c r="D1136" t="s">
        <v>2300</v>
      </c>
      <c r="E1136">
        <v>8.5615918999999998</v>
      </c>
      <c r="F1136">
        <v>76.876393300000004</v>
      </c>
      <c r="G1136">
        <v>7</v>
      </c>
    </row>
    <row r="1137" spans="1:7" x14ac:dyDescent="0.3">
      <c r="A1137" t="s">
        <v>1431</v>
      </c>
      <c r="B1137" t="s">
        <v>1435</v>
      </c>
      <c r="C1137" t="s">
        <v>1432</v>
      </c>
      <c r="D1137" t="s">
        <v>1433</v>
      </c>
      <c r="E1137">
        <v>10.099967100000001</v>
      </c>
      <c r="F1137">
        <v>76.347684099999995</v>
      </c>
      <c r="G1137">
        <v>7</v>
      </c>
    </row>
    <row r="1138" spans="1:7" x14ac:dyDescent="0.3">
      <c r="A1138" t="s">
        <v>2301</v>
      </c>
      <c r="B1138" t="s">
        <v>2302</v>
      </c>
      <c r="C1138" t="s">
        <v>68</v>
      </c>
      <c r="D1138" t="s">
        <v>2303</v>
      </c>
      <c r="E1138">
        <v>22.567599999999999</v>
      </c>
      <c r="F1138">
        <v>71.774100000000004</v>
      </c>
      <c r="G1138">
        <v>24</v>
      </c>
    </row>
    <row r="1139" spans="1:7" x14ac:dyDescent="0.3">
      <c r="A1139" t="s">
        <v>1989</v>
      </c>
      <c r="B1139" t="s">
        <v>511</v>
      </c>
      <c r="C1139" t="s">
        <v>1990</v>
      </c>
      <c r="D1139" t="s">
        <v>1991</v>
      </c>
      <c r="E1139">
        <v>23.24006</v>
      </c>
      <c r="F1139">
        <v>75.781220000000005</v>
      </c>
      <c r="G1139">
        <v>13</v>
      </c>
    </row>
    <row r="1140" spans="1:7" x14ac:dyDescent="0.3">
      <c r="A1140" t="s">
        <v>2304</v>
      </c>
      <c r="B1140" t="s">
        <v>511</v>
      </c>
      <c r="C1140" t="s">
        <v>1136</v>
      </c>
      <c r="D1140" t="s">
        <v>2305</v>
      </c>
      <c r="E1140">
        <v>22.730722499999999</v>
      </c>
      <c r="F1140">
        <v>75.8893731</v>
      </c>
      <c r="G1140">
        <v>7</v>
      </c>
    </row>
    <row r="1141" spans="1:7" x14ac:dyDescent="0.3">
      <c r="A1141" t="s">
        <v>983</v>
      </c>
      <c r="B1141" t="s">
        <v>511</v>
      </c>
      <c r="C1141" t="s">
        <v>984</v>
      </c>
      <c r="D1141" t="s">
        <v>985</v>
      </c>
      <c r="E1141">
        <v>23.259005999999999</v>
      </c>
      <c r="F1141">
        <v>77.456768999999994</v>
      </c>
      <c r="G1141">
        <v>7</v>
      </c>
    </row>
    <row r="1142" spans="1:7" x14ac:dyDescent="0.3">
      <c r="A1142" t="s">
        <v>2306</v>
      </c>
      <c r="B1142" t="s">
        <v>511</v>
      </c>
      <c r="C1142" t="s">
        <v>984</v>
      </c>
      <c r="D1142" t="s">
        <v>2307</v>
      </c>
      <c r="E1142">
        <v>23.182403999999998</v>
      </c>
      <c r="F1142">
        <v>77.432496</v>
      </c>
      <c r="G1142">
        <v>7</v>
      </c>
    </row>
    <row r="1143" spans="1:7" x14ac:dyDescent="0.3">
      <c r="A1143" t="s">
        <v>2308</v>
      </c>
      <c r="B1143" t="s">
        <v>2309</v>
      </c>
      <c r="C1143" t="s">
        <v>119</v>
      </c>
      <c r="D1143" t="s">
        <v>2310</v>
      </c>
      <c r="E1143">
        <v>19.142024599999999</v>
      </c>
      <c r="F1143">
        <v>72.937754999999996</v>
      </c>
      <c r="G1143">
        <v>7</v>
      </c>
    </row>
    <row r="1144" spans="1:7" x14ac:dyDescent="0.3">
      <c r="A1144" t="s">
        <v>1302</v>
      </c>
      <c r="B1144" t="s">
        <v>2309</v>
      </c>
      <c r="C1144" t="s">
        <v>1206</v>
      </c>
      <c r="D1144" t="s">
        <v>1303</v>
      </c>
      <c r="E1144">
        <v>18.956318799999998</v>
      </c>
      <c r="F1144">
        <v>73.162650600000006</v>
      </c>
      <c r="G1144">
        <v>7</v>
      </c>
    </row>
    <row r="1145" spans="1:7" x14ac:dyDescent="0.3">
      <c r="A1145" t="s">
        <v>1460</v>
      </c>
      <c r="B1145" t="s">
        <v>2309</v>
      </c>
      <c r="C1145" t="s">
        <v>119</v>
      </c>
      <c r="D1145" t="s">
        <v>1461</v>
      </c>
      <c r="E1145">
        <v>19.106317499999999</v>
      </c>
      <c r="F1145">
        <v>72.860321900000002</v>
      </c>
      <c r="G1145">
        <v>7</v>
      </c>
    </row>
    <row r="1146" spans="1:7" x14ac:dyDescent="0.3">
      <c r="A1146" t="s">
        <v>1462</v>
      </c>
      <c r="B1146" t="s">
        <v>2309</v>
      </c>
      <c r="C1146" t="s">
        <v>119</v>
      </c>
      <c r="D1146" t="s">
        <v>2311</v>
      </c>
      <c r="E1146">
        <v>19.114241499999999</v>
      </c>
      <c r="F1146">
        <v>72.851876599999997</v>
      </c>
      <c r="G1146">
        <v>7</v>
      </c>
    </row>
    <row r="1147" spans="1:7" x14ac:dyDescent="0.3">
      <c r="A1147" t="s">
        <v>1464</v>
      </c>
      <c r="B1147" t="s">
        <v>2309</v>
      </c>
      <c r="C1147" t="s">
        <v>119</v>
      </c>
      <c r="D1147" t="s">
        <v>1465</v>
      </c>
      <c r="E1147">
        <v>18.924121400000001</v>
      </c>
      <c r="F1147">
        <v>72.832815499999995</v>
      </c>
      <c r="G1147">
        <v>7</v>
      </c>
    </row>
    <row r="1148" spans="1:7" x14ac:dyDescent="0.3">
      <c r="A1148" t="s">
        <v>1842</v>
      </c>
      <c r="B1148" t="s">
        <v>41</v>
      </c>
      <c r="C1148" t="s">
        <v>42</v>
      </c>
      <c r="D1148" t="s">
        <v>1843</v>
      </c>
      <c r="E1148">
        <v>18.621901999999999</v>
      </c>
      <c r="F1148">
        <v>73.824969999999993</v>
      </c>
      <c r="G1148">
        <v>18</v>
      </c>
    </row>
    <row r="1149" spans="1:7" x14ac:dyDescent="0.3">
      <c r="A1149" t="s">
        <v>1844</v>
      </c>
      <c r="B1149" t="s">
        <v>41</v>
      </c>
      <c r="C1149" t="s">
        <v>1845</v>
      </c>
      <c r="D1149" t="s">
        <v>1846</v>
      </c>
      <c r="E1149">
        <v>18.793453</v>
      </c>
      <c r="F1149">
        <v>73.297218999999998</v>
      </c>
      <c r="G1149">
        <v>18</v>
      </c>
    </row>
    <row r="1150" spans="1:7" x14ac:dyDescent="0.3">
      <c r="A1150" t="s">
        <v>1850</v>
      </c>
      <c r="B1150" t="s">
        <v>41</v>
      </c>
      <c r="C1150" t="s">
        <v>1851</v>
      </c>
      <c r="D1150" t="s">
        <v>1852</v>
      </c>
      <c r="E1150">
        <v>19.12</v>
      </c>
      <c r="F1150">
        <v>72.914100000000005</v>
      </c>
      <c r="G1150">
        <v>24</v>
      </c>
    </row>
    <row r="1151" spans="1:7" x14ac:dyDescent="0.3">
      <c r="A1151" t="s">
        <v>1853</v>
      </c>
      <c r="B1151" t="s">
        <v>41</v>
      </c>
      <c r="C1151" t="s">
        <v>1851</v>
      </c>
      <c r="D1151" t="s">
        <v>1854</v>
      </c>
      <c r="E1151">
        <v>20.2212</v>
      </c>
      <c r="F1151">
        <v>72.881200000000007</v>
      </c>
      <c r="G1151">
        <v>24</v>
      </c>
    </row>
    <row r="1152" spans="1:7" x14ac:dyDescent="0.3">
      <c r="A1152" t="s">
        <v>1855</v>
      </c>
      <c r="B1152" t="s">
        <v>68</v>
      </c>
      <c r="C1152" t="s">
        <v>1856</v>
      </c>
      <c r="D1152" t="s">
        <v>1857</v>
      </c>
      <c r="E1152">
        <v>20.944600000000001</v>
      </c>
      <c r="F1152">
        <v>72.962800000000001</v>
      </c>
      <c r="G1152">
        <v>24</v>
      </c>
    </row>
    <row r="1153" spans="1:7" x14ac:dyDescent="0.3">
      <c r="A1153" t="s">
        <v>1955</v>
      </c>
      <c r="B1153" t="s">
        <v>41</v>
      </c>
      <c r="C1153" t="s">
        <v>1956</v>
      </c>
      <c r="D1153" t="s">
        <v>1957</v>
      </c>
      <c r="E1153">
        <v>16.6869187</v>
      </c>
      <c r="F1153">
        <v>74.270380500000002</v>
      </c>
      <c r="G1153">
        <v>21</v>
      </c>
    </row>
    <row r="1154" spans="1:7" x14ac:dyDescent="0.3">
      <c r="A1154" t="s">
        <v>2312</v>
      </c>
      <c r="B1154" t="s">
        <v>41</v>
      </c>
      <c r="C1154" t="s">
        <v>1163</v>
      </c>
      <c r="D1154" t="s">
        <v>2313</v>
      </c>
      <c r="E1154">
        <v>17.45608</v>
      </c>
      <c r="F1154">
        <v>78.446560000000005</v>
      </c>
      <c r="G1154">
        <v>7</v>
      </c>
    </row>
    <row r="1155" spans="1:7" x14ac:dyDescent="0.3">
      <c r="A1155" t="s">
        <v>2314</v>
      </c>
      <c r="B1155" t="s">
        <v>41</v>
      </c>
      <c r="C1155" t="s">
        <v>1163</v>
      </c>
      <c r="D1155" t="s">
        <v>2315</v>
      </c>
      <c r="E1155">
        <v>17.364899999999999</v>
      </c>
      <c r="F1155">
        <v>78.557469999999995</v>
      </c>
      <c r="G1155">
        <v>7</v>
      </c>
    </row>
    <row r="1156" spans="1:7" x14ac:dyDescent="0.3">
      <c r="A1156" t="s">
        <v>2316</v>
      </c>
      <c r="B1156" t="s">
        <v>41</v>
      </c>
      <c r="C1156" t="s">
        <v>119</v>
      </c>
      <c r="D1156" t="s">
        <v>2317</v>
      </c>
      <c r="E1156">
        <v>19.11599</v>
      </c>
      <c r="F1156">
        <v>72.850179999999995</v>
      </c>
      <c r="G1156">
        <v>7</v>
      </c>
    </row>
    <row r="1157" spans="1:7" x14ac:dyDescent="0.3">
      <c r="A1157" t="s">
        <v>2318</v>
      </c>
      <c r="B1157" t="s">
        <v>41</v>
      </c>
      <c r="C1157" t="s">
        <v>119</v>
      </c>
      <c r="D1157" t="s">
        <v>2319</v>
      </c>
      <c r="E1157">
        <v>19.130520000000001</v>
      </c>
      <c r="F1157">
        <v>72.830560000000006</v>
      </c>
      <c r="G1157">
        <v>7</v>
      </c>
    </row>
    <row r="1158" spans="1:7" x14ac:dyDescent="0.3">
      <c r="A1158" t="s">
        <v>2320</v>
      </c>
      <c r="B1158" t="s">
        <v>41</v>
      </c>
      <c r="C1158" t="s">
        <v>119</v>
      </c>
      <c r="D1158" t="s">
        <v>2321</v>
      </c>
      <c r="E1158">
        <v>19.14207</v>
      </c>
      <c r="F1158">
        <v>72.832409999999996</v>
      </c>
      <c r="G1158">
        <v>7</v>
      </c>
    </row>
    <row r="1159" spans="1:7" x14ac:dyDescent="0.3">
      <c r="A1159" t="s">
        <v>2322</v>
      </c>
      <c r="B1159" t="s">
        <v>41</v>
      </c>
      <c r="C1159" t="s">
        <v>166</v>
      </c>
      <c r="D1159" t="s">
        <v>2323</v>
      </c>
      <c r="E1159">
        <v>19.197199999999999</v>
      </c>
      <c r="F1159">
        <v>72.963210000000004</v>
      </c>
      <c r="G1159">
        <v>7</v>
      </c>
    </row>
    <row r="1160" spans="1:7" x14ac:dyDescent="0.3">
      <c r="A1160" t="s">
        <v>2324</v>
      </c>
      <c r="B1160" t="s">
        <v>41</v>
      </c>
      <c r="C1160" t="s">
        <v>119</v>
      </c>
      <c r="D1160" t="s">
        <v>2325</v>
      </c>
      <c r="E1160">
        <v>19.095268999999998</v>
      </c>
      <c r="F1160">
        <v>72.926195000000007</v>
      </c>
      <c r="G1160">
        <v>7</v>
      </c>
    </row>
    <row r="1161" spans="1:7" x14ac:dyDescent="0.3">
      <c r="A1161" t="s">
        <v>2326</v>
      </c>
      <c r="B1161" t="s">
        <v>18</v>
      </c>
      <c r="C1161" t="s">
        <v>1259</v>
      </c>
      <c r="D1161" t="s">
        <v>2327</v>
      </c>
      <c r="E1161">
        <v>28.674579999999999</v>
      </c>
      <c r="F1161">
        <v>77.42895</v>
      </c>
      <c r="G1161">
        <v>7</v>
      </c>
    </row>
    <row r="1162" spans="1:7" x14ac:dyDescent="0.3">
      <c r="A1162" t="s">
        <v>2328</v>
      </c>
      <c r="B1162" t="s">
        <v>18</v>
      </c>
      <c r="C1162" t="s">
        <v>2329</v>
      </c>
      <c r="D1162" t="s">
        <v>2330</v>
      </c>
      <c r="E1162">
        <v>28.41873</v>
      </c>
      <c r="F1162">
        <v>77.311139999999995</v>
      </c>
      <c r="G1162">
        <v>7</v>
      </c>
    </row>
    <row r="1163" spans="1:7" x14ac:dyDescent="0.3">
      <c r="A1163" t="s">
        <v>2331</v>
      </c>
      <c r="B1163" t="s">
        <v>2131</v>
      </c>
      <c r="C1163" t="s">
        <v>45</v>
      </c>
      <c r="D1163" t="s">
        <v>2332</v>
      </c>
      <c r="E1163">
        <v>28.60585</v>
      </c>
      <c r="F1163">
        <v>77.081329999999994</v>
      </c>
      <c r="G1163">
        <v>7</v>
      </c>
    </row>
    <row r="1164" spans="1:7" x14ac:dyDescent="0.3">
      <c r="A1164" t="s">
        <v>2333</v>
      </c>
      <c r="B1164" t="s">
        <v>41</v>
      </c>
      <c r="C1164" t="s">
        <v>42</v>
      </c>
      <c r="D1164" t="s">
        <v>2334</v>
      </c>
      <c r="E1164">
        <v>18.573910000000001</v>
      </c>
      <c r="F1164">
        <v>73.9589</v>
      </c>
      <c r="G1164">
        <v>7</v>
      </c>
    </row>
    <row r="1165" spans="1:7" x14ac:dyDescent="0.3">
      <c r="A1165" t="s">
        <v>2335</v>
      </c>
      <c r="B1165" t="s">
        <v>41</v>
      </c>
      <c r="C1165" t="s">
        <v>42</v>
      </c>
      <c r="D1165" t="s">
        <v>2336</v>
      </c>
      <c r="E1165">
        <v>18.623429999999999</v>
      </c>
      <c r="F1165">
        <v>73.745679999999993</v>
      </c>
      <c r="G1165">
        <v>7</v>
      </c>
    </row>
    <row r="1166" spans="1:7" x14ac:dyDescent="0.3">
      <c r="A1166" t="s">
        <v>2337</v>
      </c>
      <c r="B1166" t="s">
        <v>41</v>
      </c>
      <c r="C1166" t="s">
        <v>42</v>
      </c>
      <c r="D1166" t="s">
        <v>2338</v>
      </c>
      <c r="E1166">
        <v>18.55368</v>
      </c>
      <c r="F1166">
        <v>73.806960000000004</v>
      </c>
      <c r="G1166">
        <v>7</v>
      </c>
    </row>
    <row r="1167" spans="1:7" x14ac:dyDescent="0.3">
      <c r="A1167" t="s">
        <v>2339</v>
      </c>
      <c r="B1167" t="s">
        <v>41</v>
      </c>
      <c r="C1167" t="s">
        <v>119</v>
      </c>
      <c r="D1167" t="s">
        <v>2340</v>
      </c>
      <c r="E1167">
        <v>19.092565499999999</v>
      </c>
      <c r="F1167">
        <v>72.922351399999997</v>
      </c>
      <c r="G1167">
        <v>7</v>
      </c>
    </row>
    <row r="1168" spans="1:7" x14ac:dyDescent="0.3">
      <c r="A1168" t="s">
        <v>2341</v>
      </c>
      <c r="B1168" t="s">
        <v>41</v>
      </c>
      <c r="C1168" t="s">
        <v>166</v>
      </c>
      <c r="D1168" t="s">
        <v>2342</v>
      </c>
      <c r="E1168">
        <v>19.277922</v>
      </c>
      <c r="F1168">
        <v>72.880256000000003</v>
      </c>
      <c r="G1168">
        <v>7</v>
      </c>
    </row>
    <row r="1169" spans="1:7" x14ac:dyDescent="0.3">
      <c r="A1169" t="s">
        <v>2343</v>
      </c>
      <c r="B1169" t="s">
        <v>41</v>
      </c>
      <c r="C1169" t="s">
        <v>119</v>
      </c>
      <c r="D1169" t="s">
        <v>2344</v>
      </c>
      <c r="E1169">
        <v>18.96555</v>
      </c>
      <c r="F1169">
        <v>72.803460000000001</v>
      </c>
      <c r="G1169">
        <v>7</v>
      </c>
    </row>
    <row r="1170" spans="1:7" x14ac:dyDescent="0.3">
      <c r="A1170" t="s">
        <v>2345</v>
      </c>
      <c r="B1170" t="s">
        <v>41</v>
      </c>
      <c r="C1170" t="s">
        <v>119</v>
      </c>
      <c r="D1170" t="s">
        <v>2346</v>
      </c>
      <c r="E1170">
        <v>19.01296</v>
      </c>
      <c r="F1170">
        <v>72.826520000000002</v>
      </c>
      <c r="G1170">
        <v>7</v>
      </c>
    </row>
    <row r="1171" spans="1:7" x14ac:dyDescent="0.3">
      <c r="A1171" t="s">
        <v>2347</v>
      </c>
      <c r="B1171" t="s">
        <v>41</v>
      </c>
      <c r="C1171" t="s">
        <v>1259</v>
      </c>
      <c r="D1171" t="s">
        <v>2348</v>
      </c>
      <c r="E1171">
        <v>28.683212999999999</v>
      </c>
      <c r="F1171">
        <v>77.377082000000001</v>
      </c>
      <c r="G1171">
        <v>7</v>
      </c>
    </row>
    <row r="1172" spans="1:7" x14ac:dyDescent="0.3">
      <c r="A1172" t="s">
        <v>2349</v>
      </c>
      <c r="B1172" t="s">
        <v>41</v>
      </c>
      <c r="C1172" t="s">
        <v>1163</v>
      </c>
      <c r="D1172" t="s">
        <v>2350</v>
      </c>
      <c r="E1172">
        <v>17.352657000000001</v>
      </c>
      <c r="F1172">
        <v>78.546636000000007</v>
      </c>
      <c r="G1172">
        <v>7</v>
      </c>
    </row>
    <row r="1173" spans="1:7" x14ac:dyDescent="0.3">
      <c r="A1173" t="s">
        <v>2351</v>
      </c>
      <c r="B1173" t="s">
        <v>41</v>
      </c>
      <c r="C1173" t="s">
        <v>42</v>
      </c>
      <c r="D1173" t="s">
        <v>2352</v>
      </c>
      <c r="E1173">
        <v>18.611142999999998</v>
      </c>
      <c r="F1173">
        <v>73.783102999999997</v>
      </c>
      <c r="G1173">
        <v>7</v>
      </c>
    </row>
    <row r="1174" spans="1:7" x14ac:dyDescent="0.3">
      <c r="A1174" t="s">
        <v>2353</v>
      </c>
      <c r="B1174" t="s">
        <v>41</v>
      </c>
      <c r="C1174" t="s">
        <v>2354</v>
      </c>
      <c r="D1174" t="s">
        <v>2355</v>
      </c>
      <c r="E1174">
        <v>18.778929999999999</v>
      </c>
      <c r="F1174">
        <v>73.870990000000006</v>
      </c>
      <c r="G1174">
        <v>7</v>
      </c>
    </row>
    <row r="1175" spans="1:7" x14ac:dyDescent="0.3">
      <c r="A1175" t="s">
        <v>2356</v>
      </c>
      <c r="B1175" t="s">
        <v>41</v>
      </c>
      <c r="C1175" t="s">
        <v>2357</v>
      </c>
      <c r="D1175" t="s">
        <v>2358</v>
      </c>
      <c r="E1175">
        <v>28.323394</v>
      </c>
      <c r="F1175">
        <v>76.901195999999999</v>
      </c>
      <c r="G1175">
        <v>7</v>
      </c>
    </row>
    <row r="1176" spans="1:7" x14ac:dyDescent="0.3">
      <c r="A1176" t="s">
        <v>2359</v>
      </c>
      <c r="B1176" t="s">
        <v>41</v>
      </c>
      <c r="C1176" t="s">
        <v>119</v>
      </c>
      <c r="D1176" t="s">
        <v>2360</v>
      </c>
      <c r="E1176">
        <v>19.018857000000001</v>
      </c>
      <c r="F1176">
        <v>72.831075999999996</v>
      </c>
      <c r="G1176">
        <v>7</v>
      </c>
    </row>
    <row r="1177" spans="1:7" x14ac:dyDescent="0.3">
      <c r="A1177" t="s">
        <v>2361</v>
      </c>
      <c r="B1177" t="s">
        <v>41</v>
      </c>
      <c r="C1177" t="s">
        <v>987</v>
      </c>
      <c r="D1177" t="s">
        <v>2362</v>
      </c>
      <c r="E1177">
        <v>21.134589999999999</v>
      </c>
      <c r="F1177">
        <v>79.004423000000003</v>
      </c>
      <c r="G1177">
        <v>7</v>
      </c>
    </row>
    <row r="1178" spans="1:7" x14ac:dyDescent="0.3">
      <c r="A1178" t="s">
        <v>2363</v>
      </c>
      <c r="B1178" t="s">
        <v>41</v>
      </c>
      <c r="C1178" t="s">
        <v>221</v>
      </c>
      <c r="D1178" t="s">
        <v>2364</v>
      </c>
      <c r="E1178">
        <v>19.950077</v>
      </c>
      <c r="F1178">
        <v>73.749174999999994</v>
      </c>
      <c r="G1178">
        <v>7</v>
      </c>
    </row>
    <row r="1179" spans="1:7" x14ac:dyDescent="0.3">
      <c r="A1179" t="s">
        <v>2365</v>
      </c>
      <c r="B1179" t="s">
        <v>41</v>
      </c>
      <c r="C1179" t="s">
        <v>119</v>
      </c>
      <c r="D1179" t="s">
        <v>2366</v>
      </c>
      <c r="E1179">
        <v>19.034402</v>
      </c>
      <c r="F1179">
        <v>72.85284</v>
      </c>
      <c r="G1179">
        <v>7</v>
      </c>
    </row>
    <row r="1180" spans="1:7" x14ac:dyDescent="0.3">
      <c r="A1180" t="s">
        <v>2367</v>
      </c>
      <c r="B1180" t="s">
        <v>41</v>
      </c>
      <c r="C1180" t="s">
        <v>1956</v>
      </c>
      <c r="D1180" t="s">
        <v>2368</v>
      </c>
      <c r="E1180">
        <v>16.753021</v>
      </c>
      <c r="F1180">
        <v>74.279094999999998</v>
      </c>
      <c r="G1180">
        <v>7</v>
      </c>
    </row>
    <row r="1181" spans="1:7" x14ac:dyDescent="0.3">
      <c r="A1181" t="s">
        <v>2369</v>
      </c>
      <c r="B1181" t="s">
        <v>41</v>
      </c>
      <c r="C1181" t="s">
        <v>1120</v>
      </c>
      <c r="D1181" t="s">
        <v>2370</v>
      </c>
      <c r="E1181">
        <v>19.872921999999999</v>
      </c>
      <c r="F1181">
        <v>75.318612999999999</v>
      </c>
      <c r="G1181">
        <v>7</v>
      </c>
    </row>
    <row r="1182" spans="1:7" x14ac:dyDescent="0.3">
      <c r="A1182" t="s">
        <v>2371</v>
      </c>
      <c r="B1182" t="s">
        <v>41</v>
      </c>
      <c r="C1182" t="s">
        <v>119</v>
      </c>
      <c r="D1182" t="s">
        <v>2372</v>
      </c>
      <c r="E1182">
        <v>18.968862699999999</v>
      </c>
      <c r="F1182">
        <v>72.820713799999993</v>
      </c>
      <c r="G1182">
        <v>7</v>
      </c>
    </row>
    <row r="1183" spans="1:7" x14ac:dyDescent="0.3">
      <c r="A1183" t="s">
        <v>2373</v>
      </c>
      <c r="B1183" t="s">
        <v>41</v>
      </c>
      <c r="C1183" t="s">
        <v>42</v>
      </c>
      <c r="D1183" t="s">
        <v>2374</v>
      </c>
      <c r="E1183">
        <v>18.518739709999998</v>
      </c>
      <c r="F1183">
        <v>73.936183999999997</v>
      </c>
      <c r="G1183">
        <v>7</v>
      </c>
    </row>
    <row r="1184" spans="1:7" x14ac:dyDescent="0.3">
      <c r="A1184" t="s">
        <v>2375</v>
      </c>
      <c r="B1184" t="s">
        <v>41</v>
      </c>
      <c r="C1184" t="s">
        <v>42</v>
      </c>
      <c r="D1184" t="s">
        <v>2376</v>
      </c>
      <c r="E1184">
        <v>18.515665760000001</v>
      </c>
      <c r="F1184">
        <v>73.946072479999998</v>
      </c>
      <c r="G1184">
        <v>7</v>
      </c>
    </row>
    <row r="1185" spans="1:7" x14ac:dyDescent="0.3">
      <c r="A1185" t="s">
        <v>2377</v>
      </c>
      <c r="B1185" t="s">
        <v>41</v>
      </c>
      <c r="C1185" t="s">
        <v>119</v>
      </c>
      <c r="D1185" t="s">
        <v>2378</v>
      </c>
      <c r="E1185">
        <v>18.9453551</v>
      </c>
      <c r="F1185">
        <v>72.838328700000005</v>
      </c>
      <c r="G1185">
        <v>7</v>
      </c>
    </row>
    <row r="1186" spans="1:7" x14ac:dyDescent="0.3">
      <c r="A1186" t="s">
        <v>2379</v>
      </c>
      <c r="B1186" t="s">
        <v>41</v>
      </c>
      <c r="C1186" t="s">
        <v>119</v>
      </c>
      <c r="D1186" t="s">
        <v>2380</v>
      </c>
      <c r="E1186">
        <v>19.047256699999998</v>
      </c>
      <c r="F1186">
        <v>72.878382900000005</v>
      </c>
      <c r="G1186">
        <v>7</v>
      </c>
    </row>
    <row r="1187" spans="1:7" x14ac:dyDescent="0.3">
      <c r="A1187" t="s">
        <v>2381</v>
      </c>
      <c r="B1187" t="s">
        <v>41</v>
      </c>
      <c r="C1187" t="s">
        <v>119</v>
      </c>
      <c r="D1187" t="s">
        <v>2382</v>
      </c>
      <c r="E1187">
        <v>19.059957799999999</v>
      </c>
      <c r="F1187">
        <v>72.864791600000004</v>
      </c>
      <c r="G1187">
        <v>7</v>
      </c>
    </row>
    <row r="1188" spans="1:7" x14ac:dyDescent="0.3">
      <c r="A1188" t="s">
        <v>2383</v>
      </c>
      <c r="B1188" t="s">
        <v>115</v>
      </c>
      <c r="C1188" t="s">
        <v>2384</v>
      </c>
      <c r="D1188" t="s">
        <v>2385</v>
      </c>
      <c r="E1188">
        <v>17.212796000000001</v>
      </c>
      <c r="F1188">
        <v>79.166746000000003</v>
      </c>
      <c r="G1188">
        <v>7</v>
      </c>
    </row>
    <row r="1189" spans="1:7" x14ac:dyDescent="0.3">
      <c r="A1189" t="s">
        <v>2386</v>
      </c>
      <c r="B1189" t="s">
        <v>115</v>
      </c>
      <c r="C1189" t="s">
        <v>2384</v>
      </c>
      <c r="D1189" t="s">
        <v>2387</v>
      </c>
      <c r="E1189">
        <v>17.152534800000002</v>
      </c>
      <c r="F1189">
        <v>79.569918799999996</v>
      </c>
      <c r="G1189">
        <v>7</v>
      </c>
    </row>
    <row r="1190" spans="1:7" x14ac:dyDescent="0.3">
      <c r="A1190" t="s">
        <v>2388</v>
      </c>
      <c r="B1190" t="s">
        <v>41</v>
      </c>
      <c r="C1190" t="s">
        <v>119</v>
      </c>
      <c r="D1190" t="s">
        <v>2389</v>
      </c>
      <c r="E1190">
        <v>19.115745100000002</v>
      </c>
      <c r="F1190">
        <v>72.868256299999999</v>
      </c>
      <c r="G1190">
        <v>7</v>
      </c>
    </row>
    <row r="1191" spans="1:7" x14ac:dyDescent="0.3">
      <c r="A1191" t="s">
        <v>2390</v>
      </c>
      <c r="B1191" t="s">
        <v>41</v>
      </c>
      <c r="C1191" t="s">
        <v>42</v>
      </c>
      <c r="D1191" t="s">
        <v>2391</v>
      </c>
      <c r="E1191">
        <v>18.615469999999998</v>
      </c>
      <c r="F1191">
        <v>73.846180000000004</v>
      </c>
      <c r="G1191">
        <v>7</v>
      </c>
    </row>
    <row r="1192" spans="1:7" x14ac:dyDescent="0.3">
      <c r="A1192" t="s">
        <v>2392</v>
      </c>
      <c r="B1192" t="s">
        <v>41</v>
      </c>
      <c r="C1192" t="s">
        <v>42</v>
      </c>
      <c r="D1192" t="s">
        <v>2393</v>
      </c>
      <c r="E1192">
        <v>18.648575999999998</v>
      </c>
      <c r="F1192">
        <v>73.798872000000003</v>
      </c>
      <c r="G1192">
        <v>7</v>
      </c>
    </row>
    <row r="1193" spans="1:7" x14ac:dyDescent="0.3">
      <c r="A1193" t="s">
        <v>2394</v>
      </c>
      <c r="B1193" t="s">
        <v>41</v>
      </c>
      <c r="C1193" t="s">
        <v>2395</v>
      </c>
      <c r="D1193" t="s">
        <v>2396</v>
      </c>
      <c r="E1193">
        <v>16.956461000000001</v>
      </c>
      <c r="F1193">
        <v>74.275721000000004</v>
      </c>
      <c r="G1193">
        <v>7</v>
      </c>
    </row>
    <row r="1194" spans="1:7" x14ac:dyDescent="0.3">
      <c r="A1194" t="s">
        <v>2397</v>
      </c>
      <c r="B1194" t="s">
        <v>41</v>
      </c>
      <c r="C1194" t="s">
        <v>2398</v>
      </c>
      <c r="D1194" t="s">
        <v>2399</v>
      </c>
      <c r="E1194">
        <v>17.273724300000001</v>
      </c>
      <c r="F1194">
        <v>74.180275600000002</v>
      </c>
      <c r="G1194">
        <v>7</v>
      </c>
    </row>
    <row r="1195" spans="1:7" x14ac:dyDescent="0.3">
      <c r="A1195" t="s">
        <v>2400</v>
      </c>
      <c r="B1195" t="s">
        <v>41</v>
      </c>
      <c r="C1195" t="s">
        <v>1003</v>
      </c>
      <c r="D1195" t="s">
        <v>2401</v>
      </c>
      <c r="E1195">
        <v>17.63820763</v>
      </c>
      <c r="F1195">
        <v>74.012091740000002</v>
      </c>
      <c r="G1195">
        <v>7</v>
      </c>
    </row>
    <row r="1196" spans="1:7" x14ac:dyDescent="0.3">
      <c r="A1196" t="s">
        <v>2402</v>
      </c>
      <c r="B1196" t="s">
        <v>41</v>
      </c>
      <c r="C1196" t="s">
        <v>42</v>
      </c>
      <c r="D1196" t="s">
        <v>2403</v>
      </c>
      <c r="E1196">
        <v>18.589877000000001</v>
      </c>
      <c r="F1196">
        <v>73.738365700000003</v>
      </c>
      <c r="G1196">
        <v>7</v>
      </c>
    </row>
    <row r="1197" spans="1:7" x14ac:dyDescent="0.3">
      <c r="A1197" t="s">
        <v>986</v>
      </c>
      <c r="B1197" t="s">
        <v>41</v>
      </c>
      <c r="C1197" t="s">
        <v>987</v>
      </c>
      <c r="D1197" t="s">
        <v>988</v>
      </c>
      <c r="E1197">
        <v>21.155667000000001</v>
      </c>
      <c r="F1197">
        <v>79.078708000000006</v>
      </c>
      <c r="G1197">
        <v>7</v>
      </c>
    </row>
    <row r="1198" spans="1:7" x14ac:dyDescent="0.3">
      <c r="A1198" t="s">
        <v>2404</v>
      </c>
      <c r="B1198" t="s">
        <v>41</v>
      </c>
      <c r="C1198" t="s">
        <v>119</v>
      </c>
      <c r="D1198" t="s">
        <v>990</v>
      </c>
      <c r="E1198">
        <v>19.051601000000002</v>
      </c>
      <c r="F1198">
        <v>72.838010999999995</v>
      </c>
      <c r="G1198">
        <v>7</v>
      </c>
    </row>
    <row r="1199" spans="1:7" x14ac:dyDescent="0.3">
      <c r="A1199" t="s">
        <v>991</v>
      </c>
      <c r="B1199" t="s">
        <v>41</v>
      </c>
      <c r="C1199" t="s">
        <v>45</v>
      </c>
      <c r="D1199" t="s">
        <v>992</v>
      </c>
      <c r="E1199">
        <v>28.578641000000001</v>
      </c>
      <c r="F1199">
        <v>77.059619999999995</v>
      </c>
      <c r="G1199">
        <v>7</v>
      </c>
    </row>
    <row r="1200" spans="1:7" x14ac:dyDescent="0.3">
      <c r="A1200" t="s">
        <v>1002</v>
      </c>
      <c r="B1200" t="s">
        <v>41</v>
      </c>
      <c r="C1200" t="s">
        <v>1003</v>
      </c>
      <c r="D1200" t="s">
        <v>1004</v>
      </c>
      <c r="E1200">
        <v>18.11289</v>
      </c>
      <c r="F1200">
        <v>73.989850000000004</v>
      </c>
      <c r="G1200">
        <v>7</v>
      </c>
    </row>
    <row r="1201" spans="1:7" x14ac:dyDescent="0.3">
      <c r="A1201" t="s">
        <v>1015</v>
      </c>
      <c r="B1201" t="s">
        <v>64</v>
      </c>
      <c r="C1201" t="s">
        <v>65</v>
      </c>
      <c r="D1201" t="s">
        <v>1016</v>
      </c>
      <c r="E1201">
        <v>30.289739000000001</v>
      </c>
      <c r="F1201">
        <v>77.998788000000005</v>
      </c>
      <c r="G1201">
        <v>7</v>
      </c>
    </row>
    <row r="1202" spans="1:7" x14ac:dyDescent="0.3">
      <c r="A1202" t="s">
        <v>2405</v>
      </c>
      <c r="B1202" t="s">
        <v>18</v>
      </c>
      <c r="C1202" t="s">
        <v>2406</v>
      </c>
      <c r="D1202" t="s">
        <v>2407</v>
      </c>
      <c r="E1202">
        <v>26.968707999999999</v>
      </c>
      <c r="F1202">
        <v>79.019513000000003</v>
      </c>
      <c r="G1202">
        <v>7</v>
      </c>
    </row>
    <row r="1203" spans="1:7" x14ac:dyDescent="0.3">
      <c r="A1203" t="s">
        <v>1022</v>
      </c>
      <c r="B1203" t="s">
        <v>41</v>
      </c>
      <c r="C1203" t="s">
        <v>42</v>
      </c>
      <c r="D1203" t="s">
        <v>1023</v>
      </c>
      <c r="E1203">
        <v>18.526967899999999</v>
      </c>
      <c r="F1203">
        <v>73.865512300000006</v>
      </c>
      <c r="G1203">
        <v>7</v>
      </c>
    </row>
    <row r="1204" spans="1:7" x14ac:dyDescent="0.3">
      <c r="A1204" t="s">
        <v>1042</v>
      </c>
      <c r="B1204" t="s">
        <v>64</v>
      </c>
      <c r="C1204" t="s">
        <v>159</v>
      </c>
      <c r="D1204" t="s">
        <v>1043</v>
      </c>
      <c r="E1204">
        <v>29.942456</v>
      </c>
      <c r="F1204">
        <v>78.144233999999997</v>
      </c>
      <c r="G1204">
        <v>7</v>
      </c>
    </row>
    <row r="1205" spans="1:7" x14ac:dyDescent="0.3">
      <c r="A1205" t="s">
        <v>1047</v>
      </c>
      <c r="B1205" t="s">
        <v>502</v>
      </c>
      <c r="C1205" t="s">
        <v>1048</v>
      </c>
      <c r="D1205" t="s">
        <v>1049</v>
      </c>
      <c r="E1205">
        <v>15.576915</v>
      </c>
      <c r="F1205">
        <v>77.937039999999996</v>
      </c>
      <c r="G1205">
        <v>7</v>
      </c>
    </row>
    <row r="1206" spans="1:7" x14ac:dyDescent="0.3">
      <c r="A1206" t="s">
        <v>2408</v>
      </c>
      <c r="B1206" t="s">
        <v>463</v>
      </c>
      <c r="C1206" t="s">
        <v>1160</v>
      </c>
      <c r="D1206" t="s">
        <v>2409</v>
      </c>
      <c r="E1206">
        <v>22.561997000000002</v>
      </c>
      <c r="F1206">
        <v>88.492902999999998</v>
      </c>
      <c r="G1206">
        <v>7</v>
      </c>
    </row>
    <row r="1207" spans="1:7" x14ac:dyDescent="0.3">
      <c r="A1207" t="s">
        <v>1054</v>
      </c>
      <c r="B1207" t="s">
        <v>502</v>
      </c>
      <c r="C1207" t="s">
        <v>1055</v>
      </c>
      <c r="D1207" t="s">
        <v>1056</v>
      </c>
      <c r="E1207">
        <v>16.545174800000002</v>
      </c>
      <c r="F1207">
        <v>81.519940300000002</v>
      </c>
      <c r="G1207">
        <v>7</v>
      </c>
    </row>
    <row r="1208" spans="1:7" x14ac:dyDescent="0.3">
      <c r="A1208" t="s">
        <v>1057</v>
      </c>
      <c r="B1208" t="s">
        <v>41</v>
      </c>
      <c r="C1208" t="s">
        <v>2410</v>
      </c>
      <c r="D1208" t="s">
        <v>1059</v>
      </c>
      <c r="E1208">
        <v>20.909443</v>
      </c>
      <c r="F1208">
        <v>77.752244700000006</v>
      </c>
      <c r="G1208">
        <v>7</v>
      </c>
    </row>
    <row r="1209" spans="1:7" x14ac:dyDescent="0.3">
      <c r="A1209" t="s">
        <v>1060</v>
      </c>
      <c r="B1209" t="s">
        <v>41</v>
      </c>
      <c r="C1209" t="s">
        <v>1061</v>
      </c>
      <c r="D1209" t="s">
        <v>1062</v>
      </c>
      <c r="E1209">
        <v>20.922586559999999</v>
      </c>
      <c r="F1209">
        <v>78.999863869999999</v>
      </c>
      <c r="G1209">
        <v>7</v>
      </c>
    </row>
    <row r="1210" spans="1:7" x14ac:dyDescent="0.3">
      <c r="A1210" t="s">
        <v>1075</v>
      </c>
      <c r="B1210" t="s">
        <v>41</v>
      </c>
      <c r="C1210" t="s">
        <v>221</v>
      </c>
      <c r="D1210" t="s">
        <v>1076</v>
      </c>
      <c r="E1210">
        <v>19.973146</v>
      </c>
      <c r="F1210">
        <v>73.681049999999999</v>
      </c>
      <c r="G1210">
        <v>7</v>
      </c>
    </row>
    <row r="1211" spans="1:7" x14ac:dyDescent="0.3">
      <c r="A1211" t="s">
        <v>1079</v>
      </c>
      <c r="B1211" t="s">
        <v>18</v>
      </c>
      <c r="C1211" t="s">
        <v>1080</v>
      </c>
      <c r="D1211" t="s">
        <v>1081</v>
      </c>
      <c r="E1211">
        <v>26.743642000000001</v>
      </c>
      <c r="F1211">
        <v>84.263368999999997</v>
      </c>
      <c r="G1211">
        <v>7</v>
      </c>
    </row>
    <row r="1212" spans="1:7" x14ac:dyDescent="0.3">
      <c r="A1212" t="s">
        <v>2411</v>
      </c>
      <c r="B1212" t="s">
        <v>41</v>
      </c>
      <c r="C1212" t="s">
        <v>42</v>
      </c>
      <c r="D1212" t="s">
        <v>2412</v>
      </c>
      <c r="E1212">
        <v>18.423342999999999</v>
      </c>
      <c r="F1212">
        <v>73.754874999999998</v>
      </c>
      <c r="G1212">
        <v>7</v>
      </c>
    </row>
    <row r="1213" spans="1:7" x14ac:dyDescent="0.3">
      <c r="A1213" t="s">
        <v>1092</v>
      </c>
      <c r="B1213" t="s">
        <v>41</v>
      </c>
      <c r="C1213" t="s">
        <v>42</v>
      </c>
      <c r="D1213" t="s">
        <v>1093</v>
      </c>
      <c r="E1213">
        <v>18.495772200000001</v>
      </c>
      <c r="F1213">
        <v>73.978935930000006</v>
      </c>
      <c r="G1213">
        <v>7</v>
      </c>
    </row>
    <row r="1214" spans="1:7" x14ac:dyDescent="0.3">
      <c r="A1214" t="s">
        <v>1094</v>
      </c>
      <c r="B1214" t="s">
        <v>41</v>
      </c>
      <c r="C1214" t="s">
        <v>1095</v>
      </c>
      <c r="D1214" t="s">
        <v>1096</v>
      </c>
      <c r="E1214">
        <v>17.925644380000001</v>
      </c>
      <c r="F1214">
        <v>73.655520139999993</v>
      </c>
      <c r="G1214">
        <v>7</v>
      </c>
    </row>
    <row r="1215" spans="1:7" x14ac:dyDescent="0.3">
      <c r="A1215" t="s">
        <v>1097</v>
      </c>
      <c r="B1215" t="s">
        <v>2131</v>
      </c>
      <c r="C1215" t="s">
        <v>87</v>
      </c>
      <c r="D1215" t="s">
        <v>1098</v>
      </c>
      <c r="E1215">
        <v>28.444672000000001</v>
      </c>
      <c r="F1215">
        <v>77.080820000000003</v>
      </c>
      <c r="G1215">
        <v>7</v>
      </c>
    </row>
    <row r="1216" spans="1:7" x14ac:dyDescent="0.3">
      <c r="A1216" t="s">
        <v>1099</v>
      </c>
      <c r="B1216" t="s">
        <v>14</v>
      </c>
      <c r="C1216" t="s">
        <v>1100</v>
      </c>
      <c r="D1216" t="s">
        <v>1101</v>
      </c>
      <c r="E1216">
        <v>24.973775</v>
      </c>
      <c r="F1216">
        <v>72.895964000000006</v>
      </c>
      <c r="G1216">
        <v>7</v>
      </c>
    </row>
    <row r="1217" spans="1:7" x14ac:dyDescent="0.3">
      <c r="A1217" t="s">
        <v>2413</v>
      </c>
      <c r="B1217" t="s">
        <v>41</v>
      </c>
      <c r="C1217" t="s">
        <v>119</v>
      </c>
      <c r="D1217" t="s">
        <v>2414</v>
      </c>
      <c r="E1217">
        <v>19.163979000000001</v>
      </c>
      <c r="F1217">
        <v>72.938750999999996</v>
      </c>
      <c r="G1217">
        <v>7</v>
      </c>
    </row>
    <row r="1218" spans="1:7" x14ac:dyDescent="0.3">
      <c r="A1218" t="s">
        <v>1104</v>
      </c>
      <c r="B1218" t="s">
        <v>41</v>
      </c>
      <c r="C1218" t="s">
        <v>119</v>
      </c>
      <c r="D1218" t="s">
        <v>1105</v>
      </c>
      <c r="E1218">
        <v>19.11637</v>
      </c>
      <c r="F1218">
        <v>72.91086</v>
      </c>
      <c r="G1218">
        <v>7</v>
      </c>
    </row>
    <row r="1219" spans="1:7" x14ac:dyDescent="0.3">
      <c r="A1219" t="s">
        <v>1104</v>
      </c>
      <c r="B1219" t="s">
        <v>41</v>
      </c>
      <c r="C1219" t="s">
        <v>119</v>
      </c>
      <c r="D1219" t="s">
        <v>1106</v>
      </c>
      <c r="E1219">
        <v>19.116440000000001</v>
      </c>
      <c r="F1219">
        <v>72.909679999999994</v>
      </c>
      <c r="G1219">
        <v>7</v>
      </c>
    </row>
    <row r="1220" spans="1:7" x14ac:dyDescent="0.3">
      <c r="A1220" t="s">
        <v>1107</v>
      </c>
      <c r="B1220" t="s">
        <v>405</v>
      </c>
      <c r="C1220" t="s">
        <v>1045</v>
      </c>
      <c r="D1220" t="s">
        <v>1108</v>
      </c>
      <c r="E1220">
        <v>23.371745000000001</v>
      </c>
      <c r="F1220">
        <v>85.326113000000007</v>
      </c>
      <c r="G1220">
        <v>7</v>
      </c>
    </row>
    <row r="1221" spans="1:7" x14ac:dyDescent="0.3">
      <c r="A1221" t="s">
        <v>1109</v>
      </c>
      <c r="B1221" t="s">
        <v>313</v>
      </c>
      <c r="C1221" t="s">
        <v>1110</v>
      </c>
      <c r="D1221" t="s">
        <v>1111</v>
      </c>
      <c r="E1221">
        <v>20.352134</v>
      </c>
      <c r="F1221">
        <v>85.890374300000005</v>
      </c>
      <c r="G1221">
        <v>7</v>
      </c>
    </row>
    <row r="1222" spans="1:7" x14ac:dyDescent="0.3">
      <c r="A1222" t="s">
        <v>1112</v>
      </c>
      <c r="B1222" t="s">
        <v>41</v>
      </c>
      <c r="C1222" t="s">
        <v>221</v>
      </c>
      <c r="D1222" t="s">
        <v>1113</v>
      </c>
      <c r="E1222">
        <v>19.991880999999999</v>
      </c>
      <c r="F1222">
        <v>73.743904000000001</v>
      </c>
      <c r="G1222">
        <v>7</v>
      </c>
    </row>
    <row r="1223" spans="1:7" x14ac:dyDescent="0.3">
      <c r="A1223" t="s">
        <v>1114</v>
      </c>
      <c r="B1223" t="s">
        <v>41</v>
      </c>
      <c r="C1223" t="s">
        <v>221</v>
      </c>
      <c r="D1223" t="s">
        <v>1115</v>
      </c>
      <c r="E1223">
        <v>19.993200000000002</v>
      </c>
      <c r="F1223">
        <v>73.783133000000007</v>
      </c>
      <c r="G1223">
        <v>7</v>
      </c>
    </row>
    <row r="1224" spans="1:7" x14ac:dyDescent="0.3">
      <c r="A1224" t="s">
        <v>1119</v>
      </c>
      <c r="B1224" t="s">
        <v>41</v>
      </c>
      <c r="C1224" t="s">
        <v>1120</v>
      </c>
      <c r="D1224" t="s">
        <v>1121</v>
      </c>
      <c r="E1224">
        <v>19.911982999999999</v>
      </c>
      <c r="F1224">
        <v>75.232932000000005</v>
      </c>
      <c r="G1224">
        <v>7</v>
      </c>
    </row>
    <row r="1225" spans="1:7" x14ac:dyDescent="0.3">
      <c r="A1225" t="s">
        <v>1122</v>
      </c>
      <c r="B1225" t="s">
        <v>41</v>
      </c>
      <c r="C1225" t="s">
        <v>166</v>
      </c>
      <c r="D1225" t="s">
        <v>1123</v>
      </c>
      <c r="E1225">
        <v>19.256119999999999</v>
      </c>
      <c r="F1225">
        <v>72.971450000000004</v>
      </c>
      <c r="G1225">
        <v>7</v>
      </c>
    </row>
    <row r="1226" spans="1:7" x14ac:dyDescent="0.3">
      <c r="A1226" t="s">
        <v>1124</v>
      </c>
      <c r="B1226" t="s">
        <v>2415</v>
      </c>
      <c r="C1226" t="s">
        <v>1125</v>
      </c>
      <c r="D1226" t="s">
        <v>1126</v>
      </c>
      <c r="E1226">
        <v>31.431348</v>
      </c>
      <c r="F1226">
        <v>75.620356999999998</v>
      </c>
      <c r="G1226">
        <v>7</v>
      </c>
    </row>
    <row r="1227" spans="1:7" x14ac:dyDescent="0.3">
      <c r="A1227" t="s">
        <v>1127</v>
      </c>
      <c r="B1227" t="s">
        <v>8</v>
      </c>
      <c r="C1227" t="s">
        <v>32</v>
      </c>
      <c r="D1227" t="s">
        <v>1128</v>
      </c>
      <c r="E1227">
        <v>29.731580999999998</v>
      </c>
      <c r="F1227">
        <v>76.976511000000002</v>
      </c>
      <c r="G1227">
        <v>7</v>
      </c>
    </row>
    <row r="1228" spans="1:7" x14ac:dyDescent="0.3">
      <c r="A1228" t="s">
        <v>1131</v>
      </c>
      <c r="B1228" t="s">
        <v>41</v>
      </c>
      <c r="C1228" t="s">
        <v>1013</v>
      </c>
      <c r="D1228" t="s">
        <v>2416</v>
      </c>
      <c r="E1228">
        <v>18.9852363</v>
      </c>
      <c r="F1228">
        <v>74.576007500000003</v>
      </c>
      <c r="G1228">
        <v>7</v>
      </c>
    </row>
    <row r="1229" spans="1:7" x14ac:dyDescent="0.3">
      <c r="A1229" t="s">
        <v>1135</v>
      </c>
      <c r="B1229" t="s">
        <v>511</v>
      </c>
      <c r="C1229" t="s">
        <v>1136</v>
      </c>
      <c r="D1229" t="s">
        <v>1137</v>
      </c>
      <c r="E1229">
        <v>22.335788999999998</v>
      </c>
      <c r="F1229">
        <v>73.173794000000001</v>
      </c>
      <c r="G1229">
        <v>7</v>
      </c>
    </row>
    <row r="1230" spans="1:7" x14ac:dyDescent="0.3">
      <c r="A1230" t="s">
        <v>1138</v>
      </c>
      <c r="B1230" t="s">
        <v>511</v>
      </c>
      <c r="C1230" t="s">
        <v>1136</v>
      </c>
      <c r="D1230" t="s">
        <v>1139</v>
      </c>
      <c r="E1230">
        <v>22.684835100000001</v>
      </c>
      <c r="F1230">
        <v>75.855824900000002</v>
      </c>
      <c r="G1230">
        <v>7</v>
      </c>
    </row>
    <row r="1231" spans="1:7" x14ac:dyDescent="0.3">
      <c r="A1231" t="s">
        <v>1140</v>
      </c>
      <c r="B1231" t="s">
        <v>463</v>
      </c>
      <c r="C1231" t="s">
        <v>1141</v>
      </c>
      <c r="D1231" t="s">
        <v>1142</v>
      </c>
      <c r="E1231">
        <v>23.663888</v>
      </c>
      <c r="F1231">
        <v>87.057978000000006</v>
      </c>
      <c r="G1231">
        <v>7</v>
      </c>
    </row>
    <row r="1232" spans="1:7" x14ac:dyDescent="0.3">
      <c r="A1232" t="s">
        <v>1146</v>
      </c>
      <c r="B1232" t="s">
        <v>463</v>
      </c>
      <c r="C1232" t="s">
        <v>1147</v>
      </c>
      <c r="D1232" t="s">
        <v>1148</v>
      </c>
      <c r="E1232">
        <v>22.614383</v>
      </c>
      <c r="F1232">
        <v>88.273186999999993</v>
      </c>
      <c r="G1232">
        <v>7</v>
      </c>
    </row>
    <row r="1233" spans="1:7" x14ac:dyDescent="0.3">
      <c r="A1233" t="s">
        <v>1162</v>
      </c>
      <c r="B1233" t="s">
        <v>115</v>
      </c>
      <c r="C1233" t="s">
        <v>1163</v>
      </c>
      <c r="D1233" t="s">
        <v>1164</v>
      </c>
      <c r="E1233">
        <v>17.454398000000001</v>
      </c>
      <c r="F1233">
        <v>78.434574999999995</v>
      </c>
      <c r="G1233">
        <v>7</v>
      </c>
    </row>
    <row r="1234" spans="1:7" x14ac:dyDescent="0.3">
      <c r="A1234" t="s">
        <v>1165</v>
      </c>
      <c r="B1234" t="s">
        <v>115</v>
      </c>
      <c r="C1234" t="s">
        <v>1163</v>
      </c>
      <c r="D1234" t="s">
        <v>1166</v>
      </c>
      <c r="E1234">
        <v>17.458480000000002</v>
      </c>
      <c r="F1234">
        <v>78.5</v>
      </c>
      <c r="G1234">
        <v>7</v>
      </c>
    </row>
    <row r="1235" spans="1:7" x14ac:dyDescent="0.3">
      <c r="A1235" t="s">
        <v>1169</v>
      </c>
      <c r="B1235" t="s">
        <v>405</v>
      </c>
      <c r="C1235" t="s">
        <v>1170</v>
      </c>
      <c r="D1235" t="s">
        <v>1171</v>
      </c>
      <c r="E1235">
        <v>23.664729999999999</v>
      </c>
      <c r="F1235">
        <v>86.073024000000004</v>
      </c>
      <c r="G1235">
        <v>7</v>
      </c>
    </row>
    <row r="1236" spans="1:7" x14ac:dyDescent="0.3">
      <c r="A1236" t="s">
        <v>2417</v>
      </c>
      <c r="B1236" t="s">
        <v>49</v>
      </c>
      <c r="C1236" t="s">
        <v>2418</v>
      </c>
      <c r="D1236" t="s">
        <v>2419</v>
      </c>
      <c r="E1236">
        <v>12.024372700000001</v>
      </c>
      <c r="F1236">
        <v>78.097911499999995</v>
      </c>
      <c r="G1236">
        <v>7</v>
      </c>
    </row>
    <row r="1237" spans="1:7" x14ac:dyDescent="0.3">
      <c r="A1237" t="s">
        <v>1181</v>
      </c>
      <c r="B1237" t="s">
        <v>41</v>
      </c>
      <c r="C1237" t="s">
        <v>42</v>
      </c>
      <c r="D1237" t="s">
        <v>1182</v>
      </c>
      <c r="E1237">
        <v>18.562826000000001</v>
      </c>
      <c r="F1237">
        <v>73.922392000000002</v>
      </c>
      <c r="G1237">
        <v>7</v>
      </c>
    </row>
    <row r="1238" spans="1:7" x14ac:dyDescent="0.3">
      <c r="A1238" t="s">
        <v>1191</v>
      </c>
      <c r="B1238" t="s">
        <v>2131</v>
      </c>
      <c r="C1238" t="s">
        <v>45</v>
      </c>
      <c r="D1238" t="s">
        <v>1192</v>
      </c>
      <c r="E1238">
        <v>28.603498800000001</v>
      </c>
      <c r="F1238">
        <v>77.335422100000002</v>
      </c>
      <c r="G1238">
        <v>7</v>
      </c>
    </row>
    <row r="1239" spans="1:7" x14ac:dyDescent="0.3">
      <c r="A1239" t="s">
        <v>1195</v>
      </c>
      <c r="B1239" t="s">
        <v>68</v>
      </c>
      <c r="C1239" t="s">
        <v>1196</v>
      </c>
      <c r="D1239" t="s">
        <v>1197</v>
      </c>
      <c r="E1239">
        <v>22.937813899999998</v>
      </c>
      <c r="F1239">
        <v>72.455668000000003</v>
      </c>
      <c r="G1239">
        <v>7</v>
      </c>
    </row>
    <row r="1240" spans="1:7" x14ac:dyDescent="0.3">
      <c r="A1240" t="s">
        <v>1198</v>
      </c>
      <c r="B1240" t="s">
        <v>68</v>
      </c>
      <c r="C1240" t="s">
        <v>1199</v>
      </c>
      <c r="D1240" t="s">
        <v>1200</v>
      </c>
      <c r="E1240">
        <v>22.924743700000001</v>
      </c>
      <c r="F1240">
        <v>72.543495500000006</v>
      </c>
      <c r="G1240">
        <v>7</v>
      </c>
    </row>
    <row r="1241" spans="1:7" x14ac:dyDescent="0.3">
      <c r="A1241" t="s">
        <v>1201</v>
      </c>
      <c r="B1241" t="s">
        <v>68</v>
      </c>
      <c r="C1241" t="s">
        <v>185</v>
      </c>
      <c r="D1241" t="s">
        <v>1202</v>
      </c>
      <c r="E1241">
        <v>22.321698600000001</v>
      </c>
      <c r="F1241">
        <v>73.154985999999994</v>
      </c>
      <c r="G1241">
        <v>7</v>
      </c>
    </row>
    <row r="1242" spans="1:7" x14ac:dyDescent="0.3">
      <c r="A1242" t="s">
        <v>2420</v>
      </c>
      <c r="B1242" t="s">
        <v>463</v>
      </c>
      <c r="C1242" t="s">
        <v>1157</v>
      </c>
      <c r="D1242" t="s">
        <v>1204</v>
      </c>
      <c r="E1242">
        <v>26.729623</v>
      </c>
      <c r="F1242">
        <v>88.373902999999999</v>
      </c>
      <c r="G1242">
        <v>7</v>
      </c>
    </row>
    <row r="1243" spans="1:7" x14ac:dyDescent="0.3">
      <c r="A1243" t="s">
        <v>1210</v>
      </c>
      <c r="B1243" t="s">
        <v>49</v>
      </c>
      <c r="C1243" t="s">
        <v>1211</v>
      </c>
      <c r="D1243" t="s">
        <v>1212</v>
      </c>
      <c r="E1243">
        <v>12.61860448</v>
      </c>
      <c r="F1243">
        <v>80.194005970000006</v>
      </c>
      <c r="G1243">
        <v>7</v>
      </c>
    </row>
    <row r="1244" spans="1:7" x14ac:dyDescent="0.3">
      <c r="A1244" t="s">
        <v>1217</v>
      </c>
      <c r="B1244" t="s">
        <v>41</v>
      </c>
      <c r="C1244" t="s">
        <v>42</v>
      </c>
      <c r="D1244" t="s">
        <v>1218</v>
      </c>
      <c r="E1244">
        <v>18.4995583</v>
      </c>
      <c r="F1244">
        <v>73.868563899999998</v>
      </c>
      <c r="G1244">
        <v>7</v>
      </c>
    </row>
    <row r="1245" spans="1:7" x14ac:dyDescent="0.3">
      <c r="A1245" t="s">
        <v>1219</v>
      </c>
      <c r="B1245" t="s">
        <v>502</v>
      </c>
      <c r="C1245" t="s">
        <v>1220</v>
      </c>
      <c r="D1245" t="s">
        <v>1221</v>
      </c>
      <c r="E1245">
        <v>15.023949999999999</v>
      </c>
      <c r="F1245">
        <v>77.620627999999996</v>
      </c>
      <c r="G1245">
        <v>7</v>
      </c>
    </row>
    <row r="1246" spans="1:7" x14ac:dyDescent="0.3">
      <c r="A1246" t="s">
        <v>1222</v>
      </c>
      <c r="B1246" t="s">
        <v>313</v>
      </c>
      <c r="C1246" t="s">
        <v>1223</v>
      </c>
      <c r="D1246" t="s">
        <v>1224</v>
      </c>
      <c r="E1246">
        <v>19.298988000000001</v>
      </c>
      <c r="F1246">
        <v>84.831761999999998</v>
      </c>
      <c r="G1246">
        <v>7</v>
      </c>
    </row>
    <row r="1247" spans="1:7" x14ac:dyDescent="0.3">
      <c r="A1247" t="s">
        <v>1225</v>
      </c>
      <c r="B1247" t="s">
        <v>511</v>
      </c>
      <c r="C1247" t="s">
        <v>1136</v>
      </c>
      <c r="D1247" t="s">
        <v>1226</v>
      </c>
      <c r="E1247">
        <v>22.652030199999999</v>
      </c>
      <c r="F1247">
        <v>75.821320999999998</v>
      </c>
      <c r="G1247">
        <v>7</v>
      </c>
    </row>
    <row r="1248" spans="1:7" x14ac:dyDescent="0.3">
      <c r="A1248" t="s">
        <v>1232</v>
      </c>
      <c r="B1248" t="s">
        <v>502</v>
      </c>
      <c r="C1248" t="s">
        <v>1233</v>
      </c>
      <c r="D1248" t="s">
        <v>1234</v>
      </c>
      <c r="E1248">
        <v>15.6382976</v>
      </c>
      <c r="F1248">
        <v>80.0167529</v>
      </c>
      <c r="G1248">
        <v>7</v>
      </c>
    </row>
    <row r="1249" spans="1:7" x14ac:dyDescent="0.3">
      <c r="A1249" t="s">
        <v>1243</v>
      </c>
      <c r="B1249" t="s">
        <v>506</v>
      </c>
      <c r="C1249" t="s">
        <v>1244</v>
      </c>
      <c r="D1249" t="s">
        <v>1245</v>
      </c>
      <c r="E1249">
        <v>21.206036000000001</v>
      </c>
      <c r="F1249">
        <v>81.341860600000004</v>
      </c>
      <c r="G1249">
        <v>7</v>
      </c>
    </row>
    <row r="1250" spans="1:7" x14ac:dyDescent="0.3">
      <c r="A1250" t="s">
        <v>1254</v>
      </c>
      <c r="B1250" t="s">
        <v>2131</v>
      </c>
      <c r="C1250" t="s">
        <v>45</v>
      </c>
      <c r="D1250" t="s">
        <v>1255</v>
      </c>
      <c r="E1250">
        <v>28.693340899999999</v>
      </c>
      <c r="F1250">
        <v>77.153132499999998</v>
      </c>
      <c r="G1250">
        <v>7</v>
      </c>
    </row>
    <row r="1251" spans="1:7" x14ac:dyDescent="0.3">
      <c r="A1251" t="s">
        <v>1263</v>
      </c>
      <c r="B1251" t="s">
        <v>502</v>
      </c>
      <c r="C1251" t="s">
        <v>1264</v>
      </c>
      <c r="D1251" t="s">
        <v>1265</v>
      </c>
      <c r="E1251">
        <v>17.712413040000001</v>
      </c>
      <c r="F1251">
        <v>83.3184811</v>
      </c>
      <c r="G1251">
        <v>7</v>
      </c>
    </row>
    <row r="1252" spans="1:7" x14ac:dyDescent="0.3">
      <c r="A1252" t="s">
        <v>1266</v>
      </c>
      <c r="B1252" t="s">
        <v>41</v>
      </c>
      <c r="C1252" t="s">
        <v>1267</v>
      </c>
      <c r="D1252" t="s">
        <v>1268</v>
      </c>
      <c r="E1252">
        <v>17.933525800000002</v>
      </c>
      <c r="F1252">
        <v>73.815857399999999</v>
      </c>
      <c r="G1252">
        <v>7</v>
      </c>
    </row>
    <row r="1253" spans="1:7" x14ac:dyDescent="0.3">
      <c r="A1253" t="s">
        <v>1269</v>
      </c>
      <c r="B1253" t="s">
        <v>41</v>
      </c>
      <c r="C1253" t="s">
        <v>42</v>
      </c>
      <c r="D1253" t="s">
        <v>1270</v>
      </c>
      <c r="E1253">
        <v>18.991327290000001</v>
      </c>
      <c r="F1253">
        <v>73.942779540000004</v>
      </c>
      <c r="G1253">
        <v>7</v>
      </c>
    </row>
    <row r="1254" spans="1:7" x14ac:dyDescent="0.3">
      <c r="A1254" t="s">
        <v>1271</v>
      </c>
      <c r="B1254" t="s">
        <v>41</v>
      </c>
      <c r="C1254" t="s">
        <v>240</v>
      </c>
      <c r="D1254" t="s">
        <v>1272</v>
      </c>
      <c r="E1254">
        <v>19.7650352</v>
      </c>
      <c r="F1254">
        <v>74.475459200000003</v>
      </c>
      <c r="G1254">
        <v>7</v>
      </c>
    </row>
    <row r="1255" spans="1:7" x14ac:dyDescent="0.3">
      <c r="A1255" t="s">
        <v>1285</v>
      </c>
      <c r="B1255" t="s">
        <v>41</v>
      </c>
      <c r="C1255" t="s">
        <v>119</v>
      </c>
      <c r="D1255" t="s">
        <v>1286</v>
      </c>
      <c r="E1255">
        <v>19.1737611</v>
      </c>
      <c r="F1255">
        <v>72.860017200000001</v>
      </c>
      <c r="G1255">
        <v>7</v>
      </c>
    </row>
    <row r="1256" spans="1:7" x14ac:dyDescent="0.3">
      <c r="A1256" t="s">
        <v>1285</v>
      </c>
      <c r="B1256" t="s">
        <v>41</v>
      </c>
      <c r="C1256" t="s">
        <v>119</v>
      </c>
      <c r="D1256" t="s">
        <v>1286</v>
      </c>
      <c r="E1256">
        <v>19.1737611</v>
      </c>
      <c r="F1256">
        <v>72.860017200000001</v>
      </c>
      <c r="G1256">
        <v>7</v>
      </c>
    </row>
    <row r="1257" spans="1:7" x14ac:dyDescent="0.3">
      <c r="A1257" t="s">
        <v>2421</v>
      </c>
      <c r="B1257" t="s">
        <v>502</v>
      </c>
      <c r="C1257" t="s">
        <v>1264</v>
      </c>
      <c r="D1257" t="s">
        <v>2422</v>
      </c>
      <c r="E1257">
        <v>17.710553900000001</v>
      </c>
      <c r="F1257">
        <v>83.300827499999997</v>
      </c>
      <c r="G1257">
        <v>7</v>
      </c>
    </row>
    <row r="1258" spans="1:7" x14ac:dyDescent="0.3">
      <c r="A1258" t="s">
        <v>1297</v>
      </c>
      <c r="B1258" t="s">
        <v>463</v>
      </c>
      <c r="C1258" t="s">
        <v>1298</v>
      </c>
      <c r="D1258" t="s">
        <v>1299</v>
      </c>
      <c r="E1258">
        <v>22.380721000000001</v>
      </c>
      <c r="F1258">
        <v>87.365967999999995</v>
      </c>
      <c r="G1258">
        <v>7</v>
      </c>
    </row>
    <row r="1259" spans="1:7" x14ac:dyDescent="0.3">
      <c r="A1259" t="s">
        <v>1300</v>
      </c>
      <c r="B1259" t="s">
        <v>313</v>
      </c>
      <c r="C1259" t="s">
        <v>1110</v>
      </c>
      <c r="D1259" t="s">
        <v>1301</v>
      </c>
      <c r="E1259">
        <v>20.238164999999999</v>
      </c>
      <c r="F1259">
        <v>85.756642999999997</v>
      </c>
      <c r="G1259">
        <v>7</v>
      </c>
    </row>
    <row r="1260" spans="1:7" x14ac:dyDescent="0.3">
      <c r="A1260" t="s">
        <v>2423</v>
      </c>
      <c r="B1260" t="s">
        <v>2415</v>
      </c>
      <c r="C1260" t="s">
        <v>2424</v>
      </c>
      <c r="D1260" t="s">
        <v>2425</v>
      </c>
      <c r="E1260">
        <v>30.736691700000002</v>
      </c>
      <c r="F1260">
        <v>76.6803752</v>
      </c>
      <c r="G1260">
        <v>7</v>
      </c>
    </row>
    <row r="1261" spans="1:7" x14ac:dyDescent="0.3">
      <c r="A1261" t="s">
        <v>1311</v>
      </c>
      <c r="B1261" t="s">
        <v>18</v>
      </c>
      <c r="C1261" t="s">
        <v>1312</v>
      </c>
      <c r="D1261" t="s">
        <v>1313</v>
      </c>
      <c r="E1261">
        <v>28.828917000000001</v>
      </c>
      <c r="F1261">
        <v>78.732842899999994</v>
      </c>
      <c r="G1261">
        <v>7</v>
      </c>
    </row>
    <row r="1262" spans="1:7" x14ac:dyDescent="0.3">
      <c r="A1262" t="s">
        <v>1314</v>
      </c>
      <c r="B1262" t="s">
        <v>2131</v>
      </c>
      <c r="C1262" t="s">
        <v>45</v>
      </c>
      <c r="D1262" t="s">
        <v>1315</v>
      </c>
      <c r="E1262">
        <v>28.6868847</v>
      </c>
      <c r="F1262">
        <v>76.984928600000003</v>
      </c>
      <c r="G1262">
        <v>7</v>
      </c>
    </row>
    <row r="1263" spans="1:7" x14ac:dyDescent="0.3">
      <c r="A1263" t="s">
        <v>1319</v>
      </c>
      <c r="B1263" t="s">
        <v>150</v>
      </c>
      <c r="C1263" t="s">
        <v>1320</v>
      </c>
      <c r="D1263" t="s">
        <v>1321</v>
      </c>
      <c r="E1263">
        <v>15.369541</v>
      </c>
      <c r="F1263">
        <v>75.119095000000002</v>
      </c>
      <c r="G1263">
        <v>7</v>
      </c>
    </row>
    <row r="1264" spans="1:7" x14ac:dyDescent="0.3">
      <c r="A1264" t="s">
        <v>1322</v>
      </c>
      <c r="B1264" t="s">
        <v>41</v>
      </c>
      <c r="C1264" t="s">
        <v>1323</v>
      </c>
      <c r="D1264" t="s">
        <v>1324</v>
      </c>
      <c r="E1264">
        <v>18.487404999999999</v>
      </c>
      <c r="F1264">
        <v>74.146124999999998</v>
      </c>
      <c r="G1264">
        <v>7</v>
      </c>
    </row>
    <row r="1265" spans="1:7" x14ac:dyDescent="0.3">
      <c r="A1265" t="s">
        <v>1325</v>
      </c>
      <c r="B1265" t="s">
        <v>18</v>
      </c>
      <c r="C1265" t="s">
        <v>1259</v>
      </c>
      <c r="D1265" t="s">
        <v>1326</v>
      </c>
      <c r="E1265">
        <v>28.6765653</v>
      </c>
      <c r="F1265">
        <v>77.341821999999993</v>
      </c>
      <c r="G1265">
        <v>7</v>
      </c>
    </row>
    <row r="1266" spans="1:7" x14ac:dyDescent="0.3">
      <c r="A1266" t="s">
        <v>1343</v>
      </c>
      <c r="B1266" t="s">
        <v>41</v>
      </c>
      <c r="C1266" t="s">
        <v>1095</v>
      </c>
      <c r="D1266" t="s">
        <v>1344</v>
      </c>
      <c r="E1266">
        <v>17.926557540000001</v>
      </c>
      <c r="F1266">
        <v>73.695865650000002</v>
      </c>
      <c r="G1266">
        <v>7</v>
      </c>
    </row>
    <row r="1267" spans="1:7" x14ac:dyDescent="0.3">
      <c r="A1267" t="s">
        <v>1343</v>
      </c>
      <c r="B1267" t="s">
        <v>41</v>
      </c>
      <c r="C1267" t="s">
        <v>1095</v>
      </c>
      <c r="D1267" t="s">
        <v>1344</v>
      </c>
      <c r="E1267">
        <v>17.926557540000001</v>
      </c>
      <c r="F1267">
        <v>73.695865650000002</v>
      </c>
      <c r="G1267">
        <v>7</v>
      </c>
    </row>
    <row r="1268" spans="1:7" x14ac:dyDescent="0.3">
      <c r="A1268" t="s">
        <v>1369</v>
      </c>
      <c r="B1268" t="s">
        <v>41</v>
      </c>
      <c r="C1268" t="s">
        <v>42</v>
      </c>
      <c r="D1268" t="s">
        <v>1370</v>
      </c>
      <c r="E1268">
        <v>18.621396000000001</v>
      </c>
      <c r="F1268">
        <v>73.838437499999998</v>
      </c>
      <c r="G1268">
        <v>7</v>
      </c>
    </row>
    <row r="1269" spans="1:7" x14ac:dyDescent="0.3">
      <c r="A1269" t="s">
        <v>1445</v>
      </c>
      <c r="B1269" t="s">
        <v>41</v>
      </c>
      <c r="C1269" t="s">
        <v>221</v>
      </c>
      <c r="D1269" t="s">
        <v>1446</v>
      </c>
      <c r="E1269">
        <v>19.959451900000001</v>
      </c>
      <c r="F1269">
        <v>73.759105399999996</v>
      </c>
      <c r="G1269">
        <v>7</v>
      </c>
    </row>
    <row r="1270" spans="1:7" x14ac:dyDescent="0.3">
      <c r="A1270" t="s">
        <v>1447</v>
      </c>
      <c r="B1270" t="s">
        <v>41</v>
      </c>
      <c r="C1270" t="s">
        <v>1448</v>
      </c>
      <c r="D1270" t="s">
        <v>1449</v>
      </c>
      <c r="E1270">
        <v>18.415983099999998</v>
      </c>
      <c r="F1270">
        <v>76.535629900000004</v>
      </c>
      <c r="G1270">
        <v>7</v>
      </c>
    </row>
    <row r="1271" spans="1:7" x14ac:dyDescent="0.3">
      <c r="A1271" t="s">
        <v>1471</v>
      </c>
      <c r="B1271" t="s">
        <v>41</v>
      </c>
      <c r="C1271" t="s">
        <v>221</v>
      </c>
      <c r="D1271" t="s">
        <v>2426</v>
      </c>
      <c r="E1271">
        <v>19.962547099999998</v>
      </c>
      <c r="F1271">
        <v>73.765295600000002</v>
      </c>
      <c r="G1271">
        <v>7</v>
      </c>
    </row>
    <row r="1272" spans="1:7" x14ac:dyDescent="0.3">
      <c r="A1272" t="s">
        <v>1475</v>
      </c>
      <c r="B1272" t="s">
        <v>41</v>
      </c>
      <c r="C1272" t="s">
        <v>1120</v>
      </c>
      <c r="D1272" t="s">
        <v>1476</v>
      </c>
      <c r="E1272">
        <v>19.9116134</v>
      </c>
      <c r="F1272">
        <v>75.348291000000003</v>
      </c>
      <c r="G1272">
        <v>7</v>
      </c>
    </row>
    <row r="1273" spans="1:7" x14ac:dyDescent="0.3">
      <c r="A1273" t="s">
        <v>2427</v>
      </c>
      <c r="B1273" t="s">
        <v>41</v>
      </c>
      <c r="C1273" t="s">
        <v>1120</v>
      </c>
      <c r="D1273" t="s">
        <v>2428</v>
      </c>
      <c r="E1273">
        <v>19.894237499999999</v>
      </c>
      <c r="F1273">
        <v>75.328083800000002</v>
      </c>
      <c r="G1273">
        <v>7</v>
      </c>
    </row>
    <row r="1274" spans="1:7" x14ac:dyDescent="0.3">
      <c r="A1274" t="s">
        <v>2429</v>
      </c>
      <c r="B1274" t="s">
        <v>41</v>
      </c>
      <c r="C1274" t="s">
        <v>2430</v>
      </c>
      <c r="D1274" t="s">
        <v>2431</v>
      </c>
      <c r="E1274">
        <v>18.206924999999998</v>
      </c>
      <c r="F1274">
        <v>74.608566699999997</v>
      </c>
      <c r="G1274">
        <v>7</v>
      </c>
    </row>
    <row r="1275" spans="1:7" x14ac:dyDescent="0.3">
      <c r="A1275" t="s">
        <v>2432</v>
      </c>
      <c r="B1275" t="s">
        <v>41</v>
      </c>
      <c r="C1275" t="s">
        <v>41</v>
      </c>
      <c r="D1275" t="s">
        <v>2433</v>
      </c>
      <c r="E1275">
        <v>19.951899999999998</v>
      </c>
      <c r="F1275">
        <v>73.754099999999994</v>
      </c>
      <c r="G1275">
        <v>24</v>
      </c>
    </row>
    <row r="1276" spans="1:7" x14ac:dyDescent="0.3">
      <c r="A1276" t="s">
        <v>2432</v>
      </c>
      <c r="B1276" t="s">
        <v>41</v>
      </c>
      <c r="C1276" t="s">
        <v>41</v>
      </c>
      <c r="D1276" t="s">
        <v>2433</v>
      </c>
      <c r="E1276">
        <v>19.951899999999998</v>
      </c>
      <c r="F1276">
        <v>73.754099999999994</v>
      </c>
      <c r="G1276">
        <v>24</v>
      </c>
    </row>
    <row r="1277" spans="1:7" x14ac:dyDescent="0.3">
      <c r="A1277" t="s">
        <v>2434</v>
      </c>
      <c r="B1277" t="s">
        <v>313</v>
      </c>
      <c r="C1277" t="s">
        <v>1110</v>
      </c>
      <c r="D1277" t="s">
        <v>2435</v>
      </c>
      <c r="E1277">
        <v>20.227001000000001</v>
      </c>
      <c r="F1277">
        <v>85.840965999999995</v>
      </c>
      <c r="G1277">
        <v>7</v>
      </c>
    </row>
    <row r="1278" spans="1:7" x14ac:dyDescent="0.3">
      <c r="A1278" t="s">
        <v>980</v>
      </c>
      <c r="B1278" t="s">
        <v>313</v>
      </c>
      <c r="C1278" t="s">
        <v>981</v>
      </c>
      <c r="D1278" t="s">
        <v>982</v>
      </c>
      <c r="E1278">
        <v>20.405169999999998</v>
      </c>
      <c r="F1278">
        <v>85.879782000000006</v>
      </c>
      <c r="G1278">
        <v>7</v>
      </c>
    </row>
    <row r="1279" spans="1:7" x14ac:dyDescent="0.3">
      <c r="A1279" t="s">
        <v>1273</v>
      </c>
      <c r="B1279" t="s">
        <v>313</v>
      </c>
      <c r="C1279" t="s">
        <v>1274</v>
      </c>
      <c r="D1279" t="s">
        <v>1275</v>
      </c>
      <c r="E1279">
        <v>21.497869000000001</v>
      </c>
      <c r="F1279">
        <v>86.889610000000005</v>
      </c>
      <c r="G1279">
        <v>7</v>
      </c>
    </row>
    <row r="1280" spans="1:7" x14ac:dyDescent="0.3">
      <c r="A1280" t="s">
        <v>2436</v>
      </c>
      <c r="B1280" t="s">
        <v>313</v>
      </c>
      <c r="C1280" t="s">
        <v>2437</v>
      </c>
      <c r="D1280" t="s">
        <v>2438</v>
      </c>
      <c r="E1280">
        <v>21.498343999999999</v>
      </c>
      <c r="F1280">
        <v>83.956558000000001</v>
      </c>
      <c r="G1280">
        <v>7</v>
      </c>
    </row>
    <row r="1281" spans="1:7" x14ac:dyDescent="0.3">
      <c r="A1281" t="s">
        <v>1359</v>
      </c>
      <c r="B1281" t="s">
        <v>313</v>
      </c>
      <c r="C1281" t="s">
        <v>1360</v>
      </c>
      <c r="D1281" t="s">
        <v>1361</v>
      </c>
      <c r="E1281">
        <v>18.858098300000002</v>
      </c>
      <c r="F1281">
        <v>82.589986699999997</v>
      </c>
      <c r="G1281">
        <v>7</v>
      </c>
    </row>
    <row r="1282" spans="1:7" x14ac:dyDescent="0.3">
      <c r="A1282" t="s">
        <v>1367</v>
      </c>
      <c r="B1282" t="s">
        <v>313</v>
      </c>
      <c r="C1282" t="s">
        <v>1110</v>
      </c>
      <c r="D1282" t="s">
        <v>1368</v>
      </c>
      <c r="E1282">
        <v>20.240856000000001</v>
      </c>
      <c r="F1282">
        <v>86.758381999999997</v>
      </c>
      <c r="G1282">
        <v>7</v>
      </c>
    </row>
    <row r="1283" spans="1:7" x14ac:dyDescent="0.3">
      <c r="A1283" t="s">
        <v>1371</v>
      </c>
      <c r="B1283" t="s">
        <v>313</v>
      </c>
      <c r="C1283" t="s">
        <v>1110</v>
      </c>
      <c r="D1283" t="s">
        <v>1372</v>
      </c>
      <c r="E1283">
        <v>20.296188999999998</v>
      </c>
      <c r="F1283">
        <v>85.804044500000003</v>
      </c>
      <c r="G1283">
        <v>7</v>
      </c>
    </row>
    <row r="1284" spans="1:7" x14ac:dyDescent="0.3">
      <c r="A1284" t="s">
        <v>1373</v>
      </c>
      <c r="B1284" t="s">
        <v>313</v>
      </c>
      <c r="C1284" t="s">
        <v>1110</v>
      </c>
      <c r="D1284" t="s">
        <v>1374</v>
      </c>
      <c r="E1284">
        <v>20.306664699999999</v>
      </c>
      <c r="F1284">
        <v>85.852818900000003</v>
      </c>
      <c r="G1284">
        <v>7</v>
      </c>
    </row>
    <row r="1285" spans="1:7" x14ac:dyDescent="0.3">
      <c r="A1285" t="s">
        <v>1375</v>
      </c>
      <c r="B1285" t="s">
        <v>313</v>
      </c>
      <c r="C1285" t="s">
        <v>1110</v>
      </c>
      <c r="D1285" t="s">
        <v>1376</v>
      </c>
      <c r="E1285">
        <v>20.285483899999999</v>
      </c>
      <c r="F1285">
        <v>85.809325099999995</v>
      </c>
      <c r="G1285">
        <v>7</v>
      </c>
    </row>
    <row r="1286" spans="1:7" x14ac:dyDescent="0.3">
      <c r="A1286" t="s">
        <v>2439</v>
      </c>
      <c r="B1286" t="s">
        <v>313</v>
      </c>
      <c r="C1286" t="s">
        <v>981</v>
      </c>
      <c r="D1286" t="s">
        <v>2440</v>
      </c>
      <c r="E1286">
        <v>20.529316000000001</v>
      </c>
      <c r="F1286">
        <v>85.949236999999997</v>
      </c>
      <c r="G1286">
        <v>7</v>
      </c>
    </row>
    <row r="1287" spans="1:7" x14ac:dyDescent="0.3">
      <c r="A1287" t="s">
        <v>1379</v>
      </c>
      <c r="B1287" t="s">
        <v>313</v>
      </c>
      <c r="C1287" t="s">
        <v>1380</v>
      </c>
      <c r="D1287" t="s">
        <v>1381</v>
      </c>
      <c r="E1287">
        <v>20.9187324</v>
      </c>
      <c r="F1287">
        <v>86.216982700000003</v>
      </c>
      <c r="G1287">
        <v>7</v>
      </c>
    </row>
    <row r="1288" spans="1:7" x14ac:dyDescent="0.3">
      <c r="A1288" t="s">
        <v>1382</v>
      </c>
      <c r="B1288" t="s">
        <v>313</v>
      </c>
      <c r="C1288" t="s">
        <v>1383</v>
      </c>
      <c r="D1288" t="s">
        <v>1384</v>
      </c>
      <c r="E1288">
        <v>20.831755699999999</v>
      </c>
      <c r="F1288">
        <v>85.241660300000007</v>
      </c>
      <c r="G1288">
        <v>7</v>
      </c>
    </row>
    <row r="1289" spans="1:7" x14ac:dyDescent="0.3">
      <c r="A1289" t="s">
        <v>2441</v>
      </c>
      <c r="B1289" t="s">
        <v>313</v>
      </c>
      <c r="C1289" t="s">
        <v>2442</v>
      </c>
      <c r="D1289" t="s">
        <v>2443</v>
      </c>
      <c r="E1289">
        <v>20.950256199999998</v>
      </c>
      <c r="F1289">
        <v>85.989752999999993</v>
      </c>
      <c r="G1289">
        <v>7</v>
      </c>
    </row>
    <row r="1290" spans="1:7" x14ac:dyDescent="0.3">
      <c r="A1290" t="s">
        <v>2444</v>
      </c>
      <c r="B1290" t="s">
        <v>313</v>
      </c>
      <c r="C1290" t="s">
        <v>1110</v>
      </c>
      <c r="D1290" t="s">
        <v>2445</v>
      </c>
      <c r="E1290">
        <v>20.3395267</v>
      </c>
      <c r="F1290">
        <v>85.800650000000005</v>
      </c>
      <c r="G1290">
        <v>7</v>
      </c>
    </row>
    <row r="1291" spans="1:7" x14ac:dyDescent="0.3">
      <c r="A1291" t="s">
        <v>2446</v>
      </c>
      <c r="B1291" t="s">
        <v>313</v>
      </c>
      <c r="C1291" t="s">
        <v>1110</v>
      </c>
      <c r="D1291" t="s">
        <v>2447</v>
      </c>
      <c r="E1291">
        <v>20.299638099999999</v>
      </c>
      <c r="F1291">
        <v>85.830933599999994</v>
      </c>
      <c r="G1291">
        <v>7</v>
      </c>
    </row>
    <row r="1292" spans="1:7" x14ac:dyDescent="0.3">
      <c r="A1292" t="s">
        <v>2448</v>
      </c>
      <c r="B1292" t="s">
        <v>313</v>
      </c>
      <c r="C1292" t="s">
        <v>1383</v>
      </c>
      <c r="D1292" t="s">
        <v>2449</v>
      </c>
      <c r="E1292">
        <v>20.832861999999999</v>
      </c>
      <c r="F1292">
        <v>85.238258400000007</v>
      </c>
      <c r="G1292">
        <v>7</v>
      </c>
    </row>
    <row r="1293" spans="1:7" x14ac:dyDescent="0.3">
      <c r="A1293" t="s">
        <v>2450</v>
      </c>
      <c r="B1293" t="s">
        <v>313</v>
      </c>
      <c r="C1293" t="s">
        <v>1110</v>
      </c>
      <c r="D1293" t="s">
        <v>2451</v>
      </c>
      <c r="E1293">
        <v>20.3</v>
      </c>
      <c r="F1293">
        <v>85.82</v>
      </c>
      <c r="G1293">
        <v>7</v>
      </c>
    </row>
    <row r="1294" spans="1:7" x14ac:dyDescent="0.3">
      <c r="A1294" t="s">
        <v>1020</v>
      </c>
      <c r="B1294" t="s">
        <v>2415</v>
      </c>
      <c r="C1294" t="s">
        <v>361</v>
      </c>
      <c r="D1294" t="s">
        <v>1021</v>
      </c>
      <c r="E1294">
        <v>30.696490000000001</v>
      </c>
      <c r="F1294">
        <v>76.796620000000004</v>
      </c>
      <c r="G1294">
        <v>7</v>
      </c>
    </row>
    <row r="1295" spans="1:7" x14ac:dyDescent="0.3">
      <c r="A1295" t="s">
        <v>2452</v>
      </c>
      <c r="B1295" t="s">
        <v>41</v>
      </c>
      <c r="C1295" t="s">
        <v>42</v>
      </c>
      <c r="D1295" t="s">
        <v>1231</v>
      </c>
      <c r="E1295">
        <v>18.620957400000002</v>
      </c>
      <c r="F1295">
        <v>73.829984199999998</v>
      </c>
      <c r="G1295">
        <v>7</v>
      </c>
    </row>
    <row r="1296" spans="1:7" x14ac:dyDescent="0.3">
      <c r="A1296" t="s">
        <v>2453</v>
      </c>
      <c r="B1296" t="s">
        <v>842</v>
      </c>
      <c r="C1296" t="s">
        <v>842</v>
      </c>
      <c r="D1296" t="s">
        <v>2454</v>
      </c>
      <c r="E1296">
        <v>11.8945141</v>
      </c>
      <c r="F1296">
        <v>79.802681899999996</v>
      </c>
      <c r="G1296">
        <v>7</v>
      </c>
    </row>
    <row r="1297" spans="1:7" x14ac:dyDescent="0.3">
      <c r="A1297" t="s">
        <v>1948</v>
      </c>
      <c r="B1297" t="s">
        <v>2415</v>
      </c>
      <c r="C1297" t="s">
        <v>1949</v>
      </c>
      <c r="D1297" t="s">
        <v>1950</v>
      </c>
      <c r="E1297">
        <v>30.661356000000001</v>
      </c>
      <c r="F1297">
        <v>76.731482</v>
      </c>
      <c r="G1297">
        <v>20</v>
      </c>
    </row>
    <row r="1298" spans="1:7" x14ac:dyDescent="0.3">
      <c r="A1298" t="s">
        <v>2455</v>
      </c>
      <c r="B1298" t="s">
        <v>2415</v>
      </c>
      <c r="C1298" t="s">
        <v>2456</v>
      </c>
      <c r="D1298" t="s">
        <v>2457</v>
      </c>
      <c r="E1298">
        <v>30.857873000000001</v>
      </c>
      <c r="F1298">
        <v>75.936632000000003</v>
      </c>
      <c r="G1298">
        <v>7</v>
      </c>
    </row>
    <row r="1299" spans="1:7" x14ac:dyDescent="0.3">
      <c r="A1299" t="s">
        <v>2458</v>
      </c>
      <c r="B1299" t="s">
        <v>2415</v>
      </c>
      <c r="C1299" t="s">
        <v>361</v>
      </c>
      <c r="D1299" t="s">
        <v>2459</v>
      </c>
      <c r="E1299">
        <v>30.699051600000001</v>
      </c>
      <c r="F1299">
        <v>76.785531300000002</v>
      </c>
      <c r="G1299">
        <v>7</v>
      </c>
    </row>
    <row r="1300" spans="1:7" x14ac:dyDescent="0.3">
      <c r="A1300" t="s">
        <v>2460</v>
      </c>
      <c r="B1300" t="s">
        <v>2415</v>
      </c>
      <c r="C1300" t="s">
        <v>361</v>
      </c>
      <c r="D1300" t="s">
        <v>2461</v>
      </c>
      <c r="E1300">
        <v>30.731142999999999</v>
      </c>
      <c r="F1300">
        <v>76.836681999999996</v>
      </c>
      <c r="G1300">
        <v>7</v>
      </c>
    </row>
    <row r="1301" spans="1:7" x14ac:dyDescent="0.3">
      <c r="A1301" t="s">
        <v>2462</v>
      </c>
      <c r="B1301" t="s">
        <v>2415</v>
      </c>
      <c r="C1301" t="s">
        <v>2424</v>
      </c>
      <c r="D1301" t="s">
        <v>2463</v>
      </c>
      <c r="E1301">
        <v>30.679836000000002</v>
      </c>
      <c r="F1301">
        <v>76.746633000000003</v>
      </c>
      <c r="G1301">
        <v>7</v>
      </c>
    </row>
    <row r="1302" spans="1:7" x14ac:dyDescent="0.3">
      <c r="A1302" t="s">
        <v>2464</v>
      </c>
      <c r="B1302" t="s">
        <v>2415</v>
      </c>
      <c r="C1302" t="s">
        <v>2456</v>
      </c>
      <c r="D1302" t="s">
        <v>2465</v>
      </c>
      <c r="E1302">
        <v>30.9491373</v>
      </c>
      <c r="F1302">
        <v>75.826643000000004</v>
      </c>
      <c r="G1302">
        <v>7</v>
      </c>
    </row>
    <row r="1303" spans="1:7" x14ac:dyDescent="0.3">
      <c r="A1303" t="s">
        <v>2466</v>
      </c>
      <c r="B1303" t="s">
        <v>181</v>
      </c>
      <c r="C1303" t="s">
        <v>2467</v>
      </c>
      <c r="D1303" t="s">
        <v>2468</v>
      </c>
      <c r="E1303">
        <v>31.646175899999999</v>
      </c>
      <c r="F1303">
        <v>74.878269000000003</v>
      </c>
      <c r="G1303">
        <v>7</v>
      </c>
    </row>
    <row r="1304" spans="1:7" x14ac:dyDescent="0.3">
      <c r="A1304" t="s">
        <v>2469</v>
      </c>
      <c r="B1304" t="s">
        <v>1365</v>
      </c>
      <c r="C1304" t="s">
        <v>1365</v>
      </c>
      <c r="D1304" t="s">
        <v>2470</v>
      </c>
      <c r="E1304">
        <v>16.983329600000001</v>
      </c>
      <c r="F1304">
        <v>81.798042699999996</v>
      </c>
      <c r="G1304">
        <v>7</v>
      </c>
    </row>
    <row r="1305" spans="1:7" x14ac:dyDescent="0.3">
      <c r="A1305" t="s">
        <v>2471</v>
      </c>
      <c r="B1305" t="s">
        <v>14</v>
      </c>
      <c r="C1305" t="s">
        <v>214</v>
      </c>
      <c r="D1305" t="s">
        <v>2472</v>
      </c>
      <c r="E1305">
        <v>26.833144000000001</v>
      </c>
      <c r="F1305">
        <v>75.795100000000005</v>
      </c>
      <c r="G1305">
        <v>7</v>
      </c>
    </row>
    <row r="1306" spans="1:7" x14ac:dyDescent="0.3">
      <c r="A1306" t="s">
        <v>2473</v>
      </c>
      <c r="B1306" t="s">
        <v>14</v>
      </c>
      <c r="C1306" t="s">
        <v>2474</v>
      </c>
      <c r="D1306" t="s">
        <v>2475</v>
      </c>
      <c r="E1306">
        <v>24.574884999999998</v>
      </c>
      <c r="F1306">
        <v>73.746285</v>
      </c>
      <c r="G1306">
        <v>7</v>
      </c>
    </row>
    <row r="1307" spans="1:7" x14ac:dyDescent="0.3">
      <c r="A1307" t="s">
        <v>2476</v>
      </c>
      <c r="B1307" t="s">
        <v>14</v>
      </c>
      <c r="C1307" t="s">
        <v>1393</v>
      </c>
      <c r="D1307" t="s">
        <v>2477</v>
      </c>
      <c r="E1307">
        <v>26.426756600000001</v>
      </c>
      <c r="F1307">
        <v>74.681974499999995</v>
      </c>
      <c r="G1307">
        <v>7</v>
      </c>
    </row>
    <row r="1308" spans="1:7" x14ac:dyDescent="0.3">
      <c r="A1308" t="s">
        <v>2478</v>
      </c>
      <c r="B1308" t="s">
        <v>14</v>
      </c>
      <c r="C1308" t="s">
        <v>214</v>
      </c>
      <c r="D1308" t="s">
        <v>2479</v>
      </c>
      <c r="E1308">
        <v>26.972289</v>
      </c>
      <c r="F1308">
        <v>75.777332000000001</v>
      </c>
      <c r="G1308">
        <v>7</v>
      </c>
    </row>
    <row r="1309" spans="1:7" x14ac:dyDescent="0.3">
      <c r="A1309" t="s">
        <v>2480</v>
      </c>
      <c r="B1309" t="s">
        <v>14</v>
      </c>
      <c r="C1309" t="s">
        <v>214</v>
      </c>
      <c r="D1309" t="s">
        <v>2481</v>
      </c>
      <c r="E1309">
        <v>26.7775967</v>
      </c>
      <c r="F1309">
        <v>75.839281299999996</v>
      </c>
      <c r="G1309">
        <v>7</v>
      </c>
    </row>
    <row r="1310" spans="1:7" x14ac:dyDescent="0.3">
      <c r="A1310" t="s">
        <v>2482</v>
      </c>
      <c r="B1310" t="s">
        <v>14</v>
      </c>
      <c r="C1310" t="s">
        <v>214</v>
      </c>
      <c r="D1310" t="s">
        <v>2483</v>
      </c>
      <c r="E1310">
        <v>26.901322100000002</v>
      </c>
      <c r="F1310">
        <v>75.835451199999994</v>
      </c>
      <c r="G1310">
        <v>7</v>
      </c>
    </row>
    <row r="1311" spans="1:7" x14ac:dyDescent="0.3">
      <c r="A1311" t="s">
        <v>2484</v>
      </c>
      <c r="B1311" t="s">
        <v>14</v>
      </c>
      <c r="C1311" t="s">
        <v>2474</v>
      </c>
      <c r="D1311" t="s">
        <v>2485</v>
      </c>
      <c r="E1311">
        <v>24.581105999999998</v>
      </c>
      <c r="F1311">
        <v>73.696686999999997</v>
      </c>
      <c r="G1311">
        <v>7</v>
      </c>
    </row>
    <row r="1312" spans="1:7" x14ac:dyDescent="0.3">
      <c r="A1312" t="s">
        <v>1179</v>
      </c>
      <c r="B1312" t="s">
        <v>14</v>
      </c>
      <c r="C1312" t="s">
        <v>214</v>
      </c>
      <c r="D1312" t="s">
        <v>1180</v>
      </c>
      <c r="E1312">
        <v>26.864372199999998</v>
      </c>
      <c r="F1312">
        <v>75.795770300000001</v>
      </c>
      <c r="G1312">
        <v>7</v>
      </c>
    </row>
    <row r="1313" spans="1:7" x14ac:dyDescent="0.3">
      <c r="A1313" t="s">
        <v>1282</v>
      </c>
      <c r="B1313" t="s">
        <v>14</v>
      </c>
      <c r="C1313" t="s">
        <v>1283</v>
      </c>
      <c r="D1313" t="s">
        <v>1284</v>
      </c>
      <c r="E1313">
        <v>27.159085099999999</v>
      </c>
      <c r="F1313">
        <v>75.960384399999995</v>
      </c>
      <c r="G1313">
        <v>7</v>
      </c>
    </row>
    <row r="1314" spans="1:7" x14ac:dyDescent="0.3">
      <c r="A1314" t="s">
        <v>2486</v>
      </c>
      <c r="B1314" t="s">
        <v>14</v>
      </c>
      <c r="C1314" t="s">
        <v>2487</v>
      </c>
      <c r="D1314" t="s">
        <v>2488</v>
      </c>
      <c r="E1314">
        <v>25.38240223</v>
      </c>
      <c r="F1314">
        <v>74.619583770000006</v>
      </c>
      <c r="G1314">
        <v>7</v>
      </c>
    </row>
    <row r="1315" spans="1:7" x14ac:dyDescent="0.3">
      <c r="A1315" t="s">
        <v>1331</v>
      </c>
      <c r="B1315" t="s">
        <v>14</v>
      </c>
      <c r="C1315" t="s">
        <v>1332</v>
      </c>
      <c r="D1315" t="s">
        <v>1333</v>
      </c>
      <c r="E1315">
        <v>24.827664500000001</v>
      </c>
      <c r="F1315">
        <v>74.627293499999993</v>
      </c>
      <c r="G1315">
        <v>7</v>
      </c>
    </row>
    <row r="1316" spans="1:7" x14ac:dyDescent="0.3">
      <c r="A1316" t="s">
        <v>1387</v>
      </c>
      <c r="B1316" t="s">
        <v>14</v>
      </c>
      <c r="C1316" t="s">
        <v>1388</v>
      </c>
      <c r="D1316" t="s">
        <v>1389</v>
      </c>
      <c r="E1316">
        <v>26.912863999999999</v>
      </c>
      <c r="F1316">
        <v>76.466964000000004</v>
      </c>
      <c r="G1316">
        <v>7</v>
      </c>
    </row>
    <row r="1317" spans="1:7" x14ac:dyDescent="0.3">
      <c r="A1317" t="s">
        <v>1390</v>
      </c>
      <c r="B1317" t="s">
        <v>14</v>
      </c>
      <c r="C1317" t="s">
        <v>214</v>
      </c>
      <c r="D1317" t="s">
        <v>1391</v>
      </c>
      <c r="E1317">
        <v>27.2377252</v>
      </c>
      <c r="F1317">
        <v>75.948597500000005</v>
      </c>
      <c r="G1317">
        <v>7</v>
      </c>
    </row>
    <row r="1318" spans="1:7" x14ac:dyDescent="0.3">
      <c r="A1318" t="s">
        <v>1392</v>
      </c>
      <c r="B1318" t="s">
        <v>14</v>
      </c>
      <c r="C1318" t="s">
        <v>1393</v>
      </c>
      <c r="D1318" t="s">
        <v>1394</v>
      </c>
      <c r="E1318">
        <v>26.487745</v>
      </c>
      <c r="F1318">
        <v>74.629316399999993</v>
      </c>
      <c r="G1318">
        <v>7</v>
      </c>
    </row>
    <row r="1319" spans="1:7" x14ac:dyDescent="0.3">
      <c r="A1319" t="s">
        <v>1395</v>
      </c>
      <c r="B1319" t="s">
        <v>14</v>
      </c>
      <c r="C1319" t="s">
        <v>1396</v>
      </c>
      <c r="D1319" t="s">
        <v>1397</v>
      </c>
      <c r="E1319">
        <v>25.936067999999999</v>
      </c>
      <c r="F1319">
        <v>75.458672000000007</v>
      </c>
      <c r="G1319">
        <v>7</v>
      </c>
    </row>
    <row r="1320" spans="1:7" x14ac:dyDescent="0.3">
      <c r="A1320" t="s">
        <v>1398</v>
      </c>
      <c r="B1320" t="s">
        <v>14</v>
      </c>
      <c r="C1320" t="s">
        <v>1399</v>
      </c>
      <c r="D1320" t="s">
        <v>1400</v>
      </c>
      <c r="E1320">
        <v>28.0088483</v>
      </c>
      <c r="F1320">
        <v>76.463978299999994</v>
      </c>
      <c r="G1320">
        <v>7</v>
      </c>
    </row>
    <row r="1321" spans="1:7" x14ac:dyDescent="0.3">
      <c r="A1321" t="s">
        <v>1473</v>
      </c>
      <c r="B1321" t="s">
        <v>14</v>
      </c>
      <c r="C1321" t="s">
        <v>214</v>
      </c>
      <c r="D1321" t="s">
        <v>1474</v>
      </c>
      <c r="E1321">
        <v>26.892351399999999</v>
      </c>
      <c r="F1321">
        <v>75.825707300000005</v>
      </c>
      <c r="G1321">
        <v>7</v>
      </c>
    </row>
    <row r="1322" spans="1:7" x14ac:dyDescent="0.3">
      <c r="A1322" t="s">
        <v>1485</v>
      </c>
      <c r="B1322" t="s">
        <v>14</v>
      </c>
      <c r="C1322" t="s">
        <v>262</v>
      </c>
      <c r="D1322" t="s">
        <v>1486</v>
      </c>
      <c r="E1322">
        <v>27.4914624</v>
      </c>
      <c r="F1322">
        <v>76.053007699999995</v>
      </c>
      <c r="G1322">
        <v>7</v>
      </c>
    </row>
    <row r="1323" spans="1:7" x14ac:dyDescent="0.3">
      <c r="A1323" t="s">
        <v>1495</v>
      </c>
      <c r="B1323" t="s">
        <v>14</v>
      </c>
      <c r="C1323" t="s">
        <v>214</v>
      </c>
      <c r="D1323" t="s">
        <v>1496</v>
      </c>
      <c r="E1323">
        <v>26.920616899999999</v>
      </c>
      <c r="F1323">
        <v>75.797517299999996</v>
      </c>
      <c r="G1323">
        <v>7</v>
      </c>
    </row>
    <row r="1324" spans="1:7" x14ac:dyDescent="0.3">
      <c r="A1324" t="s">
        <v>2489</v>
      </c>
      <c r="B1324" t="s">
        <v>14</v>
      </c>
      <c r="C1324" t="s">
        <v>2490</v>
      </c>
      <c r="D1324" t="s">
        <v>2491</v>
      </c>
      <c r="E1324">
        <v>26.209769999999999</v>
      </c>
      <c r="F1324">
        <v>73.065008300000002</v>
      </c>
      <c r="G1324">
        <v>7</v>
      </c>
    </row>
    <row r="1325" spans="1:7" x14ac:dyDescent="0.3">
      <c r="A1325" t="s">
        <v>2492</v>
      </c>
      <c r="B1325" t="s">
        <v>14</v>
      </c>
      <c r="C1325" t="s">
        <v>2493</v>
      </c>
      <c r="D1325" t="s">
        <v>2494</v>
      </c>
      <c r="E1325">
        <v>27.736300700000001</v>
      </c>
      <c r="F1325">
        <v>74.742638600000006</v>
      </c>
      <c r="G1325">
        <v>7</v>
      </c>
    </row>
    <row r="1326" spans="1:7" x14ac:dyDescent="0.3">
      <c r="A1326" t="s">
        <v>2495</v>
      </c>
      <c r="B1326" t="s">
        <v>14</v>
      </c>
      <c r="C1326" t="s">
        <v>214</v>
      </c>
      <c r="D1326" t="s">
        <v>2496</v>
      </c>
      <c r="E1326">
        <v>26.9013484</v>
      </c>
      <c r="F1326">
        <v>75.785012600000002</v>
      </c>
      <c r="G1326">
        <v>7</v>
      </c>
    </row>
    <row r="1327" spans="1:7" x14ac:dyDescent="0.3">
      <c r="A1327" t="s">
        <v>2497</v>
      </c>
      <c r="B1327" t="s">
        <v>14</v>
      </c>
      <c r="C1327" t="s">
        <v>2474</v>
      </c>
      <c r="D1327" t="s">
        <v>2498</v>
      </c>
      <c r="E1327">
        <v>24.574439999999999</v>
      </c>
      <c r="F1327">
        <v>73.723510000000005</v>
      </c>
      <c r="G1327">
        <v>7</v>
      </c>
    </row>
    <row r="1328" spans="1:7" x14ac:dyDescent="0.3">
      <c r="A1328" t="s">
        <v>2499</v>
      </c>
      <c r="B1328" t="s">
        <v>14</v>
      </c>
      <c r="C1328" t="s">
        <v>2500</v>
      </c>
      <c r="D1328" t="s">
        <v>2501</v>
      </c>
      <c r="E1328">
        <v>27.344906900000002</v>
      </c>
      <c r="F1328">
        <v>75.602003100000005</v>
      </c>
      <c r="G1328">
        <v>7</v>
      </c>
    </row>
    <row r="1329" spans="1:7" x14ac:dyDescent="0.3">
      <c r="A1329" t="s">
        <v>1152</v>
      </c>
      <c r="B1329" t="s">
        <v>1153</v>
      </c>
      <c r="C1329" t="s">
        <v>1154</v>
      </c>
      <c r="D1329" t="s">
        <v>1155</v>
      </c>
      <c r="E1329">
        <v>27.305523999999998</v>
      </c>
      <c r="F1329">
        <v>88.585965000000002</v>
      </c>
      <c r="G1329">
        <v>7</v>
      </c>
    </row>
    <row r="1330" spans="1:7" x14ac:dyDescent="0.3">
      <c r="A1330" t="s">
        <v>2502</v>
      </c>
      <c r="B1330" t="s">
        <v>68</v>
      </c>
      <c r="C1330" t="s">
        <v>2198</v>
      </c>
      <c r="D1330" t="s">
        <v>2503</v>
      </c>
      <c r="E1330">
        <v>21.221</v>
      </c>
      <c r="F1330">
        <v>72.8733</v>
      </c>
      <c r="G1330">
        <v>24</v>
      </c>
    </row>
    <row r="1331" spans="1:7" x14ac:dyDescent="0.3">
      <c r="A1331" t="s">
        <v>1992</v>
      </c>
      <c r="B1331" t="s">
        <v>49</v>
      </c>
      <c r="C1331" t="s">
        <v>1993</v>
      </c>
      <c r="D1331" t="s">
        <v>1994</v>
      </c>
      <c r="E1331">
        <v>11.591984999999999</v>
      </c>
      <c r="F1331">
        <v>78.627218999999997</v>
      </c>
      <c r="G1331">
        <v>11</v>
      </c>
    </row>
    <row r="1332" spans="1:7" x14ac:dyDescent="0.3">
      <c r="A1332" t="s">
        <v>1995</v>
      </c>
      <c r="B1332" t="s">
        <v>49</v>
      </c>
      <c r="C1332" t="s">
        <v>1996</v>
      </c>
      <c r="D1332" t="s">
        <v>1997</v>
      </c>
      <c r="E1332">
        <v>11.175093</v>
      </c>
      <c r="F1332">
        <v>77.263373999999999</v>
      </c>
      <c r="G1332">
        <v>11</v>
      </c>
    </row>
    <row r="1333" spans="1:7" x14ac:dyDescent="0.3">
      <c r="A1333" t="s">
        <v>2005</v>
      </c>
      <c r="B1333" t="s">
        <v>49</v>
      </c>
      <c r="C1333" t="s">
        <v>2006</v>
      </c>
      <c r="D1333" t="s">
        <v>2007</v>
      </c>
      <c r="E1333">
        <v>11.008934999999999</v>
      </c>
      <c r="F1333">
        <v>76.959540000000004</v>
      </c>
      <c r="G1333">
        <v>11</v>
      </c>
    </row>
    <row r="1334" spans="1:7" x14ac:dyDescent="0.3">
      <c r="A1334" t="s">
        <v>2011</v>
      </c>
      <c r="B1334" t="s">
        <v>49</v>
      </c>
      <c r="C1334" t="s">
        <v>2012</v>
      </c>
      <c r="D1334" t="s">
        <v>2013</v>
      </c>
      <c r="E1334">
        <v>12.582141</v>
      </c>
      <c r="F1334">
        <v>78.157100999999997</v>
      </c>
      <c r="G1334">
        <v>11</v>
      </c>
    </row>
    <row r="1335" spans="1:7" x14ac:dyDescent="0.3">
      <c r="A1335" t="s">
        <v>2017</v>
      </c>
      <c r="B1335" t="s">
        <v>49</v>
      </c>
      <c r="C1335" t="s">
        <v>2018</v>
      </c>
      <c r="D1335" t="s">
        <v>2019</v>
      </c>
      <c r="E1335">
        <v>11.519342</v>
      </c>
      <c r="F1335">
        <v>77.935041999999996</v>
      </c>
      <c r="G1335">
        <v>11</v>
      </c>
    </row>
    <row r="1336" spans="1:7" x14ac:dyDescent="0.3">
      <c r="A1336" t="s">
        <v>2020</v>
      </c>
      <c r="B1336" t="s">
        <v>49</v>
      </c>
      <c r="C1336" t="s">
        <v>2021</v>
      </c>
      <c r="D1336" t="s">
        <v>2022</v>
      </c>
      <c r="E1336">
        <v>11.2064644</v>
      </c>
      <c r="F1336">
        <v>78.881240599999998</v>
      </c>
      <c r="G1336">
        <v>11</v>
      </c>
    </row>
    <row r="1337" spans="1:7" x14ac:dyDescent="0.3">
      <c r="A1337" t="s">
        <v>2504</v>
      </c>
      <c r="B1337" t="s">
        <v>49</v>
      </c>
      <c r="C1337" t="s">
        <v>2024</v>
      </c>
      <c r="D1337" t="s">
        <v>2025</v>
      </c>
      <c r="E1337">
        <v>11.7194357</v>
      </c>
      <c r="F1337">
        <v>79.336459700000006</v>
      </c>
      <c r="G1337">
        <v>11</v>
      </c>
    </row>
    <row r="1338" spans="1:7" x14ac:dyDescent="0.3">
      <c r="A1338" t="s">
        <v>2029</v>
      </c>
      <c r="B1338" t="s">
        <v>49</v>
      </c>
      <c r="C1338" t="s">
        <v>2030</v>
      </c>
      <c r="D1338" t="s">
        <v>2031</v>
      </c>
      <c r="E1338">
        <v>10.242808699999999</v>
      </c>
      <c r="F1338">
        <v>77.498363400000002</v>
      </c>
      <c r="G1338">
        <v>11</v>
      </c>
    </row>
    <row r="1339" spans="1:7" x14ac:dyDescent="0.3">
      <c r="A1339" t="s">
        <v>2038</v>
      </c>
      <c r="B1339" t="s">
        <v>49</v>
      </c>
      <c r="C1339" t="s">
        <v>2039</v>
      </c>
      <c r="D1339" t="s">
        <v>2040</v>
      </c>
      <c r="E1339">
        <v>12.646274699999999</v>
      </c>
      <c r="F1339">
        <v>78.047011100000006</v>
      </c>
      <c r="G1339">
        <v>11</v>
      </c>
    </row>
    <row r="1340" spans="1:7" x14ac:dyDescent="0.3">
      <c r="A1340" t="s">
        <v>2046</v>
      </c>
      <c r="B1340" t="s">
        <v>49</v>
      </c>
      <c r="C1340" t="s">
        <v>2047</v>
      </c>
      <c r="D1340" t="s">
        <v>2048</v>
      </c>
      <c r="E1340">
        <v>12.297694</v>
      </c>
      <c r="F1340">
        <v>79.733649999999997</v>
      </c>
      <c r="G1340">
        <v>11</v>
      </c>
    </row>
    <row r="1341" spans="1:7" x14ac:dyDescent="0.3">
      <c r="A1341" t="s">
        <v>1890</v>
      </c>
      <c r="B1341" t="s">
        <v>49</v>
      </c>
      <c r="C1341" t="s">
        <v>1008</v>
      </c>
      <c r="D1341" t="s">
        <v>1891</v>
      </c>
      <c r="E1341">
        <v>13.088248999999999</v>
      </c>
      <c r="F1341">
        <v>80.285359</v>
      </c>
      <c r="G1341">
        <v>8</v>
      </c>
    </row>
    <row r="1342" spans="1:7" x14ac:dyDescent="0.3">
      <c r="A1342" t="s">
        <v>1890</v>
      </c>
      <c r="B1342" t="s">
        <v>49</v>
      </c>
      <c r="C1342" t="s">
        <v>1008</v>
      </c>
      <c r="D1342" t="s">
        <v>1891</v>
      </c>
      <c r="E1342">
        <v>13.088248999999999</v>
      </c>
      <c r="F1342">
        <v>80.285359</v>
      </c>
      <c r="G1342">
        <v>8</v>
      </c>
    </row>
    <row r="1343" spans="1:7" x14ac:dyDescent="0.3">
      <c r="A1343" t="s">
        <v>1892</v>
      </c>
      <c r="B1343" t="s">
        <v>49</v>
      </c>
      <c r="C1343" t="s">
        <v>1008</v>
      </c>
      <c r="D1343" t="s">
        <v>1893</v>
      </c>
      <c r="E1343">
        <v>13.079097000000001</v>
      </c>
      <c r="F1343">
        <v>80.261538000000002</v>
      </c>
      <c r="G1343">
        <v>8</v>
      </c>
    </row>
    <row r="1344" spans="1:7" x14ac:dyDescent="0.3">
      <c r="A1344" t="s">
        <v>1892</v>
      </c>
      <c r="B1344" t="s">
        <v>49</v>
      </c>
      <c r="C1344" t="s">
        <v>1008</v>
      </c>
      <c r="D1344" t="s">
        <v>1893</v>
      </c>
      <c r="E1344">
        <v>13.079097000000001</v>
      </c>
      <c r="F1344">
        <v>80.261538000000002</v>
      </c>
      <c r="G1344">
        <v>8</v>
      </c>
    </row>
    <row r="1345" spans="1:7" x14ac:dyDescent="0.3">
      <c r="A1345" t="s">
        <v>1894</v>
      </c>
      <c r="B1345" t="s">
        <v>49</v>
      </c>
      <c r="C1345" t="s">
        <v>1008</v>
      </c>
      <c r="D1345" t="s">
        <v>1895</v>
      </c>
      <c r="E1345">
        <v>13.0237</v>
      </c>
      <c r="F1345">
        <v>80.228200000000001</v>
      </c>
      <c r="G1345">
        <v>8</v>
      </c>
    </row>
    <row r="1346" spans="1:7" x14ac:dyDescent="0.3">
      <c r="A1346" t="s">
        <v>1896</v>
      </c>
      <c r="B1346" t="s">
        <v>49</v>
      </c>
      <c r="C1346" t="s">
        <v>1008</v>
      </c>
      <c r="D1346" t="s">
        <v>1897</v>
      </c>
      <c r="E1346">
        <v>13.0853</v>
      </c>
      <c r="F1346">
        <v>80.201599999999999</v>
      </c>
      <c r="G1346">
        <v>8</v>
      </c>
    </row>
    <row r="1347" spans="1:7" x14ac:dyDescent="0.3">
      <c r="A1347" t="s">
        <v>1592</v>
      </c>
      <c r="B1347" t="s">
        <v>49</v>
      </c>
      <c r="C1347" t="s">
        <v>1008</v>
      </c>
      <c r="D1347" t="s">
        <v>1897</v>
      </c>
      <c r="E1347">
        <v>13.0853</v>
      </c>
      <c r="F1347">
        <v>80.201599999999999</v>
      </c>
      <c r="G1347">
        <v>8</v>
      </c>
    </row>
    <row r="1348" spans="1:7" x14ac:dyDescent="0.3">
      <c r="A1348" t="s">
        <v>2052</v>
      </c>
      <c r="B1348" t="s">
        <v>49</v>
      </c>
      <c r="C1348" t="s">
        <v>2053</v>
      </c>
      <c r="D1348" t="s">
        <v>2054</v>
      </c>
      <c r="E1348">
        <v>11.492271199999999</v>
      </c>
      <c r="F1348">
        <v>78.153577400000003</v>
      </c>
      <c r="G1348">
        <v>11</v>
      </c>
    </row>
    <row r="1349" spans="1:7" x14ac:dyDescent="0.3">
      <c r="A1349" t="s">
        <v>2055</v>
      </c>
      <c r="B1349" t="s">
        <v>49</v>
      </c>
      <c r="C1349" t="s">
        <v>2056</v>
      </c>
      <c r="D1349" t="s">
        <v>2057</v>
      </c>
      <c r="E1349">
        <v>10.4425816</v>
      </c>
      <c r="F1349">
        <v>77.520390300000003</v>
      </c>
      <c r="G1349">
        <v>11</v>
      </c>
    </row>
    <row r="1350" spans="1:7" x14ac:dyDescent="0.3">
      <c r="A1350" t="s">
        <v>2058</v>
      </c>
      <c r="B1350" t="s">
        <v>49</v>
      </c>
      <c r="C1350" t="s">
        <v>2059</v>
      </c>
      <c r="D1350" t="s">
        <v>2060</v>
      </c>
      <c r="E1350">
        <v>11.759223799999999</v>
      </c>
      <c r="F1350">
        <v>78.427344099999999</v>
      </c>
      <c r="G1350">
        <v>11</v>
      </c>
    </row>
    <row r="1351" spans="1:7" x14ac:dyDescent="0.3">
      <c r="A1351" t="s">
        <v>2061</v>
      </c>
      <c r="B1351" t="s">
        <v>49</v>
      </c>
      <c r="C1351" t="s">
        <v>2062</v>
      </c>
      <c r="D1351" t="s">
        <v>2063</v>
      </c>
      <c r="E1351">
        <v>9.7590386000000002</v>
      </c>
      <c r="F1351">
        <v>77.979158200000001</v>
      </c>
      <c r="G1351">
        <v>11</v>
      </c>
    </row>
    <row r="1352" spans="1:7" x14ac:dyDescent="0.3">
      <c r="A1352" t="s">
        <v>2064</v>
      </c>
      <c r="B1352" t="s">
        <v>49</v>
      </c>
      <c r="C1352" t="s">
        <v>2065</v>
      </c>
      <c r="D1352" t="s">
        <v>2066</v>
      </c>
      <c r="E1352" t="s">
        <v>2067</v>
      </c>
      <c r="F1352">
        <v>77.977679199999997</v>
      </c>
      <c r="G1352">
        <v>11</v>
      </c>
    </row>
    <row r="1353" spans="1:7" x14ac:dyDescent="0.3">
      <c r="A1353" t="s">
        <v>1825</v>
      </c>
      <c r="B1353" t="s">
        <v>49</v>
      </c>
      <c r="C1353" t="s">
        <v>1008</v>
      </c>
      <c r="D1353" t="s">
        <v>1826</v>
      </c>
      <c r="E1353">
        <v>13.00777749</v>
      </c>
      <c r="F1353">
        <v>80.207308839999996</v>
      </c>
      <c r="G1353">
        <v>19</v>
      </c>
    </row>
    <row r="1354" spans="1:7" x14ac:dyDescent="0.3">
      <c r="A1354" t="s">
        <v>1827</v>
      </c>
      <c r="B1354" t="s">
        <v>49</v>
      </c>
      <c r="C1354" t="s">
        <v>1828</v>
      </c>
      <c r="D1354" t="s">
        <v>1829</v>
      </c>
      <c r="E1354">
        <v>12.24034498</v>
      </c>
      <c r="F1354">
        <v>79.662281590000006</v>
      </c>
      <c r="G1354">
        <v>19</v>
      </c>
    </row>
    <row r="1355" spans="1:7" x14ac:dyDescent="0.3">
      <c r="A1355" t="s">
        <v>1963</v>
      </c>
      <c r="B1355" t="s">
        <v>49</v>
      </c>
      <c r="C1355" t="s">
        <v>1964</v>
      </c>
      <c r="D1355" t="s">
        <v>1965</v>
      </c>
      <c r="E1355">
        <v>12.779884450000001</v>
      </c>
      <c r="F1355">
        <v>78.717769709999999</v>
      </c>
      <c r="G1355">
        <v>19</v>
      </c>
    </row>
    <row r="1356" spans="1:7" x14ac:dyDescent="0.3">
      <c r="A1356" t="s">
        <v>1966</v>
      </c>
      <c r="B1356" t="s">
        <v>49</v>
      </c>
      <c r="C1356" t="s">
        <v>1967</v>
      </c>
      <c r="D1356" t="s">
        <v>1968</v>
      </c>
      <c r="E1356">
        <v>11.19362344</v>
      </c>
      <c r="F1356">
        <v>78.104834150000002</v>
      </c>
      <c r="G1356">
        <v>19</v>
      </c>
    </row>
    <row r="1357" spans="1:7" x14ac:dyDescent="0.3">
      <c r="A1357" t="s">
        <v>1969</v>
      </c>
      <c r="B1357" t="s">
        <v>49</v>
      </c>
      <c r="C1357" t="s">
        <v>1338</v>
      </c>
      <c r="D1357" t="s">
        <v>1970</v>
      </c>
      <c r="E1357">
        <v>9.9870810530000007</v>
      </c>
      <c r="F1357">
        <v>78.241544439999998</v>
      </c>
      <c r="G1357">
        <v>19</v>
      </c>
    </row>
    <row r="1358" spans="1:7" x14ac:dyDescent="0.3">
      <c r="A1358" t="s">
        <v>1971</v>
      </c>
      <c r="B1358" t="s">
        <v>49</v>
      </c>
      <c r="C1358" t="s">
        <v>997</v>
      </c>
      <c r="D1358" t="s">
        <v>1972</v>
      </c>
      <c r="E1358">
        <v>12.54250304</v>
      </c>
      <c r="F1358">
        <v>78.201532740000005</v>
      </c>
      <c r="G1358">
        <v>19</v>
      </c>
    </row>
    <row r="1359" spans="1:7" x14ac:dyDescent="0.3">
      <c r="A1359" t="s">
        <v>1973</v>
      </c>
      <c r="B1359" t="s">
        <v>49</v>
      </c>
      <c r="C1359" t="s">
        <v>1974</v>
      </c>
      <c r="D1359" t="s">
        <v>1975</v>
      </c>
      <c r="E1359">
        <v>12.9023796</v>
      </c>
      <c r="F1359">
        <v>78.93386744</v>
      </c>
      <c r="G1359">
        <v>19</v>
      </c>
    </row>
    <row r="1360" spans="1:7" x14ac:dyDescent="0.3">
      <c r="A1360" t="s">
        <v>1981</v>
      </c>
      <c r="B1360" t="s">
        <v>49</v>
      </c>
      <c r="C1360" t="s">
        <v>1982</v>
      </c>
      <c r="D1360" t="s">
        <v>1983</v>
      </c>
      <c r="E1360">
        <v>11.30199446</v>
      </c>
      <c r="F1360">
        <v>77.600043760000005</v>
      </c>
      <c r="G1360">
        <v>19</v>
      </c>
    </row>
    <row r="1361" spans="1:7" x14ac:dyDescent="0.3">
      <c r="A1361" t="s">
        <v>2505</v>
      </c>
      <c r="B1361" t="s">
        <v>49</v>
      </c>
      <c r="C1361" t="s">
        <v>1211</v>
      </c>
      <c r="D1361" t="s">
        <v>2506</v>
      </c>
      <c r="E1361">
        <v>12.6238399</v>
      </c>
      <c r="F1361">
        <v>80.194593100000006</v>
      </c>
      <c r="G1361">
        <v>11</v>
      </c>
    </row>
    <row r="1362" spans="1:7" x14ac:dyDescent="0.3">
      <c r="A1362" t="s">
        <v>2507</v>
      </c>
      <c r="B1362" t="s">
        <v>49</v>
      </c>
      <c r="C1362" t="s">
        <v>1008</v>
      </c>
      <c r="D1362" t="s">
        <v>2508</v>
      </c>
      <c r="E1362">
        <v>13.061544400000001</v>
      </c>
      <c r="F1362">
        <v>80.261455900000001</v>
      </c>
      <c r="G1362">
        <v>11</v>
      </c>
    </row>
    <row r="1363" spans="1:7" x14ac:dyDescent="0.3">
      <c r="A1363" t="s">
        <v>2509</v>
      </c>
      <c r="B1363" t="s">
        <v>49</v>
      </c>
      <c r="C1363" t="s">
        <v>1008</v>
      </c>
      <c r="D1363" t="s">
        <v>2510</v>
      </c>
      <c r="E1363">
        <v>12.92976</v>
      </c>
      <c r="F1363">
        <v>80.231639999999999</v>
      </c>
      <c r="G1363">
        <v>7</v>
      </c>
    </row>
    <row r="1364" spans="1:7" x14ac:dyDescent="0.3">
      <c r="A1364" t="s">
        <v>2511</v>
      </c>
      <c r="B1364" t="s">
        <v>49</v>
      </c>
      <c r="C1364" t="s">
        <v>1008</v>
      </c>
      <c r="D1364" t="s">
        <v>2512</v>
      </c>
      <c r="E1364">
        <v>13.056469999999999</v>
      </c>
      <c r="F1364">
        <v>80.211160000000007</v>
      </c>
      <c r="G1364">
        <v>7</v>
      </c>
    </row>
    <row r="1365" spans="1:7" x14ac:dyDescent="0.3">
      <c r="A1365" t="s">
        <v>2513</v>
      </c>
      <c r="B1365" t="s">
        <v>49</v>
      </c>
      <c r="C1365" t="s">
        <v>1008</v>
      </c>
      <c r="D1365" t="s">
        <v>2514</v>
      </c>
      <c r="E1365">
        <v>13.076560000000001</v>
      </c>
      <c r="F1365">
        <v>80.202100000000002</v>
      </c>
      <c r="G1365">
        <v>7</v>
      </c>
    </row>
    <row r="1366" spans="1:7" x14ac:dyDescent="0.3">
      <c r="A1366" t="s">
        <v>2515</v>
      </c>
      <c r="B1366" t="s">
        <v>49</v>
      </c>
      <c r="C1366" t="s">
        <v>1008</v>
      </c>
      <c r="D1366" t="s">
        <v>2516</v>
      </c>
      <c r="E1366">
        <v>13.030010000000001</v>
      </c>
      <c r="F1366">
        <v>80.242109999999997</v>
      </c>
      <c r="G1366">
        <v>7</v>
      </c>
    </row>
    <row r="1367" spans="1:7" x14ac:dyDescent="0.3">
      <c r="A1367" t="s">
        <v>2517</v>
      </c>
      <c r="B1367" t="s">
        <v>49</v>
      </c>
      <c r="C1367" t="s">
        <v>188</v>
      </c>
      <c r="D1367" t="s">
        <v>2518</v>
      </c>
      <c r="E1367">
        <v>11.049910000000001</v>
      </c>
      <c r="F1367">
        <v>77.057649999999995</v>
      </c>
      <c r="G1367">
        <v>7</v>
      </c>
    </row>
    <row r="1368" spans="1:7" x14ac:dyDescent="0.3">
      <c r="A1368" t="s">
        <v>2519</v>
      </c>
      <c r="B1368" t="s">
        <v>49</v>
      </c>
      <c r="C1368" t="s">
        <v>1338</v>
      </c>
      <c r="D1368" t="s">
        <v>2520</v>
      </c>
      <c r="E1368">
        <v>9.8624279999999995</v>
      </c>
      <c r="F1368">
        <v>78.021557000000001</v>
      </c>
      <c r="G1368">
        <v>7</v>
      </c>
    </row>
    <row r="1369" spans="1:7" x14ac:dyDescent="0.3">
      <c r="A1369" t="s">
        <v>2521</v>
      </c>
      <c r="B1369" t="s">
        <v>49</v>
      </c>
      <c r="C1369" t="s">
        <v>1974</v>
      </c>
      <c r="D1369" t="s">
        <v>2522</v>
      </c>
      <c r="E1369">
        <v>12.945335999999999</v>
      </c>
      <c r="F1369">
        <v>79.200661999999994</v>
      </c>
      <c r="G1369">
        <v>7</v>
      </c>
    </row>
    <row r="1370" spans="1:7" x14ac:dyDescent="0.3">
      <c r="A1370" t="s">
        <v>2523</v>
      </c>
      <c r="B1370" t="s">
        <v>49</v>
      </c>
      <c r="C1370" t="s">
        <v>1008</v>
      </c>
      <c r="D1370" t="s">
        <v>2524</v>
      </c>
      <c r="E1370">
        <v>12.950258</v>
      </c>
      <c r="F1370">
        <v>80.176002999999994</v>
      </c>
      <c r="G1370">
        <v>7</v>
      </c>
    </row>
    <row r="1371" spans="1:7" x14ac:dyDescent="0.3">
      <c r="A1371" t="s">
        <v>2525</v>
      </c>
      <c r="B1371" t="s">
        <v>115</v>
      </c>
      <c r="C1371" t="s">
        <v>2526</v>
      </c>
      <c r="D1371" t="s">
        <v>2527</v>
      </c>
      <c r="E1371">
        <v>17.522470999999999</v>
      </c>
      <c r="F1371">
        <v>78.924306000000001</v>
      </c>
      <c r="G1371">
        <v>7</v>
      </c>
    </row>
    <row r="1372" spans="1:7" x14ac:dyDescent="0.3">
      <c r="A1372" t="s">
        <v>2528</v>
      </c>
      <c r="B1372" t="s">
        <v>49</v>
      </c>
      <c r="C1372" t="s">
        <v>1008</v>
      </c>
      <c r="D1372" t="s">
        <v>2529</v>
      </c>
      <c r="E1372">
        <v>13.047739999999999</v>
      </c>
      <c r="F1372">
        <v>80.254180000000005</v>
      </c>
      <c r="G1372">
        <v>7</v>
      </c>
    </row>
    <row r="1373" spans="1:7" x14ac:dyDescent="0.3">
      <c r="A1373" t="s">
        <v>996</v>
      </c>
      <c r="B1373" t="s">
        <v>49</v>
      </c>
      <c r="C1373" t="s">
        <v>997</v>
      </c>
      <c r="D1373" t="s">
        <v>998</v>
      </c>
      <c r="E1373">
        <v>12.5306064</v>
      </c>
      <c r="F1373">
        <v>78.237516499999998</v>
      </c>
      <c r="G1373">
        <v>7</v>
      </c>
    </row>
    <row r="1374" spans="1:7" x14ac:dyDescent="0.3">
      <c r="A1374" t="s">
        <v>999</v>
      </c>
      <c r="B1374" t="s">
        <v>49</v>
      </c>
      <c r="C1374" t="s">
        <v>1000</v>
      </c>
      <c r="D1374" t="s">
        <v>1001</v>
      </c>
      <c r="E1374">
        <v>11.682985</v>
      </c>
      <c r="F1374">
        <v>78.126040200000006</v>
      </c>
      <c r="G1374">
        <v>7</v>
      </c>
    </row>
    <row r="1375" spans="1:7" x14ac:dyDescent="0.3">
      <c r="A1375" t="s">
        <v>1005</v>
      </c>
      <c r="B1375" t="s">
        <v>49</v>
      </c>
      <c r="C1375" t="s">
        <v>188</v>
      </c>
      <c r="D1375" t="s">
        <v>1006</v>
      </c>
      <c r="E1375">
        <v>11.022849000000001</v>
      </c>
      <c r="F1375">
        <v>76.951634999999996</v>
      </c>
      <c r="G1375">
        <v>7</v>
      </c>
    </row>
    <row r="1376" spans="1:7" x14ac:dyDescent="0.3">
      <c r="A1376" t="s">
        <v>1007</v>
      </c>
      <c r="B1376" t="s">
        <v>49</v>
      </c>
      <c r="C1376" t="s">
        <v>1008</v>
      </c>
      <c r="D1376" t="s">
        <v>1009</v>
      </c>
      <c r="E1376">
        <v>13.0883447</v>
      </c>
      <c r="F1376">
        <v>80.170469800000006</v>
      </c>
      <c r="G1376">
        <v>7</v>
      </c>
    </row>
    <row r="1377" spans="1:7" x14ac:dyDescent="0.3">
      <c r="A1377" t="s">
        <v>1010</v>
      </c>
      <c r="B1377" t="s">
        <v>49</v>
      </c>
      <c r="C1377" t="s">
        <v>1008</v>
      </c>
      <c r="D1377" t="s">
        <v>1011</v>
      </c>
      <c r="E1377">
        <v>13.0080236</v>
      </c>
      <c r="F1377">
        <v>80.221649999999997</v>
      </c>
      <c r="G1377">
        <v>7</v>
      </c>
    </row>
    <row r="1378" spans="1:7" x14ac:dyDescent="0.3">
      <c r="A1378" t="s">
        <v>1030</v>
      </c>
      <c r="B1378" t="s">
        <v>49</v>
      </c>
      <c r="C1378" t="s">
        <v>1031</v>
      </c>
      <c r="D1378" t="s">
        <v>1032</v>
      </c>
      <c r="E1378">
        <v>11.213022</v>
      </c>
      <c r="F1378">
        <v>77.441968000000003</v>
      </c>
      <c r="G1378">
        <v>7</v>
      </c>
    </row>
    <row r="1379" spans="1:7" x14ac:dyDescent="0.3">
      <c r="A1379" t="s">
        <v>1185</v>
      </c>
      <c r="B1379" t="s">
        <v>49</v>
      </c>
      <c r="C1379" t="s">
        <v>1008</v>
      </c>
      <c r="D1379" t="s">
        <v>1186</v>
      </c>
      <c r="E1379">
        <v>12.730596</v>
      </c>
      <c r="F1379">
        <v>80.004630000000006</v>
      </c>
      <c r="G1379">
        <v>7</v>
      </c>
    </row>
    <row r="1380" spans="1:7" x14ac:dyDescent="0.3">
      <c r="A1380" t="s">
        <v>1187</v>
      </c>
      <c r="B1380" t="s">
        <v>49</v>
      </c>
      <c r="C1380" t="s">
        <v>1008</v>
      </c>
      <c r="D1380" t="s">
        <v>1188</v>
      </c>
      <c r="E1380">
        <v>12.875613</v>
      </c>
      <c r="F1380">
        <v>80.227372000000003</v>
      </c>
      <c r="G1380">
        <v>7</v>
      </c>
    </row>
    <row r="1381" spans="1:7" x14ac:dyDescent="0.3">
      <c r="A1381" t="s">
        <v>1208</v>
      </c>
      <c r="B1381" t="s">
        <v>49</v>
      </c>
      <c r="C1381" t="s">
        <v>188</v>
      </c>
      <c r="D1381" t="s">
        <v>1209</v>
      </c>
      <c r="E1381">
        <v>11.00269216</v>
      </c>
      <c r="F1381">
        <v>77.038707900000006</v>
      </c>
      <c r="G1381">
        <v>7</v>
      </c>
    </row>
    <row r="1382" spans="1:7" x14ac:dyDescent="0.3">
      <c r="A1382" t="s">
        <v>1213</v>
      </c>
      <c r="B1382" t="s">
        <v>49</v>
      </c>
      <c r="C1382" t="s">
        <v>1211</v>
      </c>
      <c r="D1382" t="s">
        <v>1214</v>
      </c>
      <c r="E1382">
        <v>12.6325138</v>
      </c>
      <c r="F1382">
        <v>80.195839100000001</v>
      </c>
      <c r="G1382">
        <v>7</v>
      </c>
    </row>
    <row r="1383" spans="1:7" x14ac:dyDescent="0.3">
      <c r="A1383" t="s">
        <v>1215</v>
      </c>
      <c r="B1383" t="s">
        <v>49</v>
      </c>
      <c r="C1383" t="s">
        <v>1008</v>
      </c>
      <c r="D1383" t="s">
        <v>1216</v>
      </c>
      <c r="E1383">
        <v>13.033655</v>
      </c>
      <c r="F1383">
        <v>80.255285000000001</v>
      </c>
      <c r="G1383">
        <v>7</v>
      </c>
    </row>
    <row r="1384" spans="1:7" x14ac:dyDescent="0.3">
      <c r="A1384" t="s">
        <v>2530</v>
      </c>
      <c r="B1384" t="s">
        <v>49</v>
      </c>
      <c r="C1384" t="s">
        <v>1338</v>
      </c>
      <c r="D1384" t="s">
        <v>2531</v>
      </c>
      <c r="E1384">
        <v>9.938364</v>
      </c>
      <c r="F1384">
        <v>78.150085000000004</v>
      </c>
      <c r="G1384">
        <v>7</v>
      </c>
    </row>
    <row r="1385" spans="1:7" x14ac:dyDescent="0.3">
      <c r="A1385" t="s">
        <v>1334</v>
      </c>
      <c r="B1385" t="s">
        <v>49</v>
      </c>
      <c r="C1385" t="s">
        <v>1335</v>
      </c>
      <c r="D1385" t="s">
        <v>1336</v>
      </c>
      <c r="E1385">
        <v>10.381127299999999</v>
      </c>
      <c r="F1385">
        <v>77.99681425</v>
      </c>
      <c r="G1385">
        <v>7</v>
      </c>
    </row>
    <row r="1386" spans="1:7" x14ac:dyDescent="0.3">
      <c r="A1386" t="s">
        <v>1337</v>
      </c>
      <c r="B1386" t="s">
        <v>49</v>
      </c>
      <c r="C1386" t="s">
        <v>1338</v>
      </c>
      <c r="D1386" t="s">
        <v>1339</v>
      </c>
      <c r="E1386">
        <v>9.9642326000000008</v>
      </c>
      <c r="F1386">
        <v>78.065010700000002</v>
      </c>
      <c r="G1386">
        <v>7</v>
      </c>
    </row>
    <row r="1387" spans="1:7" x14ac:dyDescent="0.3">
      <c r="A1387" t="s">
        <v>1429</v>
      </c>
      <c r="B1387" t="s">
        <v>49</v>
      </c>
      <c r="C1387" t="s">
        <v>1008</v>
      </c>
      <c r="D1387" t="s">
        <v>1430</v>
      </c>
      <c r="E1387">
        <v>13.0417246</v>
      </c>
      <c r="F1387">
        <v>80.1258208</v>
      </c>
      <c r="G1387">
        <v>7</v>
      </c>
    </row>
    <row r="1388" spans="1:7" x14ac:dyDescent="0.3">
      <c r="A1388" t="s">
        <v>2532</v>
      </c>
      <c r="B1388" t="s">
        <v>49</v>
      </c>
      <c r="C1388" t="s">
        <v>2533</v>
      </c>
      <c r="D1388" t="s">
        <v>2534</v>
      </c>
      <c r="E1388">
        <v>11.3459974</v>
      </c>
      <c r="F1388">
        <v>76.801575</v>
      </c>
      <c r="G1388">
        <v>7</v>
      </c>
    </row>
    <row r="1389" spans="1:7" x14ac:dyDescent="0.3">
      <c r="A1389" t="s">
        <v>1958</v>
      </c>
      <c r="B1389" t="s">
        <v>115</v>
      </c>
      <c r="C1389" t="s">
        <v>1163</v>
      </c>
      <c r="D1389" t="s">
        <v>1959</v>
      </c>
      <c r="E1389">
        <v>17.437256999999999</v>
      </c>
      <c r="F1389">
        <v>78.452294300000005</v>
      </c>
      <c r="G1389">
        <v>21</v>
      </c>
    </row>
    <row r="1390" spans="1:7" x14ac:dyDescent="0.3">
      <c r="A1390" t="s">
        <v>2535</v>
      </c>
      <c r="B1390" t="s">
        <v>115</v>
      </c>
      <c r="C1390" t="s">
        <v>1163</v>
      </c>
      <c r="D1390" t="s">
        <v>2536</v>
      </c>
      <c r="E1390">
        <v>17.45345</v>
      </c>
      <c r="F1390">
        <v>78.383340000000004</v>
      </c>
      <c r="G1390">
        <v>7</v>
      </c>
    </row>
    <row r="1391" spans="1:7" x14ac:dyDescent="0.3">
      <c r="A1391" t="s">
        <v>2537</v>
      </c>
      <c r="B1391" t="s">
        <v>115</v>
      </c>
      <c r="C1391" t="s">
        <v>1163</v>
      </c>
      <c r="D1391" t="s">
        <v>2538</v>
      </c>
      <c r="E1391">
        <v>17.480810000000002</v>
      </c>
      <c r="F1391">
        <v>78.577150000000003</v>
      </c>
      <c r="G1391">
        <v>7</v>
      </c>
    </row>
    <row r="1392" spans="1:7" x14ac:dyDescent="0.3">
      <c r="A1392" t="s">
        <v>2539</v>
      </c>
      <c r="B1392" t="s">
        <v>115</v>
      </c>
      <c r="C1392" t="s">
        <v>1163</v>
      </c>
      <c r="D1392" t="s">
        <v>2540</v>
      </c>
      <c r="E1392">
        <v>17.422599999999999</v>
      </c>
      <c r="F1392">
        <v>78.461359999999999</v>
      </c>
      <c r="G1392">
        <v>7</v>
      </c>
    </row>
    <row r="1393" spans="1:7" x14ac:dyDescent="0.3">
      <c r="A1393" t="s">
        <v>2541</v>
      </c>
      <c r="B1393" t="s">
        <v>115</v>
      </c>
      <c r="C1393" t="s">
        <v>1163</v>
      </c>
      <c r="D1393" t="s">
        <v>2542</v>
      </c>
      <c r="E1393">
        <v>17.359176000000001</v>
      </c>
      <c r="F1393">
        <v>78.426284999999993</v>
      </c>
      <c r="G1393">
        <v>7</v>
      </c>
    </row>
    <row r="1394" spans="1:7" x14ac:dyDescent="0.3">
      <c r="A1394" t="s">
        <v>2543</v>
      </c>
      <c r="B1394" t="s">
        <v>115</v>
      </c>
      <c r="C1394" t="s">
        <v>1163</v>
      </c>
      <c r="D1394" t="s">
        <v>2544</v>
      </c>
      <c r="E1394">
        <v>17.531882</v>
      </c>
      <c r="F1394">
        <v>78.485643999999994</v>
      </c>
      <c r="G1394">
        <v>7</v>
      </c>
    </row>
    <row r="1395" spans="1:7" x14ac:dyDescent="0.3">
      <c r="A1395" t="s">
        <v>2545</v>
      </c>
      <c r="B1395" t="s">
        <v>115</v>
      </c>
      <c r="C1395" t="s">
        <v>1163</v>
      </c>
      <c r="D1395" t="s">
        <v>2546</v>
      </c>
      <c r="E1395">
        <v>17.457774000000001</v>
      </c>
      <c r="F1395">
        <v>78.363960000000006</v>
      </c>
      <c r="G1395">
        <v>7</v>
      </c>
    </row>
    <row r="1396" spans="1:7" x14ac:dyDescent="0.3">
      <c r="A1396" t="s">
        <v>2547</v>
      </c>
      <c r="B1396" t="s">
        <v>115</v>
      </c>
      <c r="C1396" t="s">
        <v>2384</v>
      </c>
      <c r="D1396" t="s">
        <v>2548</v>
      </c>
      <c r="E1396">
        <v>17.150628000000001</v>
      </c>
      <c r="F1396">
        <v>79.577475000000007</v>
      </c>
      <c r="G1396">
        <v>7</v>
      </c>
    </row>
    <row r="1397" spans="1:7" x14ac:dyDescent="0.3">
      <c r="A1397" t="s">
        <v>1033</v>
      </c>
      <c r="B1397" t="s">
        <v>115</v>
      </c>
      <c r="C1397" t="s">
        <v>1034</v>
      </c>
      <c r="D1397" t="s">
        <v>1035</v>
      </c>
      <c r="E1397">
        <v>16.991031</v>
      </c>
      <c r="F1397">
        <v>79.440470000000005</v>
      </c>
      <c r="G1397">
        <v>7</v>
      </c>
    </row>
    <row r="1398" spans="1:7" x14ac:dyDescent="0.3">
      <c r="A1398" t="s">
        <v>1036</v>
      </c>
      <c r="B1398" t="s">
        <v>115</v>
      </c>
      <c r="C1398" t="s">
        <v>1037</v>
      </c>
      <c r="D1398" t="s">
        <v>1038</v>
      </c>
      <c r="E1398">
        <v>18.417928</v>
      </c>
      <c r="F1398">
        <v>79.136390000000006</v>
      </c>
      <c r="G1398">
        <v>7</v>
      </c>
    </row>
    <row r="1399" spans="1:7" x14ac:dyDescent="0.3">
      <c r="A1399" t="s">
        <v>1167</v>
      </c>
      <c r="B1399" t="s">
        <v>115</v>
      </c>
      <c r="C1399" t="s">
        <v>1163</v>
      </c>
      <c r="D1399" t="s">
        <v>1168</v>
      </c>
      <c r="E1399">
        <v>17.490307999999999</v>
      </c>
      <c r="F1399">
        <v>78.354535999999996</v>
      </c>
      <c r="G1399">
        <v>7</v>
      </c>
    </row>
    <row r="1400" spans="1:7" x14ac:dyDescent="0.3">
      <c r="A1400" t="s">
        <v>1183</v>
      </c>
      <c r="B1400" t="s">
        <v>115</v>
      </c>
      <c r="C1400" t="s">
        <v>1163</v>
      </c>
      <c r="D1400" t="s">
        <v>1184</v>
      </c>
      <c r="E1400">
        <v>17.423857999999999</v>
      </c>
      <c r="F1400">
        <v>78.347334000000004</v>
      </c>
      <c r="G1400">
        <v>7</v>
      </c>
    </row>
    <row r="1401" spans="1:7" x14ac:dyDescent="0.3">
      <c r="A1401" t="s">
        <v>1238</v>
      </c>
      <c r="B1401" t="s">
        <v>115</v>
      </c>
      <c r="C1401" t="s">
        <v>116</v>
      </c>
      <c r="D1401" t="s">
        <v>1239</v>
      </c>
      <c r="E1401">
        <v>17.478362000000001</v>
      </c>
      <c r="F1401">
        <v>78.473772299999993</v>
      </c>
      <c r="G1401">
        <v>7</v>
      </c>
    </row>
    <row r="1402" spans="1:7" x14ac:dyDescent="0.3">
      <c r="A1402" t="s">
        <v>1295</v>
      </c>
      <c r="B1402" t="s">
        <v>115</v>
      </c>
      <c r="C1402" t="s">
        <v>1163</v>
      </c>
      <c r="D1402" t="s">
        <v>1296</v>
      </c>
      <c r="E1402">
        <v>17.436830400000002</v>
      </c>
      <c r="F1402">
        <v>78.398326100000006</v>
      </c>
      <c r="G1402">
        <v>7</v>
      </c>
    </row>
    <row r="1403" spans="1:7" x14ac:dyDescent="0.3">
      <c r="A1403" t="s">
        <v>1937</v>
      </c>
      <c r="B1403" t="s">
        <v>2549</v>
      </c>
      <c r="C1403" t="s">
        <v>1938</v>
      </c>
      <c r="D1403" t="s">
        <v>1939</v>
      </c>
      <c r="E1403">
        <v>17.494851000000001</v>
      </c>
      <c r="F1403">
        <v>78.336466999999999</v>
      </c>
      <c r="G1403">
        <v>20</v>
      </c>
    </row>
    <row r="1404" spans="1:7" x14ac:dyDescent="0.3">
      <c r="A1404" t="s">
        <v>1940</v>
      </c>
      <c r="B1404" t="s">
        <v>2549</v>
      </c>
      <c r="C1404" t="s">
        <v>1938</v>
      </c>
      <c r="D1404" t="s">
        <v>1941</v>
      </c>
      <c r="E1404">
        <v>17.435967999999999</v>
      </c>
      <c r="F1404">
        <v>78.400030000000001</v>
      </c>
      <c r="G1404">
        <v>20</v>
      </c>
    </row>
    <row r="1405" spans="1:7" x14ac:dyDescent="0.3">
      <c r="A1405" t="s">
        <v>1942</v>
      </c>
      <c r="B1405" t="s">
        <v>2549</v>
      </c>
      <c r="C1405" t="s">
        <v>1938</v>
      </c>
      <c r="D1405" t="s">
        <v>1943</v>
      </c>
      <c r="E1405">
        <v>17.523923</v>
      </c>
      <c r="F1405">
        <v>78.430328000000003</v>
      </c>
      <c r="G1405">
        <v>20</v>
      </c>
    </row>
    <row r="1406" spans="1:7" x14ac:dyDescent="0.3">
      <c r="A1406" t="s">
        <v>1944</v>
      </c>
      <c r="B1406" t="s">
        <v>2549</v>
      </c>
      <c r="C1406" t="s">
        <v>1938</v>
      </c>
      <c r="D1406" t="s">
        <v>1945</v>
      </c>
      <c r="E1406">
        <v>17.438229</v>
      </c>
      <c r="F1406">
        <v>78.457262999999998</v>
      </c>
      <c r="G1406">
        <v>20</v>
      </c>
    </row>
    <row r="1407" spans="1:7" x14ac:dyDescent="0.3">
      <c r="A1407" t="s">
        <v>1946</v>
      </c>
      <c r="B1407" t="s">
        <v>2549</v>
      </c>
      <c r="C1407" t="s">
        <v>1938</v>
      </c>
      <c r="D1407" t="s">
        <v>1947</v>
      </c>
      <c r="E1407">
        <v>17.444838000000001</v>
      </c>
      <c r="F1407">
        <v>78.466949</v>
      </c>
      <c r="G1407">
        <v>20</v>
      </c>
    </row>
    <row r="1408" spans="1:7" x14ac:dyDescent="0.3">
      <c r="A1408" t="s">
        <v>1087</v>
      </c>
      <c r="B1408" t="s">
        <v>18</v>
      </c>
      <c r="C1408" t="s">
        <v>1088</v>
      </c>
      <c r="D1408" t="s">
        <v>1089</v>
      </c>
      <c r="E1408">
        <v>26.755089000000002</v>
      </c>
      <c r="F1408">
        <v>82.141261</v>
      </c>
      <c r="G1408">
        <v>7</v>
      </c>
    </row>
    <row r="1409" spans="1:7" x14ac:dyDescent="0.3">
      <c r="A1409" t="s">
        <v>1840</v>
      </c>
      <c r="B1409" t="s">
        <v>18</v>
      </c>
      <c r="C1409" t="s">
        <v>1841</v>
      </c>
      <c r="D1409" t="s">
        <v>2550</v>
      </c>
      <c r="E1409">
        <v>27.832687</v>
      </c>
      <c r="F1409">
        <v>77.418785</v>
      </c>
      <c r="G1409">
        <v>22</v>
      </c>
    </row>
    <row r="1410" spans="1:7" x14ac:dyDescent="0.3">
      <c r="A1410" t="s">
        <v>2551</v>
      </c>
      <c r="B1410" t="s">
        <v>18</v>
      </c>
      <c r="C1410" t="s">
        <v>259</v>
      </c>
      <c r="D1410" t="s">
        <v>2552</v>
      </c>
      <c r="E1410">
        <v>28.457820000000002</v>
      </c>
      <c r="F1410">
        <v>77.523219999999995</v>
      </c>
      <c r="G1410">
        <v>7</v>
      </c>
    </row>
    <row r="1411" spans="1:7" x14ac:dyDescent="0.3">
      <c r="A1411" t="s">
        <v>2553</v>
      </c>
      <c r="B1411" t="s">
        <v>18</v>
      </c>
      <c r="C1411" t="s">
        <v>2554</v>
      </c>
      <c r="D1411" t="s">
        <v>2555</v>
      </c>
      <c r="E1411">
        <v>26.482346</v>
      </c>
      <c r="F1411">
        <v>80.329393999999994</v>
      </c>
      <c r="G1411">
        <v>7</v>
      </c>
    </row>
    <row r="1412" spans="1:7" x14ac:dyDescent="0.3">
      <c r="A1412" t="s">
        <v>2556</v>
      </c>
      <c r="B1412" t="s">
        <v>18</v>
      </c>
      <c r="C1412" t="s">
        <v>1085</v>
      </c>
      <c r="D1412" t="s">
        <v>2557</v>
      </c>
      <c r="E1412">
        <v>26.872060999999999</v>
      </c>
      <c r="F1412">
        <v>81.036465000000007</v>
      </c>
      <c r="G1412">
        <v>7</v>
      </c>
    </row>
    <row r="1413" spans="1:7" x14ac:dyDescent="0.3">
      <c r="A1413" t="s">
        <v>2558</v>
      </c>
      <c r="B1413" t="s">
        <v>18</v>
      </c>
      <c r="C1413" t="s">
        <v>1018</v>
      </c>
      <c r="D1413" t="s">
        <v>2559</v>
      </c>
      <c r="E1413">
        <v>27.211320000000001</v>
      </c>
      <c r="F1413">
        <v>77.997420000000005</v>
      </c>
      <c r="G1413">
        <v>7</v>
      </c>
    </row>
    <row r="1414" spans="1:7" x14ac:dyDescent="0.3">
      <c r="A1414" t="s">
        <v>2560</v>
      </c>
      <c r="B1414" t="s">
        <v>18</v>
      </c>
      <c r="C1414" t="s">
        <v>2561</v>
      </c>
      <c r="D1414" t="s">
        <v>2562</v>
      </c>
      <c r="E1414">
        <v>28.382444</v>
      </c>
      <c r="F1414">
        <v>79.386016400000003</v>
      </c>
      <c r="G1414">
        <v>7</v>
      </c>
    </row>
    <row r="1415" spans="1:7" x14ac:dyDescent="0.3">
      <c r="A1415" t="s">
        <v>977</v>
      </c>
      <c r="B1415" t="s">
        <v>18</v>
      </c>
      <c r="C1415" t="s">
        <v>978</v>
      </c>
      <c r="D1415" t="s">
        <v>979</v>
      </c>
      <c r="E1415">
        <v>24.525355000000001</v>
      </c>
      <c r="F1415">
        <v>84.932181999999997</v>
      </c>
      <c r="G1415">
        <v>7</v>
      </c>
    </row>
    <row r="1416" spans="1:7" x14ac:dyDescent="0.3">
      <c r="A1416" t="s">
        <v>1017</v>
      </c>
      <c r="B1416" t="s">
        <v>18</v>
      </c>
      <c r="C1416" t="s">
        <v>1018</v>
      </c>
      <c r="D1416" t="s">
        <v>1019</v>
      </c>
      <c r="E1416">
        <v>27.200797999999999</v>
      </c>
      <c r="F1416">
        <v>78.008796000000004</v>
      </c>
      <c r="G1416">
        <v>7</v>
      </c>
    </row>
    <row r="1417" spans="1:7" x14ac:dyDescent="0.3">
      <c r="A1417" t="s">
        <v>1039</v>
      </c>
      <c r="B1417" t="s">
        <v>18</v>
      </c>
      <c r="C1417" t="s">
        <v>1040</v>
      </c>
      <c r="D1417" t="s">
        <v>1041</v>
      </c>
      <c r="E1417">
        <v>29.458546399999999</v>
      </c>
      <c r="F1417">
        <v>77.739762799999994</v>
      </c>
      <c r="G1417">
        <v>7</v>
      </c>
    </row>
    <row r="1418" spans="1:7" x14ac:dyDescent="0.3">
      <c r="A1418" t="s">
        <v>1084</v>
      </c>
      <c r="B1418" t="s">
        <v>18</v>
      </c>
      <c r="C1418" t="s">
        <v>1085</v>
      </c>
      <c r="D1418" t="s">
        <v>1086</v>
      </c>
      <c r="E1418">
        <v>26.900894000000001</v>
      </c>
      <c r="F1418">
        <v>80.964230999999998</v>
      </c>
      <c r="G1418">
        <v>7</v>
      </c>
    </row>
    <row r="1419" spans="1:7" x14ac:dyDescent="0.3">
      <c r="A1419" t="s">
        <v>1129</v>
      </c>
      <c r="B1419" t="s">
        <v>18</v>
      </c>
      <c r="C1419" t="s">
        <v>259</v>
      </c>
      <c r="D1419" t="s">
        <v>1130</v>
      </c>
      <c r="E1419">
        <v>28.59093</v>
      </c>
      <c r="F1419">
        <v>77.319689999999994</v>
      </c>
      <c r="G1419">
        <v>7</v>
      </c>
    </row>
    <row r="1420" spans="1:7" x14ac:dyDescent="0.3">
      <c r="A1420" t="s">
        <v>1133</v>
      </c>
      <c r="B1420" t="s">
        <v>18</v>
      </c>
      <c r="C1420" t="s">
        <v>1085</v>
      </c>
      <c r="D1420" t="s">
        <v>1134</v>
      </c>
      <c r="E1420">
        <v>26.863725129999999</v>
      </c>
      <c r="F1420">
        <v>81.010275660000005</v>
      </c>
      <c r="G1420">
        <v>7</v>
      </c>
    </row>
    <row r="1421" spans="1:7" x14ac:dyDescent="0.3">
      <c r="A1421" t="s">
        <v>1258</v>
      </c>
      <c r="B1421" t="s">
        <v>18</v>
      </c>
      <c r="C1421" t="s">
        <v>1259</v>
      </c>
      <c r="D1421" t="s">
        <v>1260</v>
      </c>
      <c r="E1421">
        <v>28.6461808</v>
      </c>
      <c r="F1421">
        <v>77.320789099999999</v>
      </c>
      <c r="G1421">
        <v>7</v>
      </c>
    </row>
    <row r="1422" spans="1:7" x14ac:dyDescent="0.3">
      <c r="A1422" t="s">
        <v>2563</v>
      </c>
      <c r="B1422" t="s">
        <v>18</v>
      </c>
      <c r="C1422" t="s">
        <v>1085</v>
      </c>
      <c r="D1422" t="s">
        <v>2564</v>
      </c>
      <c r="E1422">
        <v>26.892842999999999</v>
      </c>
      <c r="F1422">
        <v>81.072800000000001</v>
      </c>
      <c r="G1422">
        <v>7</v>
      </c>
    </row>
    <row r="1423" spans="1:7" x14ac:dyDescent="0.3">
      <c r="A1423" t="s">
        <v>1427</v>
      </c>
      <c r="B1423" t="s">
        <v>2131</v>
      </c>
      <c r="C1423" t="s">
        <v>45</v>
      </c>
      <c r="D1423" t="s">
        <v>1428</v>
      </c>
      <c r="E1423">
        <v>28.619702499999999</v>
      </c>
      <c r="F1423">
        <v>77.341183900000004</v>
      </c>
      <c r="G1423">
        <v>7</v>
      </c>
    </row>
    <row r="1424" spans="1:7" x14ac:dyDescent="0.3">
      <c r="A1424" t="s">
        <v>1452</v>
      </c>
      <c r="B1424" t="s">
        <v>18</v>
      </c>
      <c r="C1424" t="s">
        <v>1259</v>
      </c>
      <c r="D1424" t="s">
        <v>2565</v>
      </c>
      <c r="E1424">
        <v>28.619548300000002</v>
      </c>
      <c r="F1424">
        <v>77.483818299999996</v>
      </c>
      <c r="G1424">
        <v>7</v>
      </c>
    </row>
    <row r="1425" spans="1:7" x14ac:dyDescent="0.3">
      <c r="A1425" t="s">
        <v>1454</v>
      </c>
      <c r="B1425" t="s">
        <v>18</v>
      </c>
      <c r="C1425" t="s">
        <v>1259</v>
      </c>
      <c r="D1425" t="s">
        <v>2566</v>
      </c>
      <c r="E1425">
        <v>28.7712124</v>
      </c>
      <c r="F1425">
        <v>78.097685400000003</v>
      </c>
      <c r="G1425">
        <v>7</v>
      </c>
    </row>
    <row r="1426" spans="1:7" x14ac:dyDescent="0.3">
      <c r="A1426" t="s">
        <v>1458</v>
      </c>
      <c r="B1426" t="s">
        <v>18</v>
      </c>
      <c r="C1426" t="s">
        <v>1040</v>
      </c>
      <c r="D1426" t="s">
        <v>2567</v>
      </c>
      <c r="E1426">
        <v>29.411834899999999</v>
      </c>
      <c r="F1426">
        <v>77.700671900000003</v>
      </c>
      <c r="G1426">
        <v>7</v>
      </c>
    </row>
    <row r="1427" spans="1:7" x14ac:dyDescent="0.3">
      <c r="A1427" t="s">
        <v>2568</v>
      </c>
      <c r="B1427" t="s">
        <v>18</v>
      </c>
      <c r="C1427" t="s">
        <v>1040</v>
      </c>
      <c r="D1427" t="s">
        <v>2569</v>
      </c>
      <c r="E1427">
        <v>29.524814800000001</v>
      </c>
      <c r="F1427">
        <v>77.719578200000001</v>
      </c>
      <c r="G1427">
        <v>7</v>
      </c>
    </row>
    <row r="1428" spans="1:7" x14ac:dyDescent="0.3">
      <c r="A1428" t="s">
        <v>2570</v>
      </c>
      <c r="B1428" t="s">
        <v>18</v>
      </c>
      <c r="C1428" t="s">
        <v>1040</v>
      </c>
      <c r="D1428" t="s">
        <v>2571</v>
      </c>
      <c r="E1428">
        <v>29.3097043</v>
      </c>
      <c r="F1428">
        <v>77.722104099999996</v>
      </c>
      <c r="G1428">
        <v>7</v>
      </c>
    </row>
    <row r="1429" spans="1:7" x14ac:dyDescent="0.3">
      <c r="A1429" t="s">
        <v>1483</v>
      </c>
      <c r="B1429" t="s">
        <v>18</v>
      </c>
      <c r="C1429" t="s">
        <v>1040</v>
      </c>
      <c r="D1429" t="s">
        <v>1484</v>
      </c>
      <c r="E1429">
        <v>29.3313177</v>
      </c>
      <c r="F1429">
        <v>77.721273999999994</v>
      </c>
      <c r="G1429">
        <v>7</v>
      </c>
    </row>
    <row r="1430" spans="1:7" x14ac:dyDescent="0.3">
      <c r="A1430" t="s">
        <v>2572</v>
      </c>
      <c r="B1430" t="s">
        <v>18</v>
      </c>
      <c r="C1430" t="s">
        <v>1018</v>
      </c>
      <c r="D1430" t="s">
        <v>2573</v>
      </c>
      <c r="E1430">
        <v>27.220781330000001</v>
      </c>
      <c r="F1430">
        <v>77.930953979999998</v>
      </c>
      <c r="G1430">
        <v>7</v>
      </c>
    </row>
    <row r="1431" spans="1:7" x14ac:dyDescent="0.3">
      <c r="A1431" t="s">
        <v>2574</v>
      </c>
      <c r="B1431" t="s">
        <v>18</v>
      </c>
      <c r="C1431" t="s">
        <v>1259</v>
      </c>
      <c r="D1431" t="s">
        <v>2575</v>
      </c>
      <c r="E1431">
        <v>28.646630900000002</v>
      </c>
      <c r="F1431">
        <v>77.384303000000003</v>
      </c>
      <c r="G1431">
        <v>7</v>
      </c>
    </row>
    <row r="1432" spans="1:7" x14ac:dyDescent="0.3">
      <c r="A1432" t="s">
        <v>2576</v>
      </c>
      <c r="B1432" t="s">
        <v>2577</v>
      </c>
      <c r="C1432" t="s">
        <v>2578</v>
      </c>
      <c r="D1432" t="s">
        <v>2579</v>
      </c>
      <c r="E1432">
        <v>29.313755</v>
      </c>
      <c r="F1432">
        <v>79.195091700000006</v>
      </c>
      <c r="G1432">
        <v>7</v>
      </c>
    </row>
    <row r="1433" spans="1:7" x14ac:dyDescent="0.3">
      <c r="A1433" t="s">
        <v>2580</v>
      </c>
      <c r="B1433" t="s">
        <v>18</v>
      </c>
      <c r="C1433" t="s">
        <v>2561</v>
      </c>
      <c r="D1433" t="s">
        <v>2581</v>
      </c>
      <c r="E1433">
        <v>28.3826</v>
      </c>
      <c r="F1433">
        <v>79.386066</v>
      </c>
      <c r="G1433">
        <v>7</v>
      </c>
    </row>
    <row r="1434" spans="1:7" x14ac:dyDescent="0.3">
      <c r="A1434" t="s">
        <v>2582</v>
      </c>
      <c r="B1434" t="s">
        <v>64</v>
      </c>
      <c r="C1434" t="s">
        <v>65</v>
      </c>
      <c r="D1434" t="s">
        <v>2583</v>
      </c>
      <c r="E1434">
        <v>30.268387700000002</v>
      </c>
      <c r="F1434">
        <v>77.984897000000004</v>
      </c>
      <c r="G1434">
        <v>7</v>
      </c>
    </row>
    <row r="1435" spans="1:7" x14ac:dyDescent="0.3">
      <c r="A1435" t="s">
        <v>1261</v>
      </c>
      <c r="B1435" t="s">
        <v>64</v>
      </c>
      <c r="C1435" t="s">
        <v>65</v>
      </c>
      <c r="D1435" t="s">
        <v>1262</v>
      </c>
      <c r="E1435">
        <v>30.366259500000002</v>
      </c>
      <c r="F1435">
        <v>78.070527999999996</v>
      </c>
      <c r="G1435">
        <v>7</v>
      </c>
    </row>
    <row r="1436" spans="1:7" x14ac:dyDescent="0.3">
      <c r="A1436" t="s">
        <v>2584</v>
      </c>
      <c r="B1436" t="s">
        <v>64</v>
      </c>
      <c r="C1436" t="s">
        <v>159</v>
      </c>
      <c r="D1436" t="s">
        <v>2585</v>
      </c>
      <c r="E1436">
        <v>29.9787383</v>
      </c>
      <c r="F1436">
        <v>78.181806699999996</v>
      </c>
      <c r="G1436">
        <v>7</v>
      </c>
    </row>
    <row r="1437" spans="1:7" x14ac:dyDescent="0.3">
      <c r="A1437" t="s">
        <v>1487</v>
      </c>
      <c r="B1437" t="s">
        <v>64</v>
      </c>
      <c r="C1437" t="s">
        <v>159</v>
      </c>
      <c r="D1437" t="s">
        <v>2586</v>
      </c>
      <c r="E1437">
        <v>29.951238799999999</v>
      </c>
      <c r="F1437">
        <v>78.075913099999994</v>
      </c>
      <c r="G1437">
        <v>7</v>
      </c>
    </row>
    <row r="1438" spans="1:7" x14ac:dyDescent="0.3">
      <c r="A1438" t="s">
        <v>1490</v>
      </c>
      <c r="B1438" t="s">
        <v>64</v>
      </c>
      <c r="C1438" t="s">
        <v>159</v>
      </c>
      <c r="D1438" t="s">
        <v>2587</v>
      </c>
      <c r="E1438">
        <v>29.927688499999999</v>
      </c>
      <c r="F1438">
        <v>78.064867899999996</v>
      </c>
      <c r="G1438">
        <v>7</v>
      </c>
    </row>
    <row r="1439" spans="1:7" x14ac:dyDescent="0.3">
      <c r="A1439" t="s">
        <v>2588</v>
      </c>
      <c r="B1439" t="s">
        <v>64</v>
      </c>
      <c r="C1439" t="s">
        <v>65</v>
      </c>
      <c r="D1439" t="s">
        <v>2589</v>
      </c>
      <c r="E1439">
        <v>30.343019699999999</v>
      </c>
      <c r="F1439">
        <v>77.953941700000001</v>
      </c>
      <c r="G1439">
        <v>7</v>
      </c>
    </row>
    <row r="1440" spans="1:7" x14ac:dyDescent="0.3">
      <c r="A1440" t="s">
        <v>2590</v>
      </c>
      <c r="B1440" t="s">
        <v>463</v>
      </c>
      <c r="C1440" t="s">
        <v>1160</v>
      </c>
      <c r="D1440" t="s">
        <v>2591</v>
      </c>
      <c r="E1440">
        <v>22.531074</v>
      </c>
      <c r="F1440">
        <v>88.385611999999995</v>
      </c>
      <c r="G1440">
        <v>7</v>
      </c>
    </row>
    <row r="1441" spans="1:7" x14ac:dyDescent="0.3">
      <c r="A1441" t="s">
        <v>2592</v>
      </c>
      <c r="B1441" t="s">
        <v>463</v>
      </c>
      <c r="C1441" t="s">
        <v>1141</v>
      </c>
      <c r="D1441" t="s">
        <v>2593</v>
      </c>
      <c r="E1441">
        <v>23.273895899999999</v>
      </c>
      <c r="F1441">
        <v>87.809499200000005</v>
      </c>
      <c r="G1441">
        <v>7</v>
      </c>
    </row>
    <row r="1442" spans="1:7" x14ac:dyDescent="0.3">
      <c r="A1442" t="s">
        <v>1149</v>
      </c>
      <c r="B1442" t="s">
        <v>463</v>
      </c>
      <c r="C1442" t="s">
        <v>1150</v>
      </c>
      <c r="D1442" t="s">
        <v>1151</v>
      </c>
      <c r="E1442">
        <v>26.323416000000002</v>
      </c>
      <c r="F1442">
        <v>89.484913000000006</v>
      </c>
      <c r="G1442">
        <v>7</v>
      </c>
    </row>
    <row r="1443" spans="1:7" x14ac:dyDescent="0.3">
      <c r="A1443" t="s">
        <v>1156</v>
      </c>
      <c r="B1443" t="s">
        <v>463</v>
      </c>
      <c r="C1443" t="s">
        <v>1157</v>
      </c>
      <c r="D1443" t="s">
        <v>1158</v>
      </c>
      <c r="E1443">
        <v>26.750937</v>
      </c>
      <c r="F1443">
        <v>88.439994999999996</v>
      </c>
      <c r="G1443">
        <v>7</v>
      </c>
    </row>
    <row r="1444" spans="1:7" x14ac:dyDescent="0.3">
      <c r="A1444" t="s">
        <v>1159</v>
      </c>
      <c r="B1444" t="s">
        <v>463</v>
      </c>
      <c r="C1444" t="s">
        <v>1160</v>
      </c>
      <c r="D1444" t="s">
        <v>1161</v>
      </c>
      <c r="E1444">
        <v>22.547449</v>
      </c>
      <c r="F1444">
        <v>88.349602000000004</v>
      </c>
      <c r="G1444">
        <v>7</v>
      </c>
    </row>
    <row r="1445" spans="1:7" x14ac:dyDescent="0.3">
      <c r="A1445" t="s">
        <v>1172</v>
      </c>
      <c r="B1445" t="s">
        <v>463</v>
      </c>
      <c r="C1445" t="s">
        <v>1160</v>
      </c>
      <c r="D1445" t="s">
        <v>1173</v>
      </c>
      <c r="E1445">
        <v>22.620584999999998</v>
      </c>
      <c r="F1445">
        <v>88.461153999999993</v>
      </c>
      <c r="G1445">
        <v>7</v>
      </c>
    </row>
    <row r="1446" spans="1:7" x14ac:dyDescent="0.3">
      <c r="A1446" t="s">
        <v>1177</v>
      </c>
      <c r="B1446" t="s">
        <v>463</v>
      </c>
      <c r="C1446" t="s">
        <v>1160</v>
      </c>
      <c r="D1446" t="s">
        <v>1178</v>
      </c>
      <c r="E1446">
        <v>22.607396000000001</v>
      </c>
      <c r="F1446">
        <v>88.392280999999997</v>
      </c>
      <c r="G1446">
        <v>7</v>
      </c>
    </row>
    <row r="1447" spans="1:7" x14ac:dyDescent="0.3">
      <c r="A1447" t="s">
        <v>1290</v>
      </c>
      <c r="B1447" t="s">
        <v>463</v>
      </c>
      <c r="C1447" t="s">
        <v>2594</v>
      </c>
      <c r="D1447" t="s">
        <v>1292</v>
      </c>
      <c r="E1447">
        <v>22.438050100000002</v>
      </c>
      <c r="F1447">
        <v>88.763395000000003</v>
      </c>
      <c r="G1447">
        <v>7</v>
      </c>
    </row>
    <row r="1448" spans="1:7" x14ac:dyDescent="0.3">
      <c r="A1448" t="s">
        <v>1353</v>
      </c>
      <c r="B1448" t="s">
        <v>463</v>
      </c>
      <c r="C1448" t="s">
        <v>1354</v>
      </c>
      <c r="D1448" t="s">
        <v>1355</v>
      </c>
      <c r="E1448">
        <v>21.624423</v>
      </c>
      <c r="F1448">
        <v>87.528599</v>
      </c>
      <c r="G1448">
        <v>7</v>
      </c>
    </row>
    <row r="1449" spans="1:7" x14ac:dyDescent="0.3">
      <c r="A1449" t="s">
        <v>1412</v>
      </c>
      <c r="B1449" t="s">
        <v>463</v>
      </c>
      <c r="C1449" t="s">
        <v>1413</v>
      </c>
      <c r="D1449" t="s">
        <v>1414</v>
      </c>
      <c r="E1449">
        <v>26.7006026</v>
      </c>
      <c r="F1449">
        <v>88.329352400000005</v>
      </c>
      <c r="G1449">
        <v>7</v>
      </c>
    </row>
    <row r="1450" spans="1:7" x14ac:dyDescent="0.3">
      <c r="A1450" t="s">
        <v>2595</v>
      </c>
      <c r="B1450" t="s">
        <v>115</v>
      </c>
      <c r="C1450" t="s">
        <v>1163</v>
      </c>
      <c r="D1450" t="s">
        <v>2596</v>
      </c>
      <c r="E1450">
        <v>17.399999999999999</v>
      </c>
      <c r="F1450">
        <v>78.45</v>
      </c>
      <c r="G1450">
        <v>21</v>
      </c>
    </row>
    <row r="1451" spans="1:7" x14ac:dyDescent="0.3">
      <c r="A1451" t="s">
        <v>2597</v>
      </c>
      <c r="B1451" t="s">
        <v>115</v>
      </c>
      <c r="C1451" t="s">
        <v>2598</v>
      </c>
      <c r="D1451" t="s">
        <v>2599</v>
      </c>
      <c r="E1451">
        <v>16.420000000000002</v>
      </c>
      <c r="F1451">
        <v>77.94</v>
      </c>
      <c r="G1451">
        <v>21</v>
      </c>
    </row>
    <row r="1452" spans="1:7" x14ac:dyDescent="0.3">
      <c r="A1452" t="s">
        <v>2600</v>
      </c>
      <c r="B1452" t="s">
        <v>115</v>
      </c>
      <c r="C1452" t="s">
        <v>1163</v>
      </c>
      <c r="D1452" t="s">
        <v>2601</v>
      </c>
      <c r="E1452">
        <v>17.559999999999999</v>
      </c>
      <c r="F1452">
        <v>78.48</v>
      </c>
      <c r="G1452">
        <v>21</v>
      </c>
    </row>
    <row r="1453" spans="1:7" x14ac:dyDescent="0.3">
      <c r="A1453" t="s">
        <v>2602</v>
      </c>
      <c r="B1453" t="s">
        <v>115</v>
      </c>
      <c r="C1453" t="s">
        <v>1163</v>
      </c>
      <c r="D1453" t="s">
        <v>2603</v>
      </c>
      <c r="E1453">
        <v>17.420000000000002</v>
      </c>
      <c r="F1453">
        <v>78.349999999999994</v>
      </c>
      <c r="G1453">
        <v>21</v>
      </c>
    </row>
    <row r="1454" spans="1:7" x14ac:dyDescent="0.3">
      <c r="A1454" t="s">
        <v>2604</v>
      </c>
      <c r="B1454" t="s">
        <v>2605</v>
      </c>
      <c r="C1454" t="s">
        <v>2606</v>
      </c>
      <c r="D1454" t="s">
        <v>2607</v>
      </c>
      <c r="E1454">
        <v>13.83</v>
      </c>
      <c r="F1454">
        <v>77.739999999999995</v>
      </c>
      <c r="G1454">
        <v>21</v>
      </c>
    </row>
    <row r="1455" spans="1:7" x14ac:dyDescent="0.3">
      <c r="A1455" t="s">
        <v>2608</v>
      </c>
      <c r="B1455" t="s">
        <v>2605</v>
      </c>
      <c r="C1455" t="s">
        <v>2609</v>
      </c>
      <c r="D1455" t="s">
        <v>2610</v>
      </c>
      <c r="E1455">
        <v>14.65</v>
      </c>
      <c r="F1455">
        <v>77.58</v>
      </c>
      <c r="G1455">
        <v>21</v>
      </c>
    </row>
    <row r="1456" spans="1:7" x14ac:dyDescent="0.3">
      <c r="A1456" t="s">
        <v>2611</v>
      </c>
      <c r="B1456" t="s">
        <v>41</v>
      </c>
      <c r="C1456" t="s">
        <v>1206</v>
      </c>
      <c r="D1456" t="s">
        <v>2612</v>
      </c>
      <c r="E1456">
        <v>19.068578800000001</v>
      </c>
      <c r="F1456">
        <v>73.022744000000003</v>
      </c>
      <c r="G1456">
        <v>18</v>
      </c>
    </row>
    <row r="1457" spans="1:7" x14ac:dyDescent="0.3">
      <c r="A1457" t="s">
        <v>2613</v>
      </c>
      <c r="B1457" t="s">
        <v>41</v>
      </c>
      <c r="C1457" t="s">
        <v>2614</v>
      </c>
      <c r="D1457" t="s">
        <v>2615</v>
      </c>
      <c r="E1457">
        <v>18.762841120000001</v>
      </c>
      <c r="F1457">
        <v>73.426751400000001</v>
      </c>
      <c r="G1457">
        <v>18</v>
      </c>
    </row>
    <row r="1458" spans="1:7" x14ac:dyDescent="0.3">
      <c r="A1458" t="s">
        <v>2616</v>
      </c>
      <c r="B1458" t="s">
        <v>150</v>
      </c>
      <c r="C1458" t="s">
        <v>151</v>
      </c>
      <c r="D1458" t="s">
        <v>2617</v>
      </c>
      <c r="E1458">
        <v>12.9778518</v>
      </c>
      <c r="F1458">
        <v>77.756671400000002</v>
      </c>
      <c r="G1458">
        <v>18</v>
      </c>
    </row>
    <row r="1459" spans="1:7" x14ac:dyDescent="0.3">
      <c r="A1459" t="s">
        <v>2618</v>
      </c>
      <c r="B1459" t="s">
        <v>41</v>
      </c>
      <c r="C1459" t="s">
        <v>42</v>
      </c>
      <c r="D1459" t="s">
        <v>2619</v>
      </c>
      <c r="E1459">
        <v>18.51848416</v>
      </c>
      <c r="F1459">
        <v>73.941376860000005</v>
      </c>
      <c r="G1459">
        <v>18</v>
      </c>
    </row>
    <row r="1460" spans="1:7" x14ac:dyDescent="0.3">
      <c r="A1460" t="s">
        <v>2611</v>
      </c>
      <c r="B1460" t="s">
        <v>41</v>
      </c>
      <c r="C1460" t="s">
        <v>1206</v>
      </c>
      <c r="D1460" t="s">
        <v>2612</v>
      </c>
      <c r="E1460">
        <v>19.068578800000001</v>
      </c>
      <c r="F1460">
        <v>73.022744000000003</v>
      </c>
      <c r="G1460">
        <v>18</v>
      </c>
    </row>
    <row r="1461" spans="1:7" x14ac:dyDescent="0.3">
      <c r="A1461" t="s">
        <v>823</v>
      </c>
      <c r="B1461" t="s">
        <v>41</v>
      </c>
      <c r="C1461" t="s">
        <v>119</v>
      </c>
      <c r="D1461" t="s">
        <v>2620</v>
      </c>
      <c r="E1461">
        <v>19.04527839</v>
      </c>
      <c r="F1461">
        <v>72.841681589999993</v>
      </c>
      <c r="G1461">
        <v>18</v>
      </c>
    </row>
    <row r="1462" spans="1:7" x14ac:dyDescent="0.3">
      <c r="A1462" t="s">
        <v>2621</v>
      </c>
      <c r="B1462" t="s">
        <v>41</v>
      </c>
      <c r="C1462" t="s">
        <v>1845</v>
      </c>
      <c r="D1462" t="s">
        <v>2622</v>
      </c>
      <c r="E1462">
        <v>18.79344</v>
      </c>
      <c r="F1462">
        <v>73.297239000000005</v>
      </c>
      <c r="G1462">
        <v>18</v>
      </c>
    </row>
    <row r="1463" spans="1:7" x14ac:dyDescent="0.3">
      <c r="A1463" t="s">
        <v>2611</v>
      </c>
      <c r="B1463" t="s">
        <v>41</v>
      </c>
      <c r="C1463" t="s">
        <v>1206</v>
      </c>
      <c r="D1463" t="s">
        <v>2612</v>
      </c>
      <c r="E1463">
        <v>19.068578800000001</v>
      </c>
      <c r="F1463">
        <v>73.022744000000003</v>
      </c>
      <c r="G1463">
        <v>18</v>
      </c>
    </row>
    <row r="1464" spans="1:7" x14ac:dyDescent="0.3">
      <c r="A1464" t="s">
        <v>2623</v>
      </c>
      <c r="B1464" t="s">
        <v>41</v>
      </c>
      <c r="C1464" t="s">
        <v>2624</v>
      </c>
      <c r="D1464" t="s">
        <v>2625</v>
      </c>
      <c r="E1464">
        <v>15.87491249</v>
      </c>
      <c r="F1464">
        <v>74.513408240000004</v>
      </c>
      <c r="G1464">
        <v>18</v>
      </c>
    </row>
    <row r="1465" spans="1:7" x14ac:dyDescent="0.3">
      <c r="A1465" t="s">
        <v>2626</v>
      </c>
      <c r="B1465" t="s">
        <v>41</v>
      </c>
      <c r="C1465" t="s">
        <v>2398</v>
      </c>
      <c r="D1465" t="s">
        <v>2627</v>
      </c>
      <c r="E1465">
        <v>17.297609399999999</v>
      </c>
      <c r="F1465">
        <v>74.166333019999996</v>
      </c>
      <c r="G1465">
        <v>18</v>
      </c>
    </row>
    <row r="1466" spans="1:7" x14ac:dyDescent="0.3">
      <c r="A1466" t="s">
        <v>2628</v>
      </c>
      <c r="B1466" t="s">
        <v>49</v>
      </c>
      <c r="C1466" t="s">
        <v>1008</v>
      </c>
      <c r="D1466" t="s">
        <v>2629</v>
      </c>
      <c r="E1466">
        <v>13.04691388</v>
      </c>
      <c r="F1466">
        <v>80.079324099999994</v>
      </c>
      <c r="G1466">
        <v>19</v>
      </c>
    </row>
    <row r="1467" spans="1:7" x14ac:dyDescent="0.3">
      <c r="A1467" t="s">
        <v>2630</v>
      </c>
      <c r="B1467" t="s">
        <v>49</v>
      </c>
      <c r="C1467" t="s">
        <v>318</v>
      </c>
      <c r="D1467" t="s">
        <v>2631</v>
      </c>
      <c r="E1467">
        <v>12.06587465</v>
      </c>
      <c r="F1467">
        <v>79.880270830000001</v>
      </c>
      <c r="G1467">
        <v>19</v>
      </c>
    </row>
    <row r="1468" spans="1:7" x14ac:dyDescent="0.3">
      <c r="A1468" t="s">
        <v>2632</v>
      </c>
      <c r="B1468" t="s">
        <v>49</v>
      </c>
      <c r="C1468" t="s">
        <v>2633</v>
      </c>
      <c r="D1468" t="s">
        <v>2634</v>
      </c>
      <c r="E1468">
        <v>11.40802995</v>
      </c>
      <c r="F1468">
        <v>79.673903440000004</v>
      </c>
      <c r="G1468">
        <v>19</v>
      </c>
    </row>
    <row r="1469" spans="1:7" x14ac:dyDescent="0.3">
      <c r="A1469" t="s">
        <v>2635</v>
      </c>
      <c r="B1469" t="s">
        <v>49</v>
      </c>
      <c r="C1469" t="s">
        <v>2533</v>
      </c>
      <c r="D1469" t="s">
        <v>2636</v>
      </c>
      <c r="E1469">
        <v>11.42</v>
      </c>
      <c r="F1469">
        <v>76.7</v>
      </c>
      <c r="G1469">
        <v>11</v>
      </c>
    </row>
    <row r="1470" spans="1:7" x14ac:dyDescent="0.3">
      <c r="A1470" t="s">
        <v>2637</v>
      </c>
      <c r="B1470" t="s">
        <v>49</v>
      </c>
      <c r="C1470" t="s">
        <v>2638</v>
      </c>
      <c r="D1470" t="s">
        <v>2639</v>
      </c>
      <c r="E1470">
        <v>12.9071309</v>
      </c>
      <c r="F1470">
        <v>78.962018299999997</v>
      </c>
      <c r="G1470">
        <v>11</v>
      </c>
    </row>
    <row r="1471" spans="1:7" x14ac:dyDescent="0.3">
      <c r="A1471" t="s">
        <v>2640</v>
      </c>
      <c r="B1471" t="s">
        <v>150</v>
      </c>
      <c r="C1471" t="s">
        <v>2641</v>
      </c>
      <c r="D1471" t="s">
        <v>2642</v>
      </c>
      <c r="E1471">
        <v>13.285241900000001</v>
      </c>
      <c r="F1471">
        <v>77.182995500000004</v>
      </c>
      <c r="G1471">
        <v>11</v>
      </c>
    </row>
    <row r="1472" spans="1:7" x14ac:dyDescent="0.3">
      <c r="A1472" t="s">
        <v>2643</v>
      </c>
      <c r="B1472" t="s">
        <v>49</v>
      </c>
      <c r="C1472" t="s">
        <v>2644</v>
      </c>
      <c r="D1472" t="s">
        <v>2645</v>
      </c>
      <c r="E1472">
        <v>9.5188743000000002</v>
      </c>
      <c r="F1472">
        <v>76.327417100000005</v>
      </c>
      <c r="G1472">
        <v>11</v>
      </c>
    </row>
    <row r="1473" spans="1:7" x14ac:dyDescent="0.3">
      <c r="A1473" t="s">
        <v>2646</v>
      </c>
      <c r="B1473" t="s">
        <v>2647</v>
      </c>
      <c r="C1473" t="s">
        <v>2648</v>
      </c>
      <c r="D1473" t="s">
        <v>2649</v>
      </c>
      <c r="E1473">
        <v>9.1621728000000004</v>
      </c>
      <c r="F1473">
        <v>76.721936499999998</v>
      </c>
      <c r="G1473">
        <v>11</v>
      </c>
    </row>
    <row r="1474" spans="1:7" x14ac:dyDescent="0.3">
      <c r="A1474" t="s">
        <v>2650</v>
      </c>
      <c r="B1474" t="s">
        <v>49</v>
      </c>
      <c r="C1474" t="s">
        <v>2651</v>
      </c>
      <c r="D1474" t="s">
        <v>2652</v>
      </c>
      <c r="E1474">
        <v>12.873511300000001</v>
      </c>
      <c r="F1474">
        <v>80.078553700000001</v>
      </c>
      <c r="G1474">
        <v>11</v>
      </c>
    </row>
    <row r="1475" spans="1:7" x14ac:dyDescent="0.3">
      <c r="A1475" t="s">
        <v>2653</v>
      </c>
      <c r="B1475" t="s">
        <v>49</v>
      </c>
      <c r="C1475" t="s">
        <v>2654</v>
      </c>
      <c r="D1475" t="s">
        <v>2655</v>
      </c>
      <c r="E1475">
        <v>10.957778299999999</v>
      </c>
      <c r="F1475">
        <v>78.060585500000002</v>
      </c>
      <c r="G1475">
        <v>11</v>
      </c>
    </row>
    <row r="1476" spans="1:7" x14ac:dyDescent="0.3">
      <c r="A1476" t="s">
        <v>2071</v>
      </c>
      <c r="B1476" t="s">
        <v>2072</v>
      </c>
      <c r="C1476" t="s">
        <v>2073</v>
      </c>
      <c r="D1476" t="s">
        <v>2074</v>
      </c>
      <c r="E1476">
        <v>12.99431</v>
      </c>
      <c r="F1476">
        <v>80.187060000000002</v>
      </c>
      <c r="G1476">
        <v>23</v>
      </c>
    </row>
    <row r="1477" spans="1:7" x14ac:dyDescent="0.3">
      <c r="A1477" t="s">
        <v>2075</v>
      </c>
      <c r="B1477" t="s">
        <v>2072</v>
      </c>
      <c r="C1477" t="s">
        <v>2076</v>
      </c>
      <c r="D1477" t="s">
        <v>2077</v>
      </c>
      <c r="E1477">
        <v>12.78326</v>
      </c>
      <c r="F1477">
        <v>80.016710000000003</v>
      </c>
      <c r="G1477">
        <v>23</v>
      </c>
    </row>
    <row r="1478" spans="1:7" x14ac:dyDescent="0.3">
      <c r="A1478" t="s">
        <v>2078</v>
      </c>
      <c r="B1478" t="s">
        <v>2072</v>
      </c>
      <c r="C1478" t="s">
        <v>2076</v>
      </c>
      <c r="D1478" t="s">
        <v>2079</v>
      </c>
      <c r="E1478">
        <v>12.433949999999999</v>
      </c>
      <c r="F1478">
        <v>79.832350000000005</v>
      </c>
      <c r="G1478">
        <v>23</v>
      </c>
    </row>
    <row r="1479" spans="1:7" x14ac:dyDescent="0.3">
      <c r="A1479" t="s">
        <v>2080</v>
      </c>
      <c r="B1479" t="s">
        <v>2072</v>
      </c>
      <c r="C1479" t="s">
        <v>2081</v>
      </c>
      <c r="D1479" t="s">
        <v>2082</v>
      </c>
      <c r="E1479">
        <v>12.16381</v>
      </c>
      <c r="F1479">
        <v>79.611459999999994</v>
      </c>
      <c r="G1479">
        <v>23</v>
      </c>
    </row>
    <row r="1480" spans="1:7" x14ac:dyDescent="0.3">
      <c r="A1480" t="s">
        <v>2083</v>
      </c>
      <c r="B1480" t="s">
        <v>2072</v>
      </c>
      <c r="C1480" t="s">
        <v>2081</v>
      </c>
      <c r="D1480" t="s">
        <v>2084</v>
      </c>
      <c r="E1480">
        <v>12.06382</v>
      </c>
      <c r="F1480">
        <v>79.547550000000001</v>
      </c>
      <c r="G1480">
        <v>23</v>
      </c>
    </row>
    <row r="1481" spans="1:7" x14ac:dyDescent="0.3">
      <c r="A1481" t="s">
        <v>2085</v>
      </c>
      <c r="B1481" t="s">
        <v>2072</v>
      </c>
      <c r="C1481" t="s">
        <v>2086</v>
      </c>
      <c r="D1481" t="s">
        <v>2656</v>
      </c>
      <c r="E1481">
        <v>11.71881</v>
      </c>
      <c r="F1481">
        <v>79.335750000000004</v>
      </c>
      <c r="G1481">
        <v>23</v>
      </c>
    </row>
    <row r="1482" spans="1:7" x14ac:dyDescent="0.3">
      <c r="A1482" t="s">
        <v>2088</v>
      </c>
      <c r="B1482" t="s">
        <v>2072</v>
      </c>
      <c r="C1482" t="s">
        <v>2089</v>
      </c>
      <c r="D1482" t="s">
        <v>2090</v>
      </c>
      <c r="E1482">
        <v>11.03248</v>
      </c>
      <c r="F1482">
        <v>78.808009999999996</v>
      </c>
      <c r="G1482">
        <v>23</v>
      </c>
    </row>
    <row r="1483" spans="1:7" x14ac:dyDescent="0.3">
      <c r="A1483" t="s">
        <v>2091</v>
      </c>
      <c r="B1483" t="s">
        <v>2072</v>
      </c>
      <c r="C1483" t="s">
        <v>2089</v>
      </c>
      <c r="D1483" t="s">
        <v>2092</v>
      </c>
      <c r="E1483">
        <v>11.004619999999999</v>
      </c>
      <c r="F1483">
        <v>78.788759999999996</v>
      </c>
      <c r="G1483">
        <v>23</v>
      </c>
    </row>
    <row r="1484" spans="1:7" x14ac:dyDescent="0.3">
      <c r="A1484" t="s">
        <v>2093</v>
      </c>
      <c r="B1484" t="s">
        <v>2072</v>
      </c>
      <c r="C1484" t="s">
        <v>2094</v>
      </c>
      <c r="D1484" t="s">
        <v>2095</v>
      </c>
      <c r="E1484">
        <v>10.021839999999999</v>
      </c>
      <c r="F1484">
        <v>78.313519999999997</v>
      </c>
      <c r="G1484">
        <v>23</v>
      </c>
    </row>
    <row r="1485" spans="1:7" x14ac:dyDescent="0.3">
      <c r="A1485" t="s">
        <v>2096</v>
      </c>
      <c r="B1485" t="s">
        <v>2072</v>
      </c>
      <c r="C1485" t="s">
        <v>2094</v>
      </c>
      <c r="D1485" t="s">
        <v>2097</v>
      </c>
      <c r="E1485">
        <v>9.9444999999999997</v>
      </c>
      <c r="F1485">
        <v>78.154179999999997</v>
      </c>
      <c r="G1485">
        <v>23</v>
      </c>
    </row>
    <row r="1486" spans="1:7" x14ac:dyDescent="0.3">
      <c r="A1486" t="s">
        <v>2657</v>
      </c>
      <c r="B1486" t="s">
        <v>68</v>
      </c>
      <c r="C1486" t="s">
        <v>2658</v>
      </c>
      <c r="D1486" t="s">
        <v>2659</v>
      </c>
      <c r="E1486">
        <v>20.38000422</v>
      </c>
      <c r="F1486">
        <v>72.914852999999994</v>
      </c>
      <c r="G1486">
        <v>24</v>
      </c>
    </row>
    <row r="1487" spans="1:7" x14ac:dyDescent="0.3">
      <c r="A1487" t="s">
        <v>2657</v>
      </c>
      <c r="B1487" t="s">
        <v>41</v>
      </c>
      <c r="C1487" t="s">
        <v>2660</v>
      </c>
      <c r="D1487" t="s">
        <v>2661</v>
      </c>
      <c r="E1487">
        <v>19.627517829999999</v>
      </c>
      <c r="F1487">
        <v>73.44803503</v>
      </c>
      <c r="G1487">
        <v>24</v>
      </c>
    </row>
    <row r="1488" spans="1:7" x14ac:dyDescent="0.3">
      <c r="A1488" t="s">
        <v>2657</v>
      </c>
      <c r="B1488" t="s">
        <v>41</v>
      </c>
      <c r="C1488" t="s">
        <v>125</v>
      </c>
      <c r="D1488" t="s">
        <v>2662</v>
      </c>
      <c r="E1488">
        <v>18.791048589999999</v>
      </c>
      <c r="F1488">
        <v>73.298455410000003</v>
      </c>
      <c r="G1488">
        <v>24</v>
      </c>
    </row>
    <row r="1489" spans="1:7" x14ac:dyDescent="0.3">
      <c r="A1489" t="s">
        <v>2657</v>
      </c>
      <c r="B1489" t="s">
        <v>41</v>
      </c>
      <c r="C1489" t="s">
        <v>119</v>
      </c>
      <c r="D1489" t="s">
        <v>2663</v>
      </c>
      <c r="E1489">
        <v>19.133659000000002</v>
      </c>
      <c r="F1489">
        <v>72.900817000000004</v>
      </c>
      <c r="G1489">
        <v>24</v>
      </c>
    </row>
    <row r="1490" spans="1:7" x14ac:dyDescent="0.3">
      <c r="A1490" t="s">
        <v>2657</v>
      </c>
      <c r="B1490" t="s">
        <v>41</v>
      </c>
      <c r="C1490" t="s">
        <v>119</v>
      </c>
      <c r="D1490" t="s">
        <v>2664</v>
      </c>
      <c r="E1490">
        <v>18.9862222</v>
      </c>
      <c r="F1490">
        <v>72.814943600000007</v>
      </c>
      <c r="G1490">
        <v>24</v>
      </c>
    </row>
    <row r="1491" spans="1:7" x14ac:dyDescent="0.3">
      <c r="A1491" t="s">
        <v>2657</v>
      </c>
      <c r="B1491" t="s">
        <v>14</v>
      </c>
      <c r="C1491" t="s">
        <v>15</v>
      </c>
      <c r="D1491" t="s">
        <v>2665</v>
      </c>
      <c r="E1491">
        <v>27.857413000000001</v>
      </c>
      <c r="F1491">
        <v>76.264046399999998</v>
      </c>
      <c r="G1491">
        <v>24</v>
      </c>
    </row>
    <row r="1492" spans="1:7" x14ac:dyDescent="0.3">
      <c r="A1492" t="s">
        <v>2657</v>
      </c>
      <c r="B1492" t="s">
        <v>18</v>
      </c>
      <c r="C1492" t="s">
        <v>2666</v>
      </c>
      <c r="D1492" t="s">
        <v>2667</v>
      </c>
      <c r="E1492">
        <v>28.0236646</v>
      </c>
      <c r="F1492">
        <v>77.973842099999999</v>
      </c>
      <c r="G1492">
        <v>24</v>
      </c>
    </row>
    <row r="1493" spans="1:7" x14ac:dyDescent="0.3">
      <c r="A1493" t="s">
        <v>2657</v>
      </c>
      <c r="B1493" t="s">
        <v>150</v>
      </c>
      <c r="C1493" t="s">
        <v>151</v>
      </c>
      <c r="D1493" t="s">
        <v>2668</v>
      </c>
      <c r="E1493">
        <v>12.979233199999999</v>
      </c>
      <c r="F1493">
        <v>77.728455999999994</v>
      </c>
      <c r="G1493">
        <v>24</v>
      </c>
    </row>
    <row r="1494" spans="1:7" x14ac:dyDescent="0.3">
      <c r="A1494" t="s">
        <v>2669</v>
      </c>
      <c r="B1494" t="s">
        <v>463</v>
      </c>
      <c r="C1494" t="s">
        <v>1160</v>
      </c>
      <c r="D1494" t="s">
        <v>2670</v>
      </c>
      <c r="E1494">
        <v>22.52299</v>
      </c>
      <c r="F1494">
        <v>88.290809999999993</v>
      </c>
      <c r="G1494">
        <v>7</v>
      </c>
    </row>
    <row r="1495" spans="1:7" x14ac:dyDescent="0.3">
      <c r="A1495" t="s">
        <v>2669</v>
      </c>
      <c r="B1495" t="s">
        <v>463</v>
      </c>
      <c r="C1495" t="s">
        <v>2671</v>
      </c>
      <c r="D1495" t="s">
        <v>2672</v>
      </c>
      <c r="E1495">
        <v>23.498815</v>
      </c>
      <c r="F1495">
        <v>87.377674999999996</v>
      </c>
      <c r="G1495">
        <v>7</v>
      </c>
    </row>
    <row r="1496" spans="1:7" x14ac:dyDescent="0.3">
      <c r="A1496" t="s">
        <v>2669</v>
      </c>
      <c r="B1496" t="s">
        <v>463</v>
      </c>
      <c r="C1496" t="s">
        <v>1354</v>
      </c>
      <c r="D1496" t="s">
        <v>2673</v>
      </c>
      <c r="E1496">
        <v>21.623311999999999</v>
      </c>
      <c r="F1496">
        <v>87.508938999999998</v>
      </c>
      <c r="G1496">
        <v>7</v>
      </c>
    </row>
    <row r="1497" spans="1:7" x14ac:dyDescent="0.3">
      <c r="A1497" t="s">
        <v>2669</v>
      </c>
      <c r="B1497" t="s">
        <v>64</v>
      </c>
      <c r="C1497" t="s">
        <v>2674</v>
      </c>
      <c r="D1497" t="s">
        <v>2675</v>
      </c>
      <c r="E1497">
        <v>29.006961</v>
      </c>
      <c r="F1497">
        <v>79.401351000000005</v>
      </c>
      <c r="G1497">
        <v>7</v>
      </c>
    </row>
    <row r="1498" spans="1:7" x14ac:dyDescent="0.3">
      <c r="A1498" t="s">
        <v>2669</v>
      </c>
      <c r="B1498" t="s">
        <v>64</v>
      </c>
      <c r="C1498" t="s">
        <v>2676</v>
      </c>
      <c r="D1498" t="s">
        <v>2677</v>
      </c>
      <c r="E1498">
        <v>29.458587000000001</v>
      </c>
      <c r="F1498">
        <v>79.145011999999994</v>
      </c>
      <c r="G1498">
        <v>7</v>
      </c>
    </row>
    <row r="1499" spans="1:7" x14ac:dyDescent="0.3">
      <c r="A1499" t="s">
        <v>2669</v>
      </c>
      <c r="B1499" t="s">
        <v>64</v>
      </c>
      <c r="C1499" t="s">
        <v>159</v>
      </c>
      <c r="D1499" t="s">
        <v>2678</v>
      </c>
      <c r="E1499">
        <v>29.947655000000001</v>
      </c>
      <c r="F1499">
        <v>78.155635000000004</v>
      </c>
      <c r="G1499">
        <v>7</v>
      </c>
    </row>
    <row r="1500" spans="1:7" x14ac:dyDescent="0.3">
      <c r="A1500" t="s">
        <v>2669</v>
      </c>
      <c r="B1500" t="s">
        <v>64</v>
      </c>
      <c r="C1500" t="s">
        <v>159</v>
      </c>
      <c r="D1500" t="s">
        <v>2679</v>
      </c>
      <c r="E1500">
        <v>29.947749000000002</v>
      </c>
      <c r="F1500">
        <v>78.075248999999999</v>
      </c>
      <c r="G1500">
        <v>7</v>
      </c>
    </row>
    <row r="1501" spans="1:7" x14ac:dyDescent="0.3">
      <c r="A1501" t="s">
        <v>2669</v>
      </c>
      <c r="B1501" t="s">
        <v>18</v>
      </c>
      <c r="C1501" t="s">
        <v>259</v>
      </c>
      <c r="D1501" t="s">
        <v>2680</v>
      </c>
      <c r="E1501">
        <v>28.592257</v>
      </c>
      <c r="F1501">
        <v>77.322171999999995</v>
      </c>
      <c r="G1501">
        <v>7</v>
      </c>
    </row>
    <row r="1502" spans="1:7" x14ac:dyDescent="0.3">
      <c r="A1502" t="s">
        <v>2669</v>
      </c>
      <c r="B1502" t="s">
        <v>18</v>
      </c>
      <c r="C1502" t="s">
        <v>259</v>
      </c>
      <c r="D1502" t="s">
        <v>2681</v>
      </c>
      <c r="E1502">
        <v>28.346036000000002</v>
      </c>
      <c r="F1502">
        <v>77.513608000000005</v>
      </c>
      <c r="G1502">
        <v>7</v>
      </c>
    </row>
    <row r="1503" spans="1:7" x14ac:dyDescent="0.3">
      <c r="A1503" t="s">
        <v>2669</v>
      </c>
      <c r="B1503" t="s">
        <v>18</v>
      </c>
      <c r="C1503" t="s">
        <v>98</v>
      </c>
      <c r="D1503" t="s">
        <v>2682</v>
      </c>
      <c r="E1503">
        <v>28.9482803</v>
      </c>
      <c r="F1503">
        <v>77.675485499999994</v>
      </c>
      <c r="G1503">
        <v>7</v>
      </c>
    </row>
    <row r="1504" spans="1:7" x14ac:dyDescent="0.3">
      <c r="A1504" t="s">
        <v>2669</v>
      </c>
      <c r="B1504" t="s">
        <v>18</v>
      </c>
      <c r="C1504" t="s">
        <v>1085</v>
      </c>
      <c r="D1504" t="s">
        <v>2683</v>
      </c>
      <c r="E1504">
        <v>26.7737236</v>
      </c>
      <c r="F1504">
        <v>80.900507700000006</v>
      </c>
      <c r="G1504">
        <v>7</v>
      </c>
    </row>
    <row r="1505" spans="1:7" x14ac:dyDescent="0.3">
      <c r="A1505" t="s">
        <v>2669</v>
      </c>
      <c r="B1505" t="s">
        <v>2684</v>
      </c>
      <c r="C1505" t="s">
        <v>2685</v>
      </c>
      <c r="D1505" t="s">
        <v>2686</v>
      </c>
      <c r="E1505">
        <v>23.862068300000001</v>
      </c>
      <c r="F1505">
        <v>91.282239099999998</v>
      </c>
      <c r="G1505">
        <v>7</v>
      </c>
    </row>
    <row r="1506" spans="1:7" x14ac:dyDescent="0.3">
      <c r="A1506" t="s">
        <v>2669</v>
      </c>
      <c r="B1506" t="s">
        <v>115</v>
      </c>
      <c r="C1506" t="s">
        <v>1163</v>
      </c>
      <c r="D1506" t="s">
        <v>2687</v>
      </c>
      <c r="E1506">
        <v>17.517565000000001</v>
      </c>
      <c r="F1506">
        <v>78.380926000000002</v>
      </c>
      <c r="G1506">
        <v>7</v>
      </c>
    </row>
    <row r="1507" spans="1:7" x14ac:dyDescent="0.3">
      <c r="A1507" t="s">
        <v>2669</v>
      </c>
      <c r="B1507" t="s">
        <v>115</v>
      </c>
      <c r="C1507" t="s">
        <v>1163</v>
      </c>
      <c r="D1507" t="s">
        <v>2688</v>
      </c>
      <c r="E1507">
        <v>17.561620999999999</v>
      </c>
      <c r="F1507">
        <v>78.430317099999996</v>
      </c>
      <c r="G1507">
        <v>7</v>
      </c>
    </row>
    <row r="1508" spans="1:7" x14ac:dyDescent="0.3">
      <c r="A1508" t="s">
        <v>2669</v>
      </c>
      <c r="B1508" t="s">
        <v>49</v>
      </c>
      <c r="C1508" t="s">
        <v>2689</v>
      </c>
      <c r="D1508" t="s">
        <v>2690</v>
      </c>
      <c r="E1508">
        <v>12.717075100000001</v>
      </c>
      <c r="F1508">
        <v>77.876025999999996</v>
      </c>
      <c r="G1508">
        <v>7</v>
      </c>
    </row>
    <row r="1509" spans="1:7" x14ac:dyDescent="0.3">
      <c r="A1509" t="s">
        <v>2669</v>
      </c>
      <c r="B1509" t="s">
        <v>14</v>
      </c>
      <c r="C1509" t="s">
        <v>214</v>
      </c>
      <c r="D1509" t="s">
        <v>2691</v>
      </c>
      <c r="E1509">
        <v>26.88776</v>
      </c>
      <c r="F1509">
        <v>75.768040099999993</v>
      </c>
      <c r="G1509">
        <v>7</v>
      </c>
    </row>
    <row r="1510" spans="1:7" x14ac:dyDescent="0.3">
      <c r="A1510" t="s">
        <v>2669</v>
      </c>
      <c r="B1510" t="s">
        <v>14</v>
      </c>
      <c r="C1510" t="s">
        <v>214</v>
      </c>
      <c r="D1510" t="s">
        <v>2692</v>
      </c>
      <c r="E1510">
        <v>26.914271899999999</v>
      </c>
      <c r="F1510">
        <v>75.753320099999996</v>
      </c>
      <c r="G1510">
        <v>7</v>
      </c>
    </row>
    <row r="1511" spans="1:7" x14ac:dyDescent="0.3">
      <c r="A1511" t="s">
        <v>2669</v>
      </c>
      <c r="B1511" t="s">
        <v>14</v>
      </c>
      <c r="C1511" t="s">
        <v>1393</v>
      </c>
      <c r="D1511" t="s">
        <v>2693</v>
      </c>
      <c r="E1511">
        <v>26.409925999999999</v>
      </c>
      <c r="F1511">
        <v>74.661818999999994</v>
      </c>
      <c r="G1511">
        <v>7</v>
      </c>
    </row>
    <row r="1512" spans="1:7" x14ac:dyDescent="0.3">
      <c r="A1512" t="s">
        <v>2669</v>
      </c>
      <c r="B1512" t="s">
        <v>181</v>
      </c>
      <c r="C1512" t="s">
        <v>2467</v>
      </c>
      <c r="D1512" t="s">
        <v>2694</v>
      </c>
      <c r="E1512">
        <v>31.599201000000001</v>
      </c>
      <c r="F1512">
        <v>74.891450000000006</v>
      </c>
      <c r="G1512">
        <v>7</v>
      </c>
    </row>
    <row r="1513" spans="1:7" x14ac:dyDescent="0.3">
      <c r="A1513" t="s">
        <v>2669</v>
      </c>
      <c r="B1513" t="s">
        <v>313</v>
      </c>
      <c r="C1513" t="s">
        <v>2442</v>
      </c>
      <c r="D1513" t="s">
        <v>2695</v>
      </c>
      <c r="E1513">
        <v>20.979188329999999</v>
      </c>
      <c r="F1513">
        <v>86.027299999999997</v>
      </c>
      <c r="G1513">
        <v>7</v>
      </c>
    </row>
    <row r="1514" spans="1:7" x14ac:dyDescent="0.3">
      <c r="A1514" t="s">
        <v>2669</v>
      </c>
      <c r="B1514" t="s">
        <v>2696</v>
      </c>
      <c r="C1514" t="s">
        <v>2697</v>
      </c>
      <c r="D1514" t="s">
        <v>2698</v>
      </c>
      <c r="E1514">
        <v>11.630305</v>
      </c>
      <c r="F1514">
        <v>92.724834999999999</v>
      </c>
      <c r="G1514">
        <v>7</v>
      </c>
    </row>
    <row r="1515" spans="1:7" x14ac:dyDescent="0.3">
      <c r="A1515" t="s">
        <v>2669</v>
      </c>
      <c r="B1515" t="s">
        <v>1051</v>
      </c>
      <c r="C1515" t="s">
        <v>1052</v>
      </c>
      <c r="D1515" t="s">
        <v>2699</v>
      </c>
      <c r="E1515">
        <v>26.147478499999998</v>
      </c>
      <c r="F1515">
        <v>91.814529100000001</v>
      </c>
      <c r="G1515">
        <v>7</v>
      </c>
    </row>
    <row r="1516" spans="1:7" x14ac:dyDescent="0.3">
      <c r="A1516" t="s">
        <v>2669</v>
      </c>
      <c r="B1516" t="s">
        <v>418</v>
      </c>
      <c r="C1516" t="s">
        <v>2700</v>
      </c>
      <c r="D1516" t="s">
        <v>2701</v>
      </c>
      <c r="E1516">
        <v>25.7952561</v>
      </c>
      <c r="F1516">
        <v>87.559301899999994</v>
      </c>
      <c r="G1516">
        <v>7</v>
      </c>
    </row>
    <row r="1517" spans="1:7" x14ac:dyDescent="0.3">
      <c r="A1517" t="s">
        <v>2669</v>
      </c>
      <c r="B1517" t="s">
        <v>506</v>
      </c>
      <c r="C1517" t="s">
        <v>1236</v>
      </c>
      <c r="D1517" t="s">
        <v>2702</v>
      </c>
      <c r="E1517">
        <v>21.255365999999999</v>
      </c>
      <c r="F1517">
        <v>81.629429999999999</v>
      </c>
      <c r="G1517">
        <v>7</v>
      </c>
    </row>
    <row r="1518" spans="1:7" x14ac:dyDescent="0.3">
      <c r="A1518" t="s">
        <v>2669</v>
      </c>
      <c r="B1518" t="s">
        <v>41</v>
      </c>
      <c r="C1518" t="s">
        <v>42</v>
      </c>
      <c r="D1518" t="s">
        <v>2703</v>
      </c>
      <c r="E1518">
        <v>18.095949000000001</v>
      </c>
      <c r="F1518">
        <v>75.068207000000001</v>
      </c>
      <c r="G1518">
        <v>7</v>
      </c>
    </row>
    <row r="1519" spans="1:7" x14ac:dyDescent="0.3">
      <c r="A1519" t="s">
        <v>2669</v>
      </c>
      <c r="B1519" t="s">
        <v>41</v>
      </c>
      <c r="C1519" t="s">
        <v>42</v>
      </c>
      <c r="D1519" t="s">
        <v>2704</v>
      </c>
      <c r="E1519">
        <v>18.567198999999999</v>
      </c>
      <c r="F1519">
        <v>73.812297000000001</v>
      </c>
      <c r="G1519">
        <v>7</v>
      </c>
    </row>
    <row r="1520" spans="1:7" x14ac:dyDescent="0.3">
      <c r="A1520" t="s">
        <v>2669</v>
      </c>
      <c r="B1520" t="s">
        <v>41</v>
      </c>
      <c r="C1520" t="s">
        <v>2705</v>
      </c>
      <c r="D1520" t="s">
        <v>2706</v>
      </c>
      <c r="E1520">
        <v>18.981639999999999</v>
      </c>
      <c r="F1520">
        <v>73.115549999999999</v>
      </c>
      <c r="G1520">
        <v>7</v>
      </c>
    </row>
    <row r="1521" spans="1:7" x14ac:dyDescent="0.3">
      <c r="A1521" t="s">
        <v>2669</v>
      </c>
      <c r="B1521" t="s">
        <v>41</v>
      </c>
      <c r="C1521" t="s">
        <v>1206</v>
      </c>
      <c r="D1521" t="s">
        <v>2707</v>
      </c>
      <c r="E1521">
        <v>19.036390000000001</v>
      </c>
      <c r="F1521">
        <v>73.029906999999994</v>
      </c>
      <c r="G1521">
        <v>7</v>
      </c>
    </row>
    <row r="1522" spans="1:7" x14ac:dyDescent="0.3">
      <c r="A1522" t="s">
        <v>2669</v>
      </c>
      <c r="B1522" t="s">
        <v>45</v>
      </c>
      <c r="C1522" t="s">
        <v>45</v>
      </c>
      <c r="D1522" t="s">
        <v>2708</v>
      </c>
      <c r="E1522">
        <v>28.703699199999999</v>
      </c>
      <c r="F1522">
        <v>77.204473399999998</v>
      </c>
      <c r="G1522">
        <v>7</v>
      </c>
    </row>
    <row r="1523" spans="1:7" x14ac:dyDescent="0.3">
      <c r="A1523" t="s">
        <v>2669</v>
      </c>
      <c r="B1523" t="s">
        <v>45</v>
      </c>
      <c r="C1523" t="s">
        <v>45</v>
      </c>
      <c r="D1523" t="s">
        <v>2709</v>
      </c>
      <c r="E1523">
        <v>28.709831000000001</v>
      </c>
      <c r="F1523">
        <v>77.17765</v>
      </c>
      <c r="G1523">
        <v>7</v>
      </c>
    </row>
    <row r="1524" spans="1:7" x14ac:dyDescent="0.3">
      <c r="A1524" t="s">
        <v>2669</v>
      </c>
      <c r="B1524" t="s">
        <v>45</v>
      </c>
      <c r="C1524" t="s">
        <v>45</v>
      </c>
      <c r="D1524" t="s">
        <v>2710</v>
      </c>
      <c r="E1524">
        <v>28.691279099999999</v>
      </c>
      <c r="F1524">
        <v>77.152396300000007</v>
      </c>
      <c r="G1524">
        <v>7</v>
      </c>
    </row>
    <row r="1525" spans="1:7" x14ac:dyDescent="0.3">
      <c r="A1525" t="s">
        <v>2669</v>
      </c>
      <c r="B1525" t="s">
        <v>41</v>
      </c>
      <c r="C1525" t="s">
        <v>987</v>
      </c>
      <c r="D1525" t="s">
        <v>2711</v>
      </c>
      <c r="E1525">
        <v>21.154062</v>
      </c>
      <c r="F1525">
        <v>79.013159000000002</v>
      </c>
      <c r="G1525">
        <v>7</v>
      </c>
    </row>
    <row r="1526" spans="1:7" x14ac:dyDescent="0.3">
      <c r="A1526" t="s">
        <v>2669</v>
      </c>
      <c r="B1526" t="s">
        <v>41</v>
      </c>
      <c r="C1526" t="s">
        <v>119</v>
      </c>
      <c r="D1526" t="s">
        <v>2712</v>
      </c>
      <c r="E1526">
        <v>18.922795059999999</v>
      </c>
      <c r="F1526">
        <v>72.833518979999994</v>
      </c>
      <c r="G1526">
        <v>7</v>
      </c>
    </row>
    <row r="1527" spans="1:7" x14ac:dyDescent="0.3">
      <c r="A1527" t="s">
        <v>2669</v>
      </c>
      <c r="B1527" t="s">
        <v>45</v>
      </c>
      <c r="C1527" t="s">
        <v>45</v>
      </c>
      <c r="D1527" t="s">
        <v>2713</v>
      </c>
      <c r="E1527">
        <v>28.698141700000001</v>
      </c>
      <c r="F1527">
        <v>77.116451400000003</v>
      </c>
      <c r="G1527">
        <v>7</v>
      </c>
    </row>
    <row r="1528" spans="1:7" x14ac:dyDescent="0.3">
      <c r="A1528" t="s">
        <v>2669</v>
      </c>
      <c r="B1528" t="s">
        <v>45</v>
      </c>
      <c r="C1528" t="s">
        <v>45</v>
      </c>
      <c r="D1528" t="s">
        <v>2714</v>
      </c>
      <c r="E1528">
        <v>28.632109100000001</v>
      </c>
      <c r="F1528">
        <v>77.137268300000002</v>
      </c>
      <c r="G1528">
        <v>7</v>
      </c>
    </row>
    <row r="1529" spans="1:7" x14ac:dyDescent="0.3">
      <c r="A1529" t="s">
        <v>2669</v>
      </c>
      <c r="B1529" t="s">
        <v>41</v>
      </c>
      <c r="C1529" t="s">
        <v>119</v>
      </c>
      <c r="D1529" t="s">
        <v>2715</v>
      </c>
      <c r="E1529">
        <v>19.118831</v>
      </c>
      <c r="F1529">
        <v>72.878230000000002</v>
      </c>
      <c r="G1529">
        <v>7</v>
      </c>
    </row>
    <row r="1530" spans="1:7" x14ac:dyDescent="0.3">
      <c r="A1530" t="s">
        <v>2669</v>
      </c>
      <c r="B1530" t="s">
        <v>45</v>
      </c>
      <c r="C1530" t="s">
        <v>45</v>
      </c>
      <c r="D1530" t="s">
        <v>2716</v>
      </c>
      <c r="E1530">
        <v>28.735847</v>
      </c>
      <c r="F1530">
        <v>77.093262999999993</v>
      </c>
      <c r="G1530">
        <v>7</v>
      </c>
    </row>
    <row r="1531" spans="1:7" x14ac:dyDescent="0.3">
      <c r="A1531" t="s">
        <v>2669</v>
      </c>
      <c r="B1531" t="s">
        <v>45</v>
      </c>
      <c r="C1531" t="s">
        <v>45</v>
      </c>
      <c r="D1531" t="s">
        <v>2717</v>
      </c>
      <c r="E1531">
        <v>28.659123300000001</v>
      </c>
      <c r="F1531">
        <v>77.143638800000005</v>
      </c>
      <c r="G1531">
        <v>7</v>
      </c>
    </row>
    <row r="1532" spans="1:7" x14ac:dyDescent="0.3">
      <c r="A1532" t="s">
        <v>2669</v>
      </c>
      <c r="B1532" t="s">
        <v>45</v>
      </c>
      <c r="C1532" t="s">
        <v>45</v>
      </c>
      <c r="D1532" t="s">
        <v>2718</v>
      </c>
      <c r="E1532">
        <v>28.644917199999998</v>
      </c>
      <c r="F1532">
        <v>77.202513499999995</v>
      </c>
      <c r="G1532">
        <v>7</v>
      </c>
    </row>
    <row r="1533" spans="1:7" x14ac:dyDescent="0.3">
      <c r="A1533" t="s">
        <v>2669</v>
      </c>
      <c r="B1533" t="s">
        <v>41</v>
      </c>
      <c r="C1533" t="s">
        <v>119</v>
      </c>
      <c r="D1533" t="s">
        <v>2719</v>
      </c>
      <c r="E1533">
        <v>19.094121999999999</v>
      </c>
      <c r="F1533">
        <v>72.852230000000006</v>
      </c>
      <c r="G1533">
        <v>7</v>
      </c>
    </row>
    <row r="1534" spans="1:7" x14ac:dyDescent="0.3">
      <c r="A1534" t="s">
        <v>2669</v>
      </c>
      <c r="B1534" t="s">
        <v>68</v>
      </c>
      <c r="C1534" t="s">
        <v>69</v>
      </c>
      <c r="D1534" t="s">
        <v>2720</v>
      </c>
      <c r="E1534">
        <v>23.076996000000001</v>
      </c>
      <c r="F1534">
        <v>72.589664499999998</v>
      </c>
      <c r="G1534">
        <v>7</v>
      </c>
    </row>
    <row r="1535" spans="1:7" x14ac:dyDescent="0.3">
      <c r="A1535" t="s">
        <v>2669</v>
      </c>
      <c r="B1535" t="s">
        <v>68</v>
      </c>
      <c r="C1535" t="s">
        <v>69</v>
      </c>
      <c r="D1535" t="s">
        <v>2721</v>
      </c>
      <c r="E1535">
        <v>23.047141</v>
      </c>
      <c r="F1535">
        <v>72.531013000000002</v>
      </c>
      <c r="G1535">
        <v>7</v>
      </c>
    </row>
    <row r="1536" spans="1:7" x14ac:dyDescent="0.3">
      <c r="A1536" t="s">
        <v>2669</v>
      </c>
      <c r="B1536" t="s">
        <v>68</v>
      </c>
      <c r="C1536" t="s">
        <v>69</v>
      </c>
      <c r="D1536" t="s">
        <v>2722</v>
      </c>
      <c r="E1536">
        <v>22.922329000000001</v>
      </c>
      <c r="F1536">
        <v>72.711943000000005</v>
      </c>
      <c r="G1536">
        <v>7</v>
      </c>
    </row>
    <row r="1537" spans="1:7" x14ac:dyDescent="0.3">
      <c r="A1537" t="s">
        <v>2669</v>
      </c>
      <c r="B1537" t="s">
        <v>68</v>
      </c>
      <c r="C1537" t="s">
        <v>69</v>
      </c>
      <c r="D1537" t="s">
        <v>2723</v>
      </c>
      <c r="E1537">
        <v>23.035769999999999</v>
      </c>
      <c r="F1537">
        <v>72.510000000000005</v>
      </c>
      <c r="G1537">
        <v>7</v>
      </c>
    </row>
    <row r="1538" spans="1:7" x14ac:dyDescent="0.3">
      <c r="A1538" t="s">
        <v>2669</v>
      </c>
      <c r="B1538" t="s">
        <v>68</v>
      </c>
      <c r="C1538" t="s">
        <v>69</v>
      </c>
      <c r="D1538" t="s">
        <v>2724</v>
      </c>
      <c r="E1538">
        <v>22.973461</v>
      </c>
      <c r="F1538">
        <v>72.582288000000005</v>
      </c>
      <c r="G1538">
        <v>7</v>
      </c>
    </row>
    <row r="1539" spans="1:7" x14ac:dyDescent="0.3">
      <c r="A1539" t="s">
        <v>2669</v>
      </c>
      <c r="B1539" t="s">
        <v>68</v>
      </c>
      <c r="C1539" t="s">
        <v>1288</v>
      </c>
      <c r="D1539" t="s">
        <v>2725</v>
      </c>
      <c r="E1539">
        <v>22.269901999999998</v>
      </c>
      <c r="F1539">
        <v>70.741577000000007</v>
      </c>
      <c r="G1539">
        <v>7</v>
      </c>
    </row>
    <row r="1540" spans="1:7" x14ac:dyDescent="0.3">
      <c r="A1540" t="s">
        <v>2669</v>
      </c>
      <c r="B1540" t="s">
        <v>68</v>
      </c>
      <c r="C1540" t="s">
        <v>2658</v>
      </c>
      <c r="D1540" t="s">
        <v>2726</v>
      </c>
      <c r="E1540">
        <v>20.414321999999999</v>
      </c>
      <c r="F1540">
        <v>72.918090000000007</v>
      </c>
      <c r="G1540">
        <v>7</v>
      </c>
    </row>
    <row r="1541" spans="1:7" x14ac:dyDescent="0.3">
      <c r="A1541" t="s">
        <v>2669</v>
      </c>
      <c r="B1541" t="s">
        <v>8</v>
      </c>
      <c r="C1541" t="s">
        <v>2329</v>
      </c>
      <c r="D1541" t="s">
        <v>2727</v>
      </c>
      <c r="E1541">
        <v>28.3628</v>
      </c>
      <c r="F1541">
        <v>77.314851000000004</v>
      </c>
      <c r="G1541">
        <v>7</v>
      </c>
    </row>
    <row r="1542" spans="1:7" x14ac:dyDescent="0.3">
      <c r="A1542" t="s">
        <v>2669</v>
      </c>
      <c r="B1542" t="s">
        <v>41</v>
      </c>
      <c r="C1542" t="s">
        <v>119</v>
      </c>
      <c r="D1542" t="s">
        <v>2728</v>
      </c>
      <c r="E1542">
        <v>19.068262000000001</v>
      </c>
      <c r="F1542">
        <v>72.890963999999997</v>
      </c>
      <c r="G1542">
        <v>7</v>
      </c>
    </row>
    <row r="1543" spans="1:7" x14ac:dyDescent="0.3">
      <c r="A1543" t="s">
        <v>2669</v>
      </c>
      <c r="B1543" t="s">
        <v>41</v>
      </c>
      <c r="C1543" t="s">
        <v>2729</v>
      </c>
      <c r="D1543" t="s">
        <v>2730</v>
      </c>
      <c r="E1543">
        <v>18.901730000000001</v>
      </c>
      <c r="F1543">
        <v>73.234359999999995</v>
      </c>
      <c r="G1543">
        <v>7</v>
      </c>
    </row>
    <row r="1544" spans="1:7" x14ac:dyDescent="0.3">
      <c r="A1544" t="s">
        <v>2669</v>
      </c>
      <c r="B1544" t="s">
        <v>41</v>
      </c>
      <c r="C1544" t="s">
        <v>1013</v>
      </c>
      <c r="D1544" t="s">
        <v>2731</v>
      </c>
      <c r="E1544">
        <v>19.26433634</v>
      </c>
      <c r="F1544">
        <v>74.827199739999998</v>
      </c>
      <c r="G1544">
        <v>7</v>
      </c>
    </row>
    <row r="1545" spans="1:7" x14ac:dyDescent="0.3">
      <c r="A1545" t="s">
        <v>2669</v>
      </c>
      <c r="B1545" t="s">
        <v>511</v>
      </c>
      <c r="C1545" t="s">
        <v>984</v>
      </c>
      <c r="D1545" t="s">
        <v>2732</v>
      </c>
      <c r="E1545">
        <v>23.1891128</v>
      </c>
      <c r="F1545">
        <v>77.451554400000006</v>
      </c>
      <c r="G1545">
        <v>7</v>
      </c>
    </row>
    <row r="1546" spans="1:7" x14ac:dyDescent="0.3">
      <c r="A1546" t="s">
        <v>2669</v>
      </c>
      <c r="B1546" t="s">
        <v>386</v>
      </c>
      <c r="C1546" t="s">
        <v>2733</v>
      </c>
      <c r="D1546" t="s">
        <v>2734</v>
      </c>
      <c r="E1546">
        <v>9.2744022000000008</v>
      </c>
      <c r="F1546">
        <v>76.763740799999994</v>
      </c>
      <c r="G1546">
        <v>7</v>
      </c>
    </row>
    <row r="1547" spans="1:7" x14ac:dyDescent="0.3">
      <c r="A1547" t="s">
        <v>2669</v>
      </c>
      <c r="B1547" t="s">
        <v>386</v>
      </c>
      <c r="C1547" t="s">
        <v>1402</v>
      </c>
      <c r="D1547" t="s">
        <v>2735</v>
      </c>
      <c r="E1547">
        <v>10.029793400000001</v>
      </c>
      <c r="F1547">
        <v>77.045859199999995</v>
      </c>
      <c r="G1547">
        <v>7</v>
      </c>
    </row>
    <row r="1548" spans="1:7" x14ac:dyDescent="0.3">
      <c r="A1548" t="s">
        <v>2669</v>
      </c>
      <c r="B1548" t="s">
        <v>8</v>
      </c>
      <c r="C1548" t="s">
        <v>87</v>
      </c>
      <c r="D1548" t="s">
        <v>2736</v>
      </c>
      <c r="E1548">
        <v>28.3904593</v>
      </c>
      <c r="F1548">
        <v>76.959200300000006</v>
      </c>
      <c r="G1548">
        <v>7</v>
      </c>
    </row>
    <row r="1549" spans="1:7" x14ac:dyDescent="0.3">
      <c r="A1549" t="s">
        <v>2669</v>
      </c>
      <c r="B1549" t="s">
        <v>8</v>
      </c>
      <c r="C1549" t="s">
        <v>87</v>
      </c>
      <c r="D1549" t="s">
        <v>2737</v>
      </c>
      <c r="E1549">
        <v>28.411072000000001</v>
      </c>
      <c r="F1549">
        <v>77.040546000000006</v>
      </c>
      <c r="G1549">
        <v>7</v>
      </c>
    </row>
    <row r="1550" spans="1:7" x14ac:dyDescent="0.3">
      <c r="A1550" t="s">
        <v>2669</v>
      </c>
      <c r="B1550" t="s">
        <v>490</v>
      </c>
      <c r="C1550" t="s">
        <v>490</v>
      </c>
      <c r="D1550" t="s">
        <v>2738</v>
      </c>
      <c r="E1550">
        <v>32.706411699999997</v>
      </c>
      <c r="F1550">
        <v>74.8792033</v>
      </c>
      <c r="G1550">
        <v>7</v>
      </c>
    </row>
    <row r="1551" spans="1:7" x14ac:dyDescent="0.3">
      <c r="A1551" t="s">
        <v>2669</v>
      </c>
      <c r="B1551" t="s">
        <v>150</v>
      </c>
      <c r="C1551" t="s">
        <v>2253</v>
      </c>
      <c r="D1551" t="s">
        <v>2739</v>
      </c>
      <c r="E1551">
        <v>12.885716</v>
      </c>
      <c r="F1551">
        <v>74.843475999999995</v>
      </c>
      <c r="G1551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8267-7A04-4221-8962-14B597B68329}">
  <sheetPr codeName="Sheet2"/>
  <dimension ref="A4:L1121"/>
  <sheetViews>
    <sheetView showGridLines="0" topLeftCell="B1" zoomScaleNormal="100" workbookViewId="0">
      <selection activeCell="H5" sqref="H5"/>
    </sheetView>
  </sheetViews>
  <sheetFormatPr defaultRowHeight="14.4" x14ac:dyDescent="0.3"/>
  <cols>
    <col min="1" max="1" width="55.21875" bestFit="1" customWidth="1"/>
    <col min="2" max="2" width="28.109375" customWidth="1"/>
    <col min="3" max="3" width="18.109375" bestFit="1" customWidth="1"/>
    <col min="4" max="4" width="14.44140625" customWidth="1"/>
    <col min="5" max="5" width="17.44140625" customWidth="1"/>
    <col min="6" max="6" width="12.33203125" customWidth="1"/>
    <col min="7" max="7" width="27" customWidth="1"/>
    <col min="8" max="8" width="28" customWidth="1"/>
    <col min="9" max="9" width="14.33203125" style="2" bestFit="1" customWidth="1"/>
    <col min="10" max="10" width="21.21875" bestFit="1" customWidth="1"/>
    <col min="11" max="11" width="11" style="4" customWidth="1"/>
    <col min="12" max="12" width="14.6640625" customWidth="1"/>
  </cols>
  <sheetData>
    <row r="4" spans="1:12" x14ac:dyDescent="0.3">
      <c r="A4" t="s">
        <v>2740</v>
      </c>
      <c r="B4" t="s">
        <v>2741</v>
      </c>
      <c r="C4" t="s">
        <v>2742</v>
      </c>
      <c r="D4" t="s">
        <v>2743</v>
      </c>
      <c r="E4" t="s">
        <v>2744</v>
      </c>
      <c r="F4" t="s">
        <v>3374</v>
      </c>
      <c r="G4" t="s">
        <v>3375</v>
      </c>
      <c r="H4" t="s">
        <v>3372</v>
      </c>
      <c r="I4" s="2" t="s">
        <v>3322</v>
      </c>
      <c r="J4" t="s">
        <v>2771</v>
      </c>
      <c r="K4" s="3" t="s">
        <v>3323</v>
      </c>
      <c r="L4" t="s">
        <v>3324</v>
      </c>
    </row>
    <row r="5" spans="1:12" x14ac:dyDescent="0.3">
      <c r="A5" t="s">
        <v>2264</v>
      </c>
      <c r="B5" t="s">
        <v>150</v>
      </c>
      <c r="C5" t="s">
        <v>2253</v>
      </c>
      <c r="D5">
        <v>12.909026580000001</v>
      </c>
      <c r="E5">
        <v>74.835969719999994</v>
      </c>
      <c r="F5">
        <f>IF(COUNTIF($C$5:C5,C5)=1,1,0)</f>
        <v>1</v>
      </c>
      <c r="G5" s="2">
        <f t="shared" ref="G5:G68" si="0">IF(F5=1, IF(C5=MyCity, "", _xlfn.MINIFS($I$5:$I$1121,$C$5:$C$1121,C5)), "")</f>
        <v>295.56609537232521</v>
      </c>
      <c r="H5" s="2">
        <f>MAX(0, MyBattery - (EVCleanedDataset[[#This Row],[Distance(km)]]/VehicleRangeKm)*100)</f>
        <v>0</v>
      </c>
      <c r="I5" s="2">
        <f>6371*ACOS(SIN(RADIANS(MyLat))*SIN(RADIANS(EVCleanedDataset[[#This Row],[Latitude]]))+COS(RADIANS(MyLat))*COS(RADIANS(EVCleanedDataset[[#This Row],[Latitude]]))*COS(RADIANS(EVCleanedDataset[[#This Row],[Longitude]]-MyLong)))</f>
        <v>296.60772304912439</v>
      </c>
      <c r="J5">
        <f t="shared" ref="J5:J68" si="1">MOD(ROW()*7,10)</f>
        <v>5</v>
      </c>
      <c r="K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48.138237063261485</v>
      </c>
      <c r="L5" t="str">
        <f>IF(EVCleanedDataset[[#This Row],[Score]]&gt;50,"Yes","No")</f>
        <v>No</v>
      </c>
    </row>
    <row r="6" spans="1:12" x14ac:dyDescent="0.3">
      <c r="A6" t="s">
        <v>2252</v>
      </c>
      <c r="B6" t="s">
        <v>150</v>
      </c>
      <c r="C6" t="s">
        <v>2253</v>
      </c>
      <c r="D6">
        <v>12.923728000000001</v>
      </c>
      <c r="E6">
        <v>74.831066000000007</v>
      </c>
      <c r="F6">
        <f>IF(COUNTIF($C$5:C6,C6)=1,1,0)</f>
        <v>0</v>
      </c>
      <c r="G6" s="2" t="str">
        <f t="shared" si="0"/>
        <v/>
      </c>
      <c r="H6" s="2">
        <f>MAX(0, MyBattery - (EVCleanedDataset[[#This Row],[Distance(km)]]/VehicleRangeKm)*100)</f>
        <v>0</v>
      </c>
      <c r="I6" s="2">
        <f>6371*ACOS(SIN(RADIANS(MyLat))*SIN(RADIANS(EVCleanedDataset[[#This Row],[Latitude]]))+COS(RADIANS(MyLat))*COS(RADIANS(EVCleanedDataset[[#This Row],[Latitude]]))*COS(RADIANS(EVCleanedDataset[[#This Row],[Longitude]]-MyLong)))</f>
        <v>296.85800708936864</v>
      </c>
      <c r="J6">
        <f t="shared" si="1"/>
        <v>2</v>
      </c>
      <c r="K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58.133863285978926</v>
      </c>
      <c r="L6" t="str">
        <f>IF(EVCleanedDataset[[#This Row],[Score]]&gt;50,"Yes","No")</f>
        <v>Yes</v>
      </c>
    </row>
    <row r="7" spans="1:12" x14ac:dyDescent="0.3">
      <c r="A7" t="s">
        <v>290</v>
      </c>
      <c r="B7" t="s">
        <v>150</v>
      </c>
      <c r="C7" t="s">
        <v>291</v>
      </c>
      <c r="D7">
        <v>13.333399999999999</v>
      </c>
      <c r="E7">
        <v>74.788399999999996</v>
      </c>
      <c r="F7">
        <f>IF(COUNTIF($C$5:C7,C7)=1,1,0)</f>
        <v>1</v>
      </c>
      <c r="G7" s="2">
        <f t="shared" si="0"/>
        <v>297.44092609036232</v>
      </c>
      <c r="H7" s="2">
        <f>MAX(0, MyBattery - (EVCleanedDataset[[#This Row],[Distance(km)]]/VehicleRangeKm)*100)</f>
        <v>0</v>
      </c>
      <c r="I7" s="2">
        <f>6371*ACOS(SIN(RADIANS(MyLat))*SIN(RADIANS(EVCleanedDataset[[#This Row],[Latitude]]))+COS(RADIANS(MyLat))*COS(RADIANS(EVCleanedDataset[[#This Row],[Latitude]]))*COS(RADIANS(EVCleanedDataset[[#This Row],[Longitude]]-MyLong)))</f>
        <v>297.44092609036232</v>
      </c>
      <c r="J7">
        <f t="shared" si="1"/>
        <v>9</v>
      </c>
      <c r="K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34.790330004493761</v>
      </c>
      <c r="L7" t="str">
        <f>IF(EVCleanedDataset[[#This Row],[Score]]&gt;50,"Yes","No")</f>
        <v>No</v>
      </c>
    </row>
    <row r="8" spans="1:12" x14ac:dyDescent="0.3">
      <c r="A8" t="s">
        <v>2770</v>
      </c>
      <c r="B8" t="s">
        <v>150</v>
      </c>
      <c r="C8" t="s">
        <v>2253</v>
      </c>
      <c r="D8">
        <v>12.885716</v>
      </c>
      <c r="E8">
        <v>74.843475999999995</v>
      </c>
      <c r="F8">
        <f>IF(COUNTIF($C$5:C8,C8)=1,1,0)</f>
        <v>0</v>
      </c>
      <c r="G8" s="2" t="str">
        <f t="shared" si="0"/>
        <v/>
      </c>
      <c r="H8" s="2">
        <f>MAX(0, MyBattery - (EVCleanedDataset[[#This Row],[Distance(km)]]/VehicleRangeKm)*100)</f>
        <v>0</v>
      </c>
      <c r="I8" s="2">
        <f>6371*ACOS(SIN(RADIANS(MyLat))*SIN(RADIANS(EVCleanedDataset[[#This Row],[Latitude]]))+COS(RADIANS(MyLat))*COS(RADIANS(EVCleanedDataset[[#This Row],[Latitude]]))*COS(RADIANS(EVCleanedDataset[[#This Row],[Longitude]]-MyLong)))</f>
        <v>296.25943499915081</v>
      </c>
      <c r="J8">
        <f t="shared" si="1"/>
        <v>6</v>
      </c>
      <c r="K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44.81103406792721</v>
      </c>
      <c r="L8" t="str">
        <f>IF(EVCleanedDataset[[#This Row],[Score]]&gt;50,"Yes","No")</f>
        <v>No</v>
      </c>
    </row>
    <row r="9" spans="1:12" x14ac:dyDescent="0.3">
      <c r="A9" t="s">
        <v>284</v>
      </c>
      <c r="B9" t="s">
        <v>150</v>
      </c>
      <c r="C9" t="s">
        <v>285</v>
      </c>
      <c r="D9">
        <v>13.2338</v>
      </c>
      <c r="E9">
        <v>74.747100000000003</v>
      </c>
      <c r="F9">
        <f>IF(COUNTIF($C$5:C9,C9)=1,1,0)</f>
        <v>1</v>
      </c>
      <c r="G9" s="2">
        <f t="shared" si="0"/>
        <v>302.23834005730845</v>
      </c>
      <c r="H9" s="2">
        <f>MAX(0, MyBattery - (EVCleanedDataset[[#This Row],[Distance(km)]]/VehicleRangeKm)*100)</f>
        <v>0</v>
      </c>
      <c r="I9" s="2">
        <f>6371*ACOS(SIN(RADIANS(MyLat))*SIN(RADIANS(EVCleanedDataset[[#This Row],[Latitude]]))+COS(RADIANS(MyLat))*COS(RADIANS(EVCleanedDataset[[#This Row],[Latitude]]))*COS(RADIANS(EVCleanedDataset[[#This Row],[Longitude]]-MyLong)))</f>
        <v>302.23834005730845</v>
      </c>
      <c r="J9">
        <f t="shared" si="1"/>
        <v>3</v>
      </c>
      <c r="K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54.706322296043822</v>
      </c>
      <c r="L9" t="str">
        <f>IF(EVCleanedDataset[[#This Row],[Score]]&gt;50,"Yes","No")</f>
        <v>Yes</v>
      </c>
    </row>
    <row r="10" spans="1:12" x14ac:dyDescent="0.3">
      <c r="A10" t="s">
        <v>3263</v>
      </c>
      <c r="B10" t="s">
        <v>386</v>
      </c>
      <c r="C10" t="s">
        <v>2283</v>
      </c>
      <c r="D10">
        <v>11.83301</v>
      </c>
      <c r="E10">
        <v>75.426429999999996</v>
      </c>
      <c r="F10">
        <f>IF(COUNTIF($C$5:C10,C10)=1,1,0)</f>
        <v>1</v>
      </c>
      <c r="G10" s="2">
        <f t="shared" si="0"/>
        <v>277.642267688316</v>
      </c>
      <c r="H10" s="2">
        <f>MAX(0, MyBattery - (EVCleanedDataset[[#This Row],[Distance(km)]]/VehicleRangeKm)*100)</f>
        <v>0</v>
      </c>
      <c r="I10" s="2">
        <f>6371*ACOS(SIN(RADIANS(MyLat))*SIN(RADIANS(EVCleanedDataset[[#This Row],[Latitude]]))+COS(RADIANS(MyLat))*COS(RADIANS(EVCleanedDataset[[#This Row],[Latitude]]))*COS(RADIANS(EVCleanedDataset[[#This Row],[Longitude]]-MyLong)))</f>
        <v>284.43191263173486</v>
      </c>
      <c r="J10">
        <f t="shared" si="1"/>
        <v>0</v>
      </c>
      <c r="K10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65.018215594537537</v>
      </c>
      <c r="L10" t="str">
        <f>IF(EVCleanedDataset[[#This Row],[Score]]&gt;50,"Yes","No")</f>
        <v>Yes</v>
      </c>
    </row>
    <row r="11" spans="1:12" x14ac:dyDescent="0.3">
      <c r="A11" t="s">
        <v>288</v>
      </c>
      <c r="B11" t="s">
        <v>150</v>
      </c>
      <c r="C11" t="s">
        <v>289</v>
      </c>
      <c r="D11">
        <v>13.618600000000001</v>
      </c>
      <c r="E11">
        <v>74.691900000000004</v>
      </c>
      <c r="F11">
        <f>IF(COUNTIF($C$5:C11,C11)=1,1,0)</f>
        <v>1</v>
      </c>
      <c r="G11" s="2">
        <f t="shared" si="0"/>
        <v>309.1489618057534</v>
      </c>
      <c r="H11" s="2">
        <f>MAX(0, MyBattery - (EVCleanedDataset[[#This Row],[Distance(km)]]/VehicleRangeKm)*100)</f>
        <v>0</v>
      </c>
      <c r="I11" s="2">
        <f>6371*ACOS(SIN(RADIANS(MyLat))*SIN(RADIANS(EVCleanedDataset[[#This Row],[Latitude]]))+COS(RADIANS(MyLat))*COS(RADIANS(EVCleanedDataset[[#This Row],[Latitude]]))*COS(RADIANS(EVCleanedDataset[[#This Row],[Longitude]]-MyLong)))</f>
        <v>309.1489618057534</v>
      </c>
      <c r="J11">
        <f t="shared" si="1"/>
        <v>7</v>
      </c>
      <c r="K1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41.251967978236983</v>
      </c>
      <c r="L11" t="str">
        <f>IF(EVCleanedDataset[[#This Row],[Score]]&gt;50,"Yes","No")</f>
        <v>No</v>
      </c>
    </row>
    <row r="12" spans="1:12" x14ac:dyDescent="0.3">
      <c r="A12" t="s">
        <v>2855</v>
      </c>
      <c r="B12" t="s">
        <v>150</v>
      </c>
      <c r="C12" t="s">
        <v>297</v>
      </c>
      <c r="D12">
        <v>13.074</v>
      </c>
      <c r="E12">
        <v>75.002499999999998</v>
      </c>
      <c r="F12">
        <f>IF(COUNTIF($C$5:C12,C12)=1,1,0)</f>
        <v>1</v>
      </c>
      <c r="G12" s="2">
        <f t="shared" si="0"/>
        <v>276.11791094162152</v>
      </c>
      <c r="H12" s="2">
        <f>MAX(0, MyBattery - (EVCleanedDataset[[#This Row],[Distance(km)]]/VehicleRangeKm)*100)</f>
        <v>0</v>
      </c>
      <c r="I12" s="2">
        <f>6371*ACOS(SIN(RADIANS(MyLat))*SIN(RADIANS(EVCleanedDataset[[#This Row],[Latitude]]))+COS(RADIANS(MyLat))*COS(RADIANS(EVCleanedDataset[[#This Row],[Latitude]]))*COS(RADIANS(EVCleanedDataset[[#This Row],[Longitude]]-MyLong)))</f>
        <v>276.11791094162152</v>
      </c>
      <c r="J12">
        <f t="shared" si="1"/>
        <v>4</v>
      </c>
      <c r="K1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51.830523738709068</v>
      </c>
      <c r="L12" t="str">
        <f>IF(EVCleanedDataset[[#This Row],[Score]]&gt;50,"Yes","No")</f>
        <v>Yes</v>
      </c>
    </row>
    <row r="13" spans="1:12" x14ac:dyDescent="0.3">
      <c r="A13" t="s">
        <v>901</v>
      </c>
      <c r="B13" t="s">
        <v>386</v>
      </c>
      <c r="C13" t="s">
        <v>2283</v>
      </c>
      <c r="D13">
        <v>12.0256266201313</v>
      </c>
      <c r="E13">
        <v>75.367177336021001</v>
      </c>
      <c r="F13">
        <f>IF(COUNTIF($C$5:C13,C13)=1,1,0)</f>
        <v>0</v>
      </c>
      <c r="G13" s="2" t="str">
        <f t="shared" si="0"/>
        <v/>
      </c>
      <c r="H13" s="2">
        <f>MAX(0, MyBattery - (EVCleanedDataset[[#This Row],[Distance(km)]]/VehicleRangeKm)*100)</f>
        <v>0</v>
      </c>
      <c r="I13" s="2">
        <f>6371*ACOS(SIN(RADIANS(MyLat))*SIN(RADIANS(EVCleanedDataset[[#This Row],[Latitude]]))+COS(RADIANS(MyLat))*COS(RADIANS(EVCleanedDataset[[#This Row],[Latitude]]))*COS(RADIANS(EVCleanedDataset[[#This Row],[Longitude]]-MyLong)))</f>
        <v>277.642267688316</v>
      </c>
      <c r="J13">
        <f t="shared" si="1"/>
        <v>1</v>
      </c>
      <c r="K1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61.803834311649517</v>
      </c>
      <c r="L13" t="str">
        <f>IF(EVCleanedDataset[[#This Row],[Score]]&gt;50,"Yes","No")</f>
        <v>Yes</v>
      </c>
    </row>
    <row r="14" spans="1:12" x14ac:dyDescent="0.3">
      <c r="A14" t="s">
        <v>922</v>
      </c>
      <c r="B14" t="s">
        <v>150</v>
      </c>
      <c r="C14" t="s">
        <v>2253</v>
      </c>
      <c r="D14">
        <v>12.878593499999999</v>
      </c>
      <c r="E14">
        <v>74.851321600000006</v>
      </c>
      <c r="F14">
        <f>IF(COUNTIF($C$5:C14,C14)=1,1,0)</f>
        <v>0</v>
      </c>
      <c r="G14" s="2" t="str">
        <f t="shared" si="0"/>
        <v/>
      </c>
      <c r="H14" s="2">
        <f>MAX(0, MyBattery - (EVCleanedDataset[[#This Row],[Distance(km)]]/VehicleRangeKm)*100)</f>
        <v>0</v>
      </c>
      <c r="I14" s="2">
        <f>6371*ACOS(SIN(RADIANS(MyLat))*SIN(RADIANS(EVCleanedDataset[[#This Row],[Latitude]]))+COS(RADIANS(MyLat))*COS(RADIANS(EVCleanedDataset[[#This Row],[Latitude]]))*COS(RADIANS(EVCleanedDataset[[#This Row],[Longitude]]-MyLong)))</f>
        <v>295.56609537232521</v>
      </c>
      <c r="J14">
        <f t="shared" si="1"/>
        <v>8</v>
      </c>
      <c r="K1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38.156571389755406</v>
      </c>
      <c r="L14" t="str">
        <f>IF(EVCleanedDataset[[#This Row],[Score]]&gt;50,"Yes","No")</f>
        <v>No</v>
      </c>
    </row>
    <row r="15" spans="1:12" x14ac:dyDescent="0.3">
      <c r="A15" t="s">
        <v>2813</v>
      </c>
      <c r="B15" t="s">
        <v>150</v>
      </c>
      <c r="C15" t="s">
        <v>154</v>
      </c>
      <c r="D15">
        <v>11.9377</v>
      </c>
      <c r="E15">
        <v>76.265500000000003</v>
      </c>
      <c r="F15">
        <f>IF(COUNTIF($C$5:C15,C15)=1,1,0)</f>
        <v>1</v>
      </c>
      <c r="G15" s="2">
        <f t="shared" si="0"/>
        <v>208.99013420099763</v>
      </c>
      <c r="H15" s="2">
        <f>MAX(0, MyBattery - (EVCleanedDataset[[#This Row],[Distance(km)]]/VehicleRangeKm)*100)</f>
        <v>0.33662193300078513</v>
      </c>
      <c r="I15" s="2">
        <f>6371*ACOS(SIN(RADIANS(MyLat))*SIN(RADIANS(EVCleanedDataset[[#This Row],[Latitude]]))+COS(RADIANS(MyLat))*COS(RADIANS(EVCleanedDataset[[#This Row],[Latitude]]))*COS(RADIANS(EVCleanedDataset[[#This Row],[Longitude]]-MyLong)))</f>
        <v>208.99013420099763</v>
      </c>
      <c r="J15">
        <f t="shared" si="1"/>
        <v>5</v>
      </c>
      <c r="K15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49.773964026823087</v>
      </c>
      <c r="L15" t="str">
        <f>IF(EVCleanedDataset[[#This Row],[Score]]&gt;50,"Yes","No")</f>
        <v>No</v>
      </c>
    </row>
    <row r="16" spans="1:12" x14ac:dyDescent="0.3">
      <c r="A16" t="s">
        <v>2816</v>
      </c>
      <c r="B16" t="s">
        <v>150</v>
      </c>
      <c r="C16" t="s">
        <v>2253</v>
      </c>
      <c r="D16">
        <v>12.8576</v>
      </c>
      <c r="E16">
        <v>74.838300000000004</v>
      </c>
      <c r="F16">
        <f>IF(COUNTIF($C$5:C16,C16)=1,1,0)</f>
        <v>0</v>
      </c>
      <c r="G16" s="2" t="str">
        <f t="shared" si="0"/>
        <v/>
      </c>
      <c r="H16" s="2">
        <f>MAX(0, MyBattery - (EVCleanedDataset[[#This Row],[Distance(km)]]/VehicleRangeKm)*100)</f>
        <v>0</v>
      </c>
      <c r="I16" s="2">
        <f>6371*ACOS(SIN(RADIANS(MyLat))*SIN(RADIANS(EVCleanedDataset[[#This Row],[Latitude]]))+COS(RADIANS(MyLat))*COS(RADIANS(EVCleanedDataset[[#This Row],[Latitude]]))*COS(RADIANS(EVCleanedDataset[[#This Row],[Longitude]]-MyLong)))</f>
        <v>297.38642449614184</v>
      </c>
      <c r="J16">
        <f t="shared" si="1"/>
        <v>2</v>
      </c>
      <c r="K1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58.124707944642509</v>
      </c>
      <c r="L16" t="str">
        <f>IF(EVCleanedDataset[[#This Row],[Score]]&gt;50,"Yes","No")</f>
        <v>Yes</v>
      </c>
    </row>
    <row r="17" spans="1:12" x14ac:dyDescent="0.3">
      <c r="A17" t="s">
        <v>2068</v>
      </c>
      <c r="B17" t="s">
        <v>150</v>
      </c>
      <c r="C17" t="s">
        <v>2069</v>
      </c>
      <c r="D17">
        <v>12.990221200000001</v>
      </c>
      <c r="E17">
        <v>76.881680900000006</v>
      </c>
      <c r="F17">
        <f>IF(COUNTIF($C$5:C17,C17)=1,1,0)</f>
        <v>1</v>
      </c>
      <c r="G17" s="2">
        <f t="shared" si="0"/>
        <v>81.452711128562939</v>
      </c>
      <c r="H17" s="2">
        <f>MAX(0, MyBattery - (EVCleanedDataset[[#This Row],[Distance(km)]]/VehicleRangeKm)*100)</f>
        <v>42.849096290479025</v>
      </c>
      <c r="I17" s="2">
        <f>6371*ACOS(SIN(RADIANS(MyLat))*SIN(RADIANS(EVCleanedDataset[[#This Row],[Latitude]]))+COS(RADIANS(MyLat))*COS(RADIANS(EVCleanedDataset[[#This Row],[Latitude]]))*COS(RADIANS(EVCleanedDataset[[#This Row],[Longitude]]-MyLong)))</f>
        <v>81.452711128562939</v>
      </c>
      <c r="J17">
        <f t="shared" si="1"/>
        <v>9</v>
      </c>
      <c r="K17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51.428237625404719</v>
      </c>
      <c r="L17" t="str">
        <f>IF(EVCleanedDataset[[#This Row],[Score]]&gt;50,"Yes","No")</f>
        <v>Yes</v>
      </c>
    </row>
    <row r="18" spans="1:12" x14ac:dyDescent="0.3">
      <c r="A18" t="s">
        <v>3019</v>
      </c>
      <c r="B18" t="s">
        <v>150</v>
      </c>
      <c r="C18" t="s">
        <v>1405</v>
      </c>
      <c r="D18">
        <v>13.924114700000001</v>
      </c>
      <c r="E18">
        <v>76.640007699999998</v>
      </c>
      <c r="F18">
        <f>IF(COUNTIF($C$5:C18,C18)=1,1,0)</f>
        <v>1</v>
      </c>
      <c r="G18" s="2">
        <f t="shared" si="0"/>
        <v>116.16259320636125</v>
      </c>
      <c r="H18" s="2">
        <f>MAX(0, MyBattery - (EVCleanedDataset[[#This Row],[Distance(km)]]/VehicleRangeKm)*100)</f>
        <v>31.279135597879581</v>
      </c>
      <c r="I18" s="2">
        <f>6371*ACOS(SIN(RADIANS(MyLat))*SIN(RADIANS(EVCleanedDataset[[#This Row],[Latitude]]))+COS(RADIANS(MyLat))*COS(RADIANS(EVCleanedDataset[[#This Row],[Latitude]]))*COS(RADIANS(EVCleanedDataset[[#This Row],[Longitude]]-MyLong)))</f>
        <v>116.16259320636125</v>
      </c>
      <c r="J18">
        <f t="shared" si="1"/>
        <v>6</v>
      </c>
      <c r="K18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57.349308577513945</v>
      </c>
      <c r="L18" t="str">
        <f>IF(EVCleanedDataset[[#This Row],[Score]]&gt;50,"Yes","No")</f>
        <v>Yes</v>
      </c>
    </row>
    <row r="19" spans="1:12" x14ac:dyDescent="0.3">
      <c r="A19" t="s">
        <v>3339</v>
      </c>
      <c r="B19" t="s">
        <v>386</v>
      </c>
      <c r="C19" t="s">
        <v>1831</v>
      </c>
      <c r="D19">
        <v>11.0522217</v>
      </c>
      <c r="E19">
        <v>76.075397800000005</v>
      </c>
      <c r="F19">
        <f>IF(COUNTIF($C$5:C19,C19)=1,1,0)</f>
        <v>1</v>
      </c>
      <c r="G19" s="2">
        <f t="shared" si="0"/>
        <v>298.76427235775873</v>
      </c>
      <c r="H19" s="2">
        <f>MAX(0, MyBattery - (EVCleanedDataset[[#This Row],[Distance(km)]]/VehicleRangeKm)*100)</f>
        <v>0</v>
      </c>
      <c r="I19" s="2">
        <f>6371*ACOS(SIN(RADIANS(MyLat))*SIN(RADIANS(EVCleanedDataset[[#This Row],[Latitude]]))+COS(RADIANS(MyLat))*COS(RADIANS(EVCleanedDataset[[#This Row],[Latitude]]))*COS(RADIANS(EVCleanedDataset[[#This Row],[Longitude]]-MyLong)))</f>
        <v>300.79623815479016</v>
      </c>
      <c r="J19">
        <f t="shared" si="1"/>
        <v>3</v>
      </c>
      <c r="K1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54.731681012313629</v>
      </c>
      <c r="L19" t="str">
        <f>IF(EVCleanedDataset[[#This Row],[Score]]&gt;50,"Yes","No")</f>
        <v>Yes</v>
      </c>
    </row>
    <row r="20" spans="1:12" x14ac:dyDescent="0.3">
      <c r="A20" t="s">
        <v>3362</v>
      </c>
      <c r="B20" t="s">
        <v>150</v>
      </c>
      <c r="C20" t="s">
        <v>1028</v>
      </c>
      <c r="D20">
        <v>13.285241900000001</v>
      </c>
      <c r="E20">
        <v>77.182995500000004</v>
      </c>
      <c r="F20">
        <f>IF(COUNTIF($C$5:C20,C20)=1,1,0)</f>
        <v>1</v>
      </c>
      <c r="G20" s="2">
        <f t="shared" si="0"/>
        <v>39.012033914071608</v>
      </c>
      <c r="H20" s="2">
        <f>MAX(0, MyBattery - (EVCleanedDataset[[#This Row],[Distance(km)]]/VehicleRangeKm)*100)</f>
        <v>56.995988695309464</v>
      </c>
      <c r="I20" s="2">
        <f>6371*ACOS(SIN(RADIANS(MyLat))*SIN(RADIANS(EVCleanedDataset[[#This Row],[Latitude]]))+COS(RADIANS(MyLat))*COS(RADIANS(EVCleanedDataset[[#This Row],[Latitude]]))*COS(RADIANS(EVCleanedDataset[[#This Row],[Longitude]]-MyLong)))</f>
        <v>39.012033914071608</v>
      </c>
      <c r="J20">
        <f t="shared" si="1"/>
        <v>0</v>
      </c>
      <c r="K20" s="5">
        <f>((1-(EVCleanedDataset[[#This Row],[Distance(km)]]/MAX($I$5:$I$1121)))*0.4 + (1-(EVCleanedDataset[[#This Row],[QueueLength]]/MAX($J$5:$J$1121)))*0.3 + (EVCleanedDataset[[#This Row],[EstimatedBatteryOnArrival]]/100)*0.3 + (ROW()/10000000))*100</f>
        <v>86.415692679776924</v>
      </c>
      <c r="L20" t="str">
        <f>IF(EVCleanedDataset[[#This Row],[Score]]&gt;50,"Yes","No")</f>
        <v>Yes</v>
      </c>
    </row>
    <row r="21" spans="1:12" x14ac:dyDescent="0.3">
      <c r="A21" t="s">
        <v>3005</v>
      </c>
      <c r="B21" t="s">
        <v>150</v>
      </c>
      <c r="C21" t="s">
        <v>2751</v>
      </c>
      <c r="D21">
        <v>15.369541</v>
      </c>
      <c r="E21">
        <v>75.119095000000002</v>
      </c>
      <c r="F21">
        <f>IF(COUNTIF($C$5:C21,C21)=1,1,0)</f>
        <v>1</v>
      </c>
      <c r="G21" s="2">
        <f t="shared" si="0"/>
        <v>340.83896923703355</v>
      </c>
      <c r="H21" s="2">
        <f>MAX(0, MyBattery - (EVCleanedDataset[[#This Row],[Distance(km)]]/VehicleRangeKm)*100)</f>
        <v>0</v>
      </c>
      <c r="I21" s="2">
        <f>6371*ACOS(SIN(RADIANS(MyLat))*SIN(RADIANS(EVCleanedDataset[[#This Row],[Latitude]]))+COS(RADIANS(MyLat))*COS(RADIANS(EVCleanedDataset[[#This Row],[Latitude]]))*COS(RADIANS(EVCleanedDataset[[#This Row],[Longitude]]-MyLong)))</f>
        <v>343.99286435253617</v>
      </c>
      <c r="J21">
        <f t="shared" si="1"/>
        <v>7</v>
      </c>
      <c r="K21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40.641769741597052</v>
      </c>
      <c r="L21" t="str">
        <f>IF(EVCleanedDataset[[#This Row],[Score]]&gt;50,"Yes","No")</f>
        <v>No</v>
      </c>
    </row>
    <row r="22" spans="1:12" x14ac:dyDescent="0.3">
      <c r="A22" t="s">
        <v>308</v>
      </c>
      <c r="B22" t="s">
        <v>150</v>
      </c>
      <c r="C22" t="s">
        <v>1341</v>
      </c>
      <c r="D22">
        <v>13.011065</v>
      </c>
      <c r="E22">
        <v>77.554534000000004</v>
      </c>
      <c r="F22">
        <f>IF(COUNTIF($C$5:C22,C22)=1,1,0)</f>
        <v>1</v>
      </c>
      <c r="G22" s="2" t="str">
        <f t="shared" si="0"/>
        <v/>
      </c>
      <c r="H22" s="2">
        <f>MAX(0, MyBattery - (EVCleanedDataset[[#This Row],[Distance(km)]]/VehicleRangeKm)*100)</f>
        <v>57.455013901593333</v>
      </c>
      <c r="I22" s="2">
        <f>6371*ACOS(SIN(RADIANS(MyLat))*SIN(RADIANS(EVCleanedDataset[[#This Row],[Latitude]]))+COS(RADIANS(MyLat))*COS(RADIANS(EVCleanedDataset[[#This Row],[Latitude]]))*COS(RADIANS(EVCleanedDataset[[#This Row],[Longitude]]-MyLong)))</f>
        <v>37.634958295219995</v>
      </c>
      <c r="J22">
        <f t="shared" si="1"/>
        <v>4</v>
      </c>
      <c r="K22" s="5">
        <f>((1-(EVCleanedDataset[[#This Row],[Distance(km)]]/MAX($I$5:$I$1121)))*0.4 + (1-(EVCleanedDataset[[#This Row],[QueueLength]]/MAX($J$5:$J$1121)))*0.3 + (EVCleanedDataset[[#This Row],[EstimatedBatteryOnArrival]]/100)*0.3 + (ROW()/10000000))*100</f>
        <v>73.24420667564749</v>
      </c>
      <c r="L22" t="str">
        <f>IF(EVCleanedDataset[[#This Row],[Score]]&gt;50,"Yes","No")</f>
        <v>Yes</v>
      </c>
    </row>
    <row r="23" spans="1:12" x14ac:dyDescent="0.3">
      <c r="A23" t="s">
        <v>3064</v>
      </c>
      <c r="B23" t="s">
        <v>150</v>
      </c>
      <c r="C23" t="s">
        <v>1341</v>
      </c>
      <c r="D23">
        <v>13.037895000000001</v>
      </c>
      <c r="E23">
        <v>77.557689999999994</v>
      </c>
      <c r="F23">
        <f>IF(COUNTIF($C$5:C23,C23)=1,1,0)</f>
        <v>0</v>
      </c>
      <c r="G23" s="2" t="str">
        <f t="shared" si="0"/>
        <v/>
      </c>
      <c r="H23" s="2">
        <f>MAX(0, MyBattery - (EVCleanedDataset[[#This Row],[Distance(km)]]/VehicleRangeKm)*100)</f>
        <v>58.441555921095855</v>
      </c>
      <c r="I23" s="2">
        <f>6371*ACOS(SIN(RADIANS(MyLat))*SIN(RADIANS(EVCleanedDataset[[#This Row],[Latitude]]))+COS(RADIANS(MyLat))*COS(RADIANS(EVCleanedDataset[[#This Row],[Latitude]]))*COS(RADIANS(EVCleanedDataset[[#This Row],[Longitude]]-MyLong)))</f>
        <v>34.675332236712443</v>
      </c>
      <c r="J23">
        <f t="shared" si="1"/>
        <v>1</v>
      </c>
      <c r="K23" s="5">
        <f>((1-(EVCleanedDataset[[#This Row],[Distance(km)]]/MAX($I$5:$I$1121)))*0.4 + (1-(EVCleanedDataset[[#This Row],[QueueLength]]/MAX($J$5:$J$1121)))*0.3 + (EVCleanedDataset[[#This Row],[EstimatedBatteryOnArrival]]/100)*0.3 + (ROW()/10000000))*100</f>
        <v>83.592017750573163</v>
      </c>
      <c r="L23" t="str">
        <f>IF(EVCleanedDataset[[#This Row],[Score]]&gt;50,"Yes","No")</f>
        <v>Yes</v>
      </c>
    </row>
    <row r="24" spans="1:12" x14ac:dyDescent="0.3">
      <c r="A24" t="s">
        <v>2858</v>
      </c>
      <c r="B24" t="s">
        <v>150</v>
      </c>
      <c r="C24" t="s">
        <v>1341</v>
      </c>
      <c r="D24">
        <v>13.020907100000001</v>
      </c>
      <c r="E24">
        <v>77.597984100000005</v>
      </c>
      <c r="F24">
        <f>IF(COUNTIF($C$5:C24,C24)=1,1,0)</f>
        <v>0</v>
      </c>
      <c r="G24" s="2" t="str">
        <f t="shared" si="0"/>
        <v/>
      </c>
      <c r="H24" s="2">
        <f>MAX(0, MyBattery - (EVCleanedDataset[[#This Row],[Distance(km)]]/VehicleRangeKm)*100)</f>
        <v>57.640651098640646</v>
      </c>
      <c r="I24" s="2">
        <f>6371*ACOS(SIN(RADIANS(MyLat))*SIN(RADIANS(EVCleanedDataset[[#This Row],[Latitude]]))+COS(RADIANS(MyLat))*COS(RADIANS(EVCleanedDataset[[#This Row],[Latitude]]))*COS(RADIANS(EVCleanedDataset[[#This Row],[Longitude]]-MyLong)))</f>
        <v>37.078046704078069</v>
      </c>
      <c r="J24">
        <f t="shared" si="1"/>
        <v>8</v>
      </c>
      <c r="K24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59.976338924360228</v>
      </c>
      <c r="L24" t="str">
        <f>IF(EVCleanedDataset[[#This Row],[Score]]&gt;50,"Yes","No")</f>
        <v>Yes</v>
      </c>
    </row>
    <row r="25" spans="1:12" x14ac:dyDescent="0.3">
      <c r="A25" t="s">
        <v>381</v>
      </c>
      <c r="B25" t="s">
        <v>150</v>
      </c>
      <c r="C25" t="s">
        <v>1341</v>
      </c>
      <c r="D25">
        <v>13.098157</v>
      </c>
      <c r="E25">
        <v>77.596729999999994</v>
      </c>
      <c r="F25">
        <f>IF(COUNTIF($C$5:C25,C25)=1,1,0)</f>
        <v>0</v>
      </c>
      <c r="G25" s="2" t="str">
        <f t="shared" si="0"/>
        <v/>
      </c>
      <c r="H25" s="2">
        <f>MAX(0, MyBattery - (EVCleanedDataset[[#This Row],[Distance(km)]]/VehicleRangeKm)*100)</f>
        <v>60.455847554675387</v>
      </c>
      <c r="I25" s="2">
        <f>6371*ACOS(SIN(RADIANS(MyLat))*SIN(RADIANS(EVCleanedDataset[[#This Row],[Latitude]]))+COS(RADIANS(MyLat))*COS(RADIANS(EVCleanedDataset[[#This Row],[Latitude]]))*COS(RADIANS(EVCleanedDataset[[#This Row],[Longitude]]-MyLong)))</f>
        <v>28.632457335973832</v>
      </c>
      <c r="J25">
        <f t="shared" si="1"/>
        <v>5</v>
      </c>
      <c r="K25" s="5">
        <f>((1-(EVCleanedDataset[[#This Row],[Distance(km)]]/MAX($I$5:$I$1121)))*0.4 + (1-(EVCleanedDataset[[#This Row],[QueueLength]]/MAX($J$5:$J$1121)))*0.3 + (EVCleanedDataset[[#This Row],[EstimatedBatteryOnArrival]]/100)*0.3 + (ROW()/10000000))*100</f>
        <v>70.968834124361706</v>
      </c>
      <c r="L25" t="str">
        <f>IF(EVCleanedDataset[[#This Row],[Score]]&gt;50,"Yes","No")</f>
        <v>Yes</v>
      </c>
    </row>
    <row r="26" spans="1:12" x14ac:dyDescent="0.3">
      <c r="A26" t="s">
        <v>3056</v>
      </c>
      <c r="B26" t="s">
        <v>150</v>
      </c>
      <c r="C26" t="s">
        <v>1341</v>
      </c>
      <c r="D26">
        <v>12.916948</v>
      </c>
      <c r="E26">
        <v>77.610212000000004</v>
      </c>
      <c r="F26">
        <f>IF(COUNTIF($C$5:C26,C26)=1,1,0)</f>
        <v>0</v>
      </c>
      <c r="G26" s="2" t="str">
        <f t="shared" si="0"/>
        <v/>
      </c>
      <c r="H26" s="2">
        <f>MAX(0, MyBattery - (EVCleanedDataset[[#This Row],[Distance(km)]]/VehicleRangeKm)*100)</f>
        <v>53.768083156281435</v>
      </c>
      <c r="I26" s="2">
        <f>6371*ACOS(SIN(RADIANS(MyLat))*SIN(RADIANS(EVCleanedDataset[[#This Row],[Latitude]]))+COS(RADIANS(MyLat))*COS(RADIANS(EVCleanedDataset[[#This Row],[Latitude]]))*COS(RADIANS(EVCleanedDataset[[#This Row],[Longitude]]-MyLong)))</f>
        <v>48.695750531155703</v>
      </c>
      <c r="J26">
        <f t="shared" si="1"/>
        <v>2</v>
      </c>
      <c r="K26" s="5">
        <f>((1-(EVCleanedDataset[[#This Row],[Distance(km)]]/MAX($I$5:$I$1121)))*0.4 + (1-(EVCleanedDataset[[#This Row],[QueueLength]]/MAX($J$5:$J$1121)))*0.3 + (EVCleanedDataset[[#This Row],[EstimatedBatteryOnArrival]]/100)*0.3 + (ROW()/10000000))*100</f>
        <v>78.611102030635195</v>
      </c>
      <c r="L26" t="str">
        <f>IF(EVCleanedDataset[[#This Row],[Score]]&gt;50,"Yes","No")</f>
        <v>Yes</v>
      </c>
    </row>
    <row r="27" spans="1:12" x14ac:dyDescent="0.3">
      <c r="A27" t="s">
        <v>1570</v>
      </c>
      <c r="B27" t="s">
        <v>150</v>
      </c>
      <c r="C27" t="s">
        <v>1341</v>
      </c>
      <c r="D27">
        <v>13.04139</v>
      </c>
      <c r="E27">
        <v>77.620590000000007</v>
      </c>
      <c r="F27">
        <f>IF(COUNTIF($C$5:C27,C27)=1,1,0)</f>
        <v>0</v>
      </c>
      <c r="G27" s="2" t="str">
        <f t="shared" si="0"/>
        <v/>
      </c>
      <c r="H27" s="2">
        <f>MAX(0, MyBattery - (EVCleanedDataset[[#This Row],[Distance(km)]]/VehicleRangeKm)*100)</f>
        <v>58.206610708655312</v>
      </c>
      <c r="I27" s="2">
        <f>6371*ACOS(SIN(RADIANS(MyLat))*SIN(RADIANS(EVCleanedDataset[[#This Row],[Latitude]]))+COS(RADIANS(MyLat))*COS(RADIANS(EVCleanedDataset[[#This Row],[Latitude]]))*COS(RADIANS(EVCleanedDataset[[#This Row],[Longitude]]-MyLong)))</f>
        <v>35.380167874034065</v>
      </c>
      <c r="J27">
        <f t="shared" si="1"/>
        <v>9</v>
      </c>
      <c r="K27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56.842562176652599</v>
      </c>
      <c r="L27" t="str">
        <f>IF(EVCleanedDataset[[#This Row],[Score]]&gt;50,"Yes","No")</f>
        <v>Yes</v>
      </c>
    </row>
    <row r="28" spans="1:12" x14ac:dyDescent="0.3">
      <c r="A28" t="s">
        <v>2241</v>
      </c>
      <c r="B28" t="s">
        <v>150</v>
      </c>
      <c r="C28" t="s">
        <v>1341</v>
      </c>
      <c r="D28">
        <v>12.95234</v>
      </c>
      <c r="E28">
        <v>77.639970000000005</v>
      </c>
      <c r="F28">
        <f>IF(COUNTIF($C$5:C28,C28)=1,1,0)</f>
        <v>0</v>
      </c>
      <c r="G28" s="2" t="str">
        <f t="shared" si="0"/>
        <v/>
      </c>
      <c r="H28" s="2">
        <f>MAX(0, MyBattery - (EVCleanedDataset[[#This Row],[Distance(km)]]/VehicleRangeKm)*100)</f>
        <v>54.835586675155646</v>
      </c>
      <c r="I28" s="2">
        <f>6371*ACOS(SIN(RADIANS(MyLat))*SIN(RADIANS(EVCleanedDataset[[#This Row],[Latitude]]))+COS(RADIANS(MyLat))*COS(RADIANS(EVCleanedDataset[[#This Row],[Latitude]]))*COS(RADIANS(EVCleanedDataset[[#This Row],[Longitude]]-MyLong)))</f>
        <v>45.493239974533061</v>
      </c>
      <c r="J28">
        <f t="shared" si="1"/>
        <v>6</v>
      </c>
      <c r="K28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65.654132394794459</v>
      </c>
      <c r="L28" t="str">
        <f>IF(EVCleanedDataset[[#This Row],[Score]]&gt;50,"Yes","No")</f>
        <v>Yes</v>
      </c>
    </row>
    <row r="29" spans="1:12" x14ac:dyDescent="0.3">
      <c r="A29" t="s">
        <v>3040</v>
      </c>
      <c r="B29" t="s">
        <v>150</v>
      </c>
      <c r="C29" t="s">
        <v>1341</v>
      </c>
      <c r="D29">
        <v>12.943409279999999</v>
      </c>
      <c r="E29">
        <v>77.690414669999996</v>
      </c>
      <c r="F29">
        <f>IF(COUNTIF($C$5:C29,C29)=1,1,0)</f>
        <v>0</v>
      </c>
      <c r="G29" s="2" t="str">
        <f t="shared" si="0"/>
        <v/>
      </c>
      <c r="H29" s="2">
        <f>MAX(0, MyBattery - (EVCleanedDataset[[#This Row],[Distance(km)]]/VehicleRangeKm)*100)</f>
        <v>53.981647761847583</v>
      </c>
      <c r="I29" s="2">
        <f>6371*ACOS(SIN(RADIANS(MyLat))*SIN(RADIANS(EVCleanedDataset[[#This Row],[Latitude]]))+COS(RADIANS(MyLat))*COS(RADIANS(EVCleanedDataset[[#This Row],[Latitude]]))*COS(RADIANS(EVCleanedDataset[[#This Row],[Longitude]]-MyLong)))</f>
        <v>48.055056714457258</v>
      </c>
      <c r="J29">
        <f t="shared" si="1"/>
        <v>3</v>
      </c>
      <c r="K29" s="5">
        <f>((1-(EVCleanedDataset[[#This Row],[Distance(km)]]/MAX($I$5:$I$1121)))*0.4 + (1-(EVCleanedDataset[[#This Row],[QueueLength]]/MAX($J$5:$J$1121)))*0.3 + (EVCleanedDataset[[#This Row],[EstimatedBatteryOnArrival]]/100)*0.3 + (ROW()/10000000))*100</f>
        <v>75.353089965097482</v>
      </c>
      <c r="L29" t="str">
        <f>IF(EVCleanedDataset[[#This Row],[Score]]&gt;50,"Yes","No")</f>
        <v>Yes</v>
      </c>
    </row>
    <row r="30" spans="1:12" x14ac:dyDescent="0.3">
      <c r="A30" t="s">
        <v>3062</v>
      </c>
      <c r="B30" t="s">
        <v>150</v>
      </c>
      <c r="C30" t="s">
        <v>1341</v>
      </c>
      <c r="D30">
        <v>12.9947017</v>
      </c>
      <c r="E30">
        <v>77.700204850000006</v>
      </c>
      <c r="F30">
        <f>IF(COUNTIF($C$5:C30,C30)=1,1,0)</f>
        <v>0</v>
      </c>
      <c r="G30" s="2" t="str">
        <f t="shared" si="0"/>
        <v/>
      </c>
      <c r="H30" s="2">
        <f>MAX(0, MyBattery - (EVCleanedDataset[[#This Row],[Distance(km)]]/VehicleRangeKm)*100)</f>
        <v>55.611026937654316</v>
      </c>
      <c r="I30" s="2">
        <f>6371*ACOS(SIN(RADIANS(MyLat))*SIN(RADIANS(EVCleanedDataset[[#This Row],[Latitude]]))+COS(RADIANS(MyLat))*COS(RADIANS(EVCleanedDataset[[#This Row],[Latitude]]))*COS(RADIANS(EVCleanedDataset[[#This Row],[Longitude]]-MyLong)))</f>
        <v>43.166919187037038</v>
      </c>
      <c r="J30">
        <f t="shared" si="1"/>
        <v>0</v>
      </c>
      <c r="K30" s="5">
        <f>((1-(EVCleanedDataset[[#This Row],[Distance(km)]]/MAX($I$5:$I$1121)))*0.4 + (1-(EVCleanedDataset[[#This Row],[QueueLength]]/MAX($J$5:$J$1121)))*0.3 + (EVCleanedDataset[[#This Row],[EstimatedBatteryOnArrival]]/100)*0.3 + (ROW()/10000000))*100</f>
        <v>85.92753046841537</v>
      </c>
      <c r="L30" t="str">
        <f>IF(EVCleanedDataset[[#This Row],[Score]]&gt;50,"Yes","No")</f>
        <v>Yes</v>
      </c>
    </row>
    <row r="31" spans="1:12" x14ac:dyDescent="0.3">
      <c r="A31" t="s">
        <v>3331</v>
      </c>
      <c r="B31" t="s">
        <v>49</v>
      </c>
      <c r="C31" t="s">
        <v>188</v>
      </c>
      <c r="D31">
        <v>11.0113482</v>
      </c>
      <c r="E31">
        <v>76.959815899999995</v>
      </c>
      <c r="F31">
        <f>IF(COUNTIF($C$5:C31,C31)=1,1,0)</f>
        <v>1</v>
      </c>
      <c r="G31" s="2">
        <f t="shared" si="0"/>
        <v>243.57448129468719</v>
      </c>
      <c r="H31" s="2">
        <f>MAX(0, MyBattery - (EVCleanedDataset[[#This Row],[Distance(km)]]/VehicleRangeKm)*100)</f>
        <v>0</v>
      </c>
      <c r="I31" s="2">
        <f>6371*ACOS(SIN(RADIANS(MyLat))*SIN(RADIANS(EVCleanedDataset[[#This Row],[Latitude]]))+COS(RADIANS(MyLat))*COS(RADIANS(EVCleanedDataset[[#This Row],[Latitude]]))*COS(RADIANS(EVCleanedDataset[[#This Row],[Longitude]]-MyLong)))</f>
        <v>267.42298772581404</v>
      </c>
      <c r="J31">
        <f t="shared" si="1"/>
        <v>7</v>
      </c>
      <c r="K3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41.983007136361692</v>
      </c>
      <c r="L31" t="str">
        <f>IF(EVCleanedDataset[[#This Row],[Score]]&gt;50,"Yes","No")</f>
        <v>No</v>
      </c>
    </row>
    <row r="32" spans="1:12" x14ac:dyDescent="0.3">
      <c r="A32" t="s">
        <v>3257</v>
      </c>
      <c r="B32" t="s">
        <v>150</v>
      </c>
      <c r="C32" t="s">
        <v>1341</v>
      </c>
      <c r="D32">
        <v>12.966839999999999</v>
      </c>
      <c r="E32">
        <v>77.716570000000004</v>
      </c>
      <c r="F32">
        <f>IF(COUNTIF($C$5:C32,C32)=1,1,0)</f>
        <v>0</v>
      </c>
      <c r="G32" s="2" t="str">
        <f t="shared" si="0"/>
        <v/>
      </c>
      <c r="H32" s="2">
        <f>MAX(0, MyBattery - (EVCleanedDataset[[#This Row],[Distance(km)]]/VehicleRangeKm)*100)</f>
        <v>54.426620110560961</v>
      </c>
      <c r="I32" s="2">
        <f>6371*ACOS(SIN(RADIANS(MyLat))*SIN(RADIANS(EVCleanedDataset[[#This Row],[Latitude]]))+COS(RADIANS(MyLat))*COS(RADIANS(EVCleanedDataset[[#This Row],[Latitude]]))*COS(RADIANS(EVCleanedDataset[[#This Row],[Longitude]]-MyLong)))</f>
        <v>46.720139668317131</v>
      </c>
      <c r="J32">
        <f t="shared" si="1"/>
        <v>4</v>
      </c>
      <c r="K32" s="5">
        <f>((1-(EVCleanedDataset[[#This Row],[Distance(km)]]/MAX($I$5:$I$1121)))*0.4 + (1-(EVCleanedDataset[[#This Row],[QueueLength]]/MAX($J$5:$J$1121)))*0.3 + (EVCleanedDataset[[#This Row],[EstimatedBatteryOnArrival]]/100)*0.3 + (ROW()/10000000))*100</f>
        <v>72.176659687483294</v>
      </c>
      <c r="L32" t="str">
        <f>IF(EVCleanedDataset[[#This Row],[Score]]&gt;50,"Yes","No")</f>
        <v>Yes</v>
      </c>
    </row>
    <row r="33" spans="1:12" x14ac:dyDescent="0.3">
      <c r="A33" t="s">
        <v>714</v>
      </c>
      <c r="B33" t="s">
        <v>105</v>
      </c>
      <c r="C33" t="s">
        <v>105</v>
      </c>
      <c r="D33">
        <v>15.5230657</v>
      </c>
      <c r="E33">
        <v>73.825913</v>
      </c>
      <c r="F33">
        <f>IF(COUNTIF($C$5:C33,C33)=1,1,0)</f>
        <v>1</v>
      </c>
      <c r="G33" s="2">
        <f t="shared" si="0"/>
        <v>436.44735811081983</v>
      </c>
      <c r="H33" s="2">
        <f>MAX(0, MyBattery - (EVCleanedDataset[[#This Row],[Distance(km)]]/VehicleRangeKm)*100)</f>
        <v>0</v>
      </c>
      <c r="I33" s="2">
        <f>6371*ACOS(SIN(RADIANS(MyLat))*SIN(RADIANS(EVCleanedDataset[[#This Row],[Latitude]]))+COS(RADIANS(MyLat))*COS(RADIANS(EVCleanedDataset[[#This Row],[Latitude]]))*COS(RADIANS(EVCleanedDataset[[#This Row],[Longitude]]-MyLong)))</f>
        <v>467.06723612839073</v>
      </c>
      <c r="J33">
        <f t="shared" si="1"/>
        <v>1</v>
      </c>
      <c r="K3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58.486216393311139</v>
      </c>
      <c r="L33" t="str">
        <f>IF(EVCleanedDataset[[#This Row],[Score]]&gt;50,"Yes","No")</f>
        <v>Yes</v>
      </c>
    </row>
    <row r="34" spans="1:12" x14ac:dyDescent="0.3">
      <c r="A34" t="s">
        <v>3303</v>
      </c>
      <c r="B34" t="s">
        <v>49</v>
      </c>
      <c r="C34" t="s">
        <v>188</v>
      </c>
      <c r="D34">
        <v>11.049910000000001</v>
      </c>
      <c r="E34">
        <v>77.057649999999995</v>
      </c>
      <c r="F34">
        <f>IF(COUNTIF($C$5:C34,C34)=1,1,0)</f>
        <v>0</v>
      </c>
      <c r="G34" s="2" t="str">
        <f t="shared" si="0"/>
        <v/>
      </c>
      <c r="H34" s="2">
        <f>MAX(0, MyBattery - (EVCleanedDataset[[#This Row],[Distance(km)]]/VehicleRangeKm)*100)</f>
        <v>0</v>
      </c>
      <c r="I34" s="2">
        <f>6371*ACOS(SIN(RADIANS(MyLat))*SIN(RADIANS(EVCleanedDataset[[#This Row],[Latitude]]))+COS(RADIANS(MyLat))*COS(RADIANS(EVCleanedDataset[[#This Row],[Latitude]]))*COS(RADIANS(EVCleanedDataset[[#This Row],[Longitude]]-MyLong)))</f>
        <v>260.92466653802751</v>
      </c>
      <c r="J34">
        <f t="shared" si="1"/>
        <v>8</v>
      </c>
      <c r="K3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38.763523256997424</v>
      </c>
      <c r="L34" t="str">
        <f>IF(EVCleanedDataset[[#This Row],[Score]]&gt;50,"Yes","No")</f>
        <v>No</v>
      </c>
    </row>
    <row r="35" spans="1:12" x14ac:dyDescent="0.3">
      <c r="A35" t="s">
        <v>2872</v>
      </c>
      <c r="B35" t="s">
        <v>386</v>
      </c>
      <c r="C35" t="s">
        <v>1435</v>
      </c>
      <c r="D35">
        <v>9.9608539999999994</v>
      </c>
      <c r="E35">
        <v>76.293920700000001</v>
      </c>
      <c r="F35">
        <f>IF(COUNTIF($C$5:C35,C35)=1,1,0)</f>
        <v>1</v>
      </c>
      <c r="G35" s="2">
        <f t="shared" si="0"/>
        <v>386.54920173279362</v>
      </c>
      <c r="H35" s="2">
        <f>MAX(0, MyBattery - (EVCleanedDataset[[#This Row],[Distance(km)]]/VehicleRangeKm)*100)</f>
        <v>0</v>
      </c>
      <c r="I35" s="2">
        <f>6371*ACOS(SIN(RADIANS(MyLat))*SIN(RADIANS(EVCleanedDataset[[#This Row],[Latitude]]))+COS(RADIANS(MyLat))*COS(RADIANS(EVCleanedDataset[[#This Row],[Latitude]]))*COS(RADIANS(EVCleanedDataset[[#This Row],[Longitude]]-MyLong)))</f>
        <v>400.35175326760032</v>
      </c>
      <c r="J35">
        <f t="shared" si="1"/>
        <v>5</v>
      </c>
      <c r="K35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46.321438688036523</v>
      </c>
      <c r="L35" t="str">
        <f>IF(EVCleanedDataset[[#This Row],[Score]]&gt;50,"Yes","No")</f>
        <v>No</v>
      </c>
    </row>
    <row r="36" spans="1:12" x14ac:dyDescent="0.3">
      <c r="A36" t="s">
        <v>1434</v>
      </c>
      <c r="B36" t="s">
        <v>386</v>
      </c>
      <c r="C36" t="s">
        <v>1435</v>
      </c>
      <c r="D36">
        <v>9.9644344999999994</v>
      </c>
      <c r="E36">
        <v>76.318495600000006</v>
      </c>
      <c r="F36">
        <f>IF(COUNTIF($C$5:C36,C36)=1,1,0)</f>
        <v>0</v>
      </c>
      <c r="G36" s="2" t="str">
        <f t="shared" si="0"/>
        <v/>
      </c>
      <c r="H36" s="2">
        <f>MAX(0, MyBattery - (EVCleanedDataset[[#This Row],[Distance(km)]]/VehicleRangeKm)*100)</f>
        <v>0</v>
      </c>
      <c r="I36" s="2">
        <f>6371*ACOS(SIN(RADIANS(MyLat))*SIN(RADIANS(EVCleanedDataset[[#This Row],[Latitude]]))+COS(RADIANS(MyLat))*COS(RADIANS(EVCleanedDataset[[#This Row],[Latitude]]))*COS(RADIANS(EVCleanedDataset[[#This Row],[Longitude]]-MyLong)))</f>
        <v>399.07891507406998</v>
      </c>
      <c r="J36">
        <f t="shared" si="1"/>
        <v>2</v>
      </c>
      <c r="K36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56.343742715061673</v>
      </c>
      <c r="L36" t="str">
        <f>IF(EVCleanedDataset[[#This Row],[Score]]&gt;50,"Yes","No")</f>
        <v>Yes</v>
      </c>
    </row>
    <row r="37" spans="1:12" x14ac:dyDescent="0.3">
      <c r="A37" t="s">
        <v>2249</v>
      </c>
      <c r="B37" t="s">
        <v>150</v>
      </c>
      <c r="C37" t="s">
        <v>3377</v>
      </c>
      <c r="D37">
        <v>12.3255681</v>
      </c>
      <c r="E37">
        <v>76.610263399999994</v>
      </c>
      <c r="F37">
        <f>IF(COUNTIF($C$5:C37,C37)=1,1,0)</f>
        <v>1</v>
      </c>
      <c r="G37" s="2">
        <f t="shared" si="0"/>
        <v>150.43191778598262</v>
      </c>
      <c r="H37" s="2">
        <f>MAX(0, MyBattery - (EVCleanedDataset[[#This Row],[Distance(km)]]/VehicleRangeKm)*100)</f>
        <v>19.382650776410266</v>
      </c>
      <c r="I37" s="2">
        <f>6371*ACOS(SIN(RADIANS(MyLat))*SIN(RADIANS(EVCleanedDataset[[#This Row],[Latitude]]))+COS(RADIANS(MyLat))*COS(RADIANS(EVCleanedDataset[[#This Row],[Latitude]]))*COS(RADIANS(EVCleanedDataset[[#This Row],[Longitude]]-MyLong)))</f>
        <v>151.8520476707692</v>
      </c>
      <c r="J37">
        <f t="shared" si="1"/>
        <v>9</v>
      </c>
      <c r="K37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43.155444875847579</v>
      </c>
      <c r="L37" t="str">
        <f>IF(EVCleanedDataset[[#This Row],[Score]]&gt;50,"Yes","No")</f>
        <v>No</v>
      </c>
    </row>
    <row r="38" spans="1:12" x14ac:dyDescent="0.3">
      <c r="A38" t="s">
        <v>604</v>
      </c>
      <c r="B38" t="s">
        <v>386</v>
      </c>
      <c r="C38" t="s">
        <v>1435</v>
      </c>
      <c r="D38">
        <v>9.9449301000000006</v>
      </c>
      <c r="E38">
        <v>76.335421100000005</v>
      </c>
      <c r="F38">
        <f>IF(COUNTIF($C$5:C38,C38)=1,1,0)</f>
        <v>0</v>
      </c>
      <c r="G38" s="2" t="str">
        <f t="shared" si="0"/>
        <v/>
      </c>
      <c r="H38" s="2">
        <f>MAX(0, MyBattery - (EVCleanedDataset[[#This Row],[Distance(km)]]/VehicleRangeKm)*100)</f>
        <v>0</v>
      </c>
      <c r="I38" s="2">
        <f>6371*ACOS(SIN(RADIANS(MyLat))*SIN(RADIANS(EVCleanedDataset[[#This Row],[Latitude]]))+COS(RADIANS(MyLat))*COS(RADIANS(EVCleanedDataset[[#This Row],[Latitude]]))*COS(RADIANS(EVCleanedDataset[[#This Row],[Longitude]]-MyLong)))</f>
        <v>400.52027335654441</v>
      </c>
      <c r="J38">
        <f t="shared" si="1"/>
        <v>6</v>
      </c>
      <c r="K38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42.985183690119044</v>
      </c>
      <c r="L38" t="str">
        <f>IF(EVCleanedDataset[[#This Row],[Score]]&gt;50,"Yes","No")</f>
        <v>No</v>
      </c>
    </row>
    <row r="39" spans="1:12" x14ac:dyDescent="0.3">
      <c r="A39" t="s">
        <v>2183</v>
      </c>
      <c r="B39" t="s">
        <v>386</v>
      </c>
      <c r="C39" t="s">
        <v>1435</v>
      </c>
      <c r="D39">
        <v>9.9768500079999995</v>
      </c>
      <c r="E39">
        <v>76.457688540000007</v>
      </c>
      <c r="F39">
        <f>IF(COUNTIF($C$5:C39,C39)=1,1,0)</f>
        <v>0</v>
      </c>
      <c r="G39" s="2" t="str">
        <f t="shared" si="0"/>
        <v/>
      </c>
      <c r="H39" s="2">
        <f>MAX(0, MyBattery - (EVCleanedDataset[[#This Row],[Distance(km)]]/VehicleRangeKm)*100)</f>
        <v>0</v>
      </c>
      <c r="I39" s="2">
        <f>6371*ACOS(SIN(RADIANS(MyLat))*SIN(RADIANS(EVCleanedDataset[[#This Row],[Latitude]]))+COS(RADIANS(MyLat))*COS(RADIANS(EVCleanedDataset[[#This Row],[Latitude]]))*COS(RADIANS(EVCleanedDataset[[#This Row],[Longitude]]-MyLong)))</f>
        <v>392.97908358624716</v>
      </c>
      <c r="J39">
        <f t="shared" si="1"/>
        <v>3</v>
      </c>
      <c r="K39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53.117279205304946</v>
      </c>
      <c r="L39" t="str">
        <f>IF(EVCleanedDataset[[#This Row],[Score]]&gt;50,"Yes","No")</f>
        <v>Yes</v>
      </c>
    </row>
    <row r="40" spans="1:12" x14ac:dyDescent="0.3">
      <c r="A40" t="s">
        <v>2851</v>
      </c>
      <c r="B40" t="s">
        <v>150</v>
      </c>
      <c r="C40" t="s">
        <v>279</v>
      </c>
      <c r="D40">
        <v>13.145899999999999</v>
      </c>
      <c r="E40">
        <v>75.641900000000007</v>
      </c>
      <c r="F40">
        <f>IF(COUNTIF($C$5:C40,C40)=1,1,0)</f>
        <v>1</v>
      </c>
      <c r="G40" s="2">
        <f t="shared" si="0"/>
        <v>206.41294457513811</v>
      </c>
      <c r="H40" s="2">
        <f>MAX(0, MyBattery - (EVCleanedDataset[[#This Row],[Distance(km)]]/VehicleRangeKm)*100)</f>
        <v>1.1956851416206291</v>
      </c>
      <c r="I40" s="2">
        <f>6371*ACOS(SIN(RADIANS(MyLat))*SIN(RADIANS(EVCleanedDataset[[#This Row],[Latitude]]))+COS(RADIANS(MyLat))*COS(RADIANS(EVCleanedDataset[[#This Row],[Latitude]]))*COS(RADIANS(EVCleanedDataset[[#This Row],[Longitude]]-MyLong)))</f>
        <v>206.41294457513811</v>
      </c>
      <c r="J40">
        <f t="shared" si="1"/>
        <v>0</v>
      </c>
      <c r="K40" s="5">
        <f>((1-(EVCleanedDataset[[#This Row],[Distance(km)]]/MAX($I$5:$I$1121)))*0.4 + (1-(EVCleanedDataset[[#This Row],[QueueLength]]/MAX($J$5:$J$1121)))*0.3 + (EVCleanedDataset[[#This Row],[EstimatedBatteryOnArrival]]/100)*0.3 + (ROW()/10000000))*100</f>
        <v>66.743739671090879</v>
      </c>
      <c r="L40" t="str">
        <f>IF(EVCleanedDataset[[#This Row],[Score]]&gt;50,"Yes","No")</f>
        <v>Yes</v>
      </c>
    </row>
    <row r="41" spans="1:12" x14ac:dyDescent="0.3">
      <c r="A41" t="s">
        <v>2257</v>
      </c>
      <c r="B41" t="s">
        <v>150</v>
      </c>
      <c r="C41" t="s">
        <v>2258</v>
      </c>
      <c r="D41">
        <v>12.9770904</v>
      </c>
      <c r="E41">
        <v>76.831191799999999</v>
      </c>
      <c r="F41">
        <f>IF(COUNTIF($C$5:C41,C41)=1,1,0)</f>
        <v>1</v>
      </c>
      <c r="G41" s="2">
        <f t="shared" si="0"/>
        <v>86.946626799705882</v>
      </c>
      <c r="H41" s="2">
        <f>MAX(0, MyBattery - (EVCleanedDataset[[#This Row],[Distance(km)]]/VehicleRangeKm)*100)</f>
        <v>41.017791066764708</v>
      </c>
      <c r="I41" s="2">
        <f>6371*ACOS(SIN(RADIANS(MyLat))*SIN(RADIANS(EVCleanedDataset[[#This Row],[Latitude]]))+COS(RADIANS(MyLat))*COS(RADIANS(EVCleanedDataset[[#This Row],[Latitude]]))*COS(RADIANS(EVCleanedDataset[[#This Row],[Longitude]]-MyLong)))</f>
        <v>86.946626799705882</v>
      </c>
      <c r="J41">
        <f t="shared" si="1"/>
        <v>7</v>
      </c>
      <c r="K41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57.449525643566147</v>
      </c>
      <c r="L41" t="str">
        <f>IF(EVCleanedDataset[[#This Row],[Score]]&gt;50,"Yes","No")</f>
        <v>Yes</v>
      </c>
    </row>
    <row r="42" spans="1:12" x14ac:dyDescent="0.3">
      <c r="A42" t="s">
        <v>2394</v>
      </c>
      <c r="B42" t="s">
        <v>41</v>
      </c>
      <c r="C42" t="s">
        <v>2395</v>
      </c>
      <c r="D42">
        <v>16.956461000000001</v>
      </c>
      <c r="E42">
        <v>74.275721000000004</v>
      </c>
      <c r="F42">
        <f>IF(COUNTIF($C$5:C42,C42)=1,1,0)</f>
        <v>1</v>
      </c>
      <c r="G42" s="2">
        <f t="shared" si="0"/>
        <v>532.35614251422942</v>
      </c>
      <c r="H42" s="2">
        <f>MAX(0, MyBattery - (EVCleanedDataset[[#This Row],[Distance(km)]]/VehicleRangeKm)*100)</f>
        <v>0</v>
      </c>
      <c r="I42" s="2">
        <f>6371*ACOS(SIN(RADIANS(MyLat))*SIN(RADIANS(EVCleanedDataset[[#This Row],[Latitude]]))+COS(RADIANS(MyLat))*COS(RADIANS(EVCleanedDataset[[#This Row],[Latitude]]))*COS(RADIANS(EVCleanedDataset[[#This Row],[Longitude]]-MyLong)))</f>
        <v>532.35614251422942</v>
      </c>
      <c r="J42">
        <f t="shared" si="1"/>
        <v>4</v>
      </c>
      <c r="K42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47.342757550413047</v>
      </c>
      <c r="L42" t="str">
        <f>IF(EVCleanedDataset[[#This Row],[Score]]&gt;50,"Yes","No")</f>
        <v>No</v>
      </c>
    </row>
    <row r="43" spans="1:12" x14ac:dyDescent="0.3">
      <c r="A43" t="s">
        <v>3206</v>
      </c>
      <c r="B43" t="s">
        <v>386</v>
      </c>
      <c r="C43" t="s">
        <v>1977</v>
      </c>
      <c r="D43">
        <v>10.887677</v>
      </c>
      <c r="E43">
        <v>76.189594999999997</v>
      </c>
      <c r="F43">
        <f>IF(COUNTIF($C$5:C43,C43)=1,1,0)</f>
        <v>1</v>
      </c>
      <c r="G43" s="2">
        <f t="shared" si="0"/>
        <v>302.5193771961022</v>
      </c>
      <c r="H43" s="2">
        <f>MAX(0, MyBattery - (EVCleanedDataset[[#This Row],[Distance(km)]]/VehicleRangeKm)*100)</f>
        <v>0</v>
      </c>
      <c r="I43" s="2">
        <f>6371*ACOS(SIN(RADIANS(MyLat))*SIN(RADIANS(EVCleanedDataset[[#This Row],[Latitude]]))+COS(RADIANS(MyLat))*COS(RADIANS(EVCleanedDataset[[#This Row],[Latitude]]))*COS(RADIANS(EVCleanedDataset[[#This Row],[Longitude]]-MyLong)))</f>
        <v>310.45461205318429</v>
      </c>
      <c r="J43">
        <f t="shared" si="1"/>
        <v>1</v>
      </c>
      <c r="K4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61.229419241228953</v>
      </c>
      <c r="L43" t="str">
        <f>IF(EVCleanedDataset[[#This Row],[Score]]&gt;50,"Yes","No")</f>
        <v>Yes</v>
      </c>
    </row>
    <row r="44" spans="1:12" x14ac:dyDescent="0.3">
      <c r="A44" t="s">
        <v>3307</v>
      </c>
      <c r="B44" t="s">
        <v>49</v>
      </c>
      <c r="C44" t="s">
        <v>2533</v>
      </c>
      <c r="D44">
        <v>11.3459974</v>
      </c>
      <c r="E44">
        <v>76.801575</v>
      </c>
      <c r="F44">
        <f>IF(COUNTIF($C$5:C44,C44)=1,1,0)</f>
        <v>1</v>
      </c>
      <c r="G44" s="2">
        <f t="shared" si="0"/>
        <v>232.99462894770397</v>
      </c>
      <c r="H44" s="2">
        <f>MAX(0, MyBattery - (EVCleanedDataset[[#This Row],[Distance(km)]]/VehicleRangeKm)*100)</f>
        <v>0</v>
      </c>
      <c r="I44" s="2">
        <f>6371*ACOS(SIN(RADIANS(MyLat))*SIN(RADIANS(EVCleanedDataset[[#This Row],[Latitude]]))+COS(RADIANS(MyLat))*COS(RADIANS(EVCleanedDataset[[#This Row],[Latitude]]))*COS(RADIANS(EVCleanedDataset[[#This Row],[Longitude]]-MyLong)))</f>
        <v>236.64578407009222</v>
      </c>
      <c r="J44">
        <f t="shared" si="1"/>
        <v>8</v>
      </c>
      <c r="K44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39.188872958516214</v>
      </c>
      <c r="L44" t="str">
        <f>IF(EVCleanedDataset[[#This Row],[Score]]&gt;50,"Yes","No")</f>
        <v>No</v>
      </c>
    </row>
    <row r="45" spans="1:12" x14ac:dyDescent="0.3">
      <c r="A45" t="s">
        <v>514</v>
      </c>
      <c r="B45" t="s">
        <v>49</v>
      </c>
      <c r="C45" t="s">
        <v>2748</v>
      </c>
      <c r="D45">
        <v>10.7967137</v>
      </c>
      <c r="E45">
        <v>78.756346699999995</v>
      </c>
      <c r="F45">
        <f>IF(COUNTIF($C$5:C45,C45)=1,1,0)</f>
        <v>1</v>
      </c>
      <c r="G45" s="2">
        <f t="shared" si="0"/>
        <v>292.27064099874707</v>
      </c>
      <c r="H45" s="2">
        <f>MAX(0, MyBattery - (EVCleanedDataset[[#This Row],[Distance(km)]]/VehicleRangeKm)*100)</f>
        <v>0</v>
      </c>
      <c r="I45" s="2">
        <f>6371*ACOS(SIN(RADIANS(MyLat))*SIN(RADIANS(EVCleanedDataset[[#This Row],[Latitude]]))+COS(RADIANS(MyLat))*COS(RADIANS(EVCleanedDataset[[#This Row],[Latitude]]))*COS(RADIANS(EVCleanedDataset[[#This Row],[Longitude]]-MyLong)))</f>
        <v>313.22798849401579</v>
      </c>
      <c r="J45">
        <f t="shared" si="1"/>
        <v>5</v>
      </c>
      <c r="K45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47.847529639806666</v>
      </c>
      <c r="L45" t="str">
        <f>IF(EVCleanedDataset[[#This Row],[Score]]&gt;50,"Yes","No")</f>
        <v>No</v>
      </c>
    </row>
    <row r="46" spans="1:12" x14ac:dyDescent="0.3">
      <c r="A46" t="s">
        <v>955</v>
      </c>
      <c r="B46" t="s">
        <v>386</v>
      </c>
      <c r="C46" t="s">
        <v>1807</v>
      </c>
      <c r="D46">
        <v>10.595564727206</v>
      </c>
      <c r="E46">
        <v>76.044337035262302</v>
      </c>
      <c r="F46">
        <f>IF(COUNTIF($C$5:C46,C46)=1,1,0)</f>
        <v>1</v>
      </c>
      <c r="G46" s="2">
        <f t="shared" si="0"/>
        <v>341.72964024229714</v>
      </c>
      <c r="H46" s="2">
        <f>MAX(0, MyBattery - (EVCleanedDataset[[#This Row],[Distance(km)]]/VehicleRangeKm)*100)</f>
        <v>0</v>
      </c>
      <c r="I46" s="2">
        <f>6371*ACOS(SIN(RADIANS(MyLat))*SIN(RADIANS(EVCleanedDataset[[#This Row],[Latitude]]))+COS(RADIANS(MyLat))*COS(RADIANS(EVCleanedDataset[[#This Row],[Latitude]]))*COS(RADIANS(EVCleanedDataset[[#This Row],[Longitude]]-MyLong)))</f>
        <v>346.58595032779147</v>
      </c>
      <c r="J46">
        <f t="shared" si="1"/>
        <v>2</v>
      </c>
      <c r="K46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57.263267965366026</v>
      </c>
      <c r="L46" t="str">
        <f>IF(EVCleanedDataset[[#This Row],[Score]]&gt;50,"Yes","No")</f>
        <v>Yes</v>
      </c>
    </row>
    <row r="47" spans="1:12" x14ac:dyDescent="0.3">
      <c r="A47" t="s">
        <v>3217</v>
      </c>
      <c r="B47" t="s">
        <v>49</v>
      </c>
      <c r="C47" t="s">
        <v>2024</v>
      </c>
      <c r="D47">
        <v>11.7194357</v>
      </c>
      <c r="E47">
        <v>79.336459700000006</v>
      </c>
      <c r="F47">
        <f>IF(COUNTIF($C$5:C47,C47)=1,1,0)</f>
        <v>1</v>
      </c>
      <c r="G47" s="2">
        <f t="shared" si="0"/>
        <v>266.39056417487473</v>
      </c>
      <c r="H47" s="2">
        <f>MAX(0, MyBattery - (EVCleanedDataset[[#This Row],[Distance(km)]]/VehicleRangeKm)*100)</f>
        <v>0</v>
      </c>
      <c r="I47" s="2">
        <f>6371*ACOS(SIN(RADIANS(MyLat))*SIN(RADIANS(EVCleanedDataset[[#This Row],[Latitude]]))+COS(RADIANS(MyLat))*COS(RADIANS(EVCleanedDataset[[#This Row],[Latitude]]))*COS(RADIANS(EVCleanedDataset[[#This Row],[Longitude]]-MyLong)))</f>
        <v>266.39056417487473</v>
      </c>
      <c r="J47">
        <f t="shared" si="1"/>
        <v>9</v>
      </c>
      <c r="K47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35.334583584000555</v>
      </c>
      <c r="L47" t="str">
        <f>IF(EVCleanedDataset[[#This Row],[Score]]&gt;50,"Yes","No")</f>
        <v>No</v>
      </c>
    </row>
    <row r="48" spans="1:12" x14ac:dyDescent="0.3">
      <c r="A48" t="s">
        <v>2929</v>
      </c>
      <c r="B48" t="s">
        <v>150</v>
      </c>
      <c r="C48" t="s">
        <v>1341</v>
      </c>
      <c r="D48">
        <v>12.982706</v>
      </c>
      <c r="E48">
        <v>77.560699</v>
      </c>
      <c r="F48">
        <f>IF(COUNTIF($C$5:C48,C48)=1,1,0)</f>
        <v>0</v>
      </c>
      <c r="G48" s="2" t="str">
        <f t="shared" si="0"/>
        <v/>
      </c>
      <c r="H48" s="2">
        <f>MAX(0, MyBattery - (EVCleanedDataset[[#This Row],[Distance(km)]]/VehicleRangeKm)*100)</f>
        <v>56.393178584335324</v>
      </c>
      <c r="I48" s="2">
        <f>6371*ACOS(SIN(RADIANS(MyLat))*SIN(RADIANS(EVCleanedDataset[[#This Row],[Latitude]]))+COS(RADIANS(MyLat))*COS(RADIANS(EVCleanedDataset[[#This Row],[Latitude]]))*COS(RADIANS(EVCleanedDataset[[#This Row],[Longitude]]-MyLong)))</f>
        <v>40.820464246994021</v>
      </c>
      <c r="J48">
        <f t="shared" si="1"/>
        <v>6</v>
      </c>
      <c r="K48" s="5">
        <f>((1-(EVCleanedDataset[[#This Row],[Distance(km)]]/MAX($I$5:$I$1121)))*0.4 + (1-(EVCleanedDataset[[#This Row],[QueueLength]]/MAX($J$5:$J$1121)))*0.3 + (EVCleanedDataset[[#This Row],[EstimatedBatteryOnArrival]]/100)*0.3 + (ROW()/10000000))*100</f>
        <v>66.203454611181556</v>
      </c>
      <c r="L48" t="str">
        <f>IF(EVCleanedDataset[[#This Row],[Score]]&gt;50,"Yes","No")</f>
        <v>Yes</v>
      </c>
    </row>
    <row r="49" spans="1:12" x14ac:dyDescent="0.3">
      <c r="A49" t="s">
        <v>3061</v>
      </c>
      <c r="B49" t="s">
        <v>150</v>
      </c>
      <c r="C49" t="s">
        <v>1341</v>
      </c>
      <c r="D49">
        <v>12.97610693</v>
      </c>
      <c r="E49">
        <v>77.588240060000004</v>
      </c>
      <c r="F49">
        <f>IF(COUNTIF($C$5:C49,C49)=1,1,0)</f>
        <v>0</v>
      </c>
      <c r="G49" s="2" t="str">
        <f t="shared" si="0"/>
        <v/>
      </c>
      <c r="H49" s="2">
        <f>MAX(0, MyBattery - (EVCleanedDataset[[#This Row],[Distance(km)]]/VehicleRangeKm)*100)</f>
        <v>56.053637130621347</v>
      </c>
      <c r="I49" s="2">
        <f>6371*ACOS(SIN(RADIANS(MyLat))*SIN(RADIANS(EVCleanedDataset[[#This Row],[Latitude]]))+COS(RADIANS(MyLat))*COS(RADIANS(EVCleanedDataset[[#This Row],[Latitude]]))*COS(RADIANS(EVCleanedDataset[[#This Row],[Longitude]]-MyLong)))</f>
        <v>41.839088608135953</v>
      </c>
      <c r="J49">
        <f t="shared" si="1"/>
        <v>3</v>
      </c>
      <c r="K49" s="5">
        <f>((1-(EVCleanedDataset[[#This Row],[Distance(km)]]/MAX($I$5:$I$1121)))*0.4 + (1-(EVCleanedDataset[[#This Row],[QueueLength]]/MAX($J$5:$J$1121)))*0.3 + (EVCleanedDataset[[#This Row],[EstimatedBatteryOnArrival]]/100)*0.3 + (ROW()/10000000))*100</f>
        <v>76.083760756455632</v>
      </c>
      <c r="L49" t="str">
        <f>IF(EVCleanedDataset[[#This Row],[Score]]&gt;50,"Yes","No")</f>
        <v>Yes</v>
      </c>
    </row>
    <row r="50" spans="1:12" x14ac:dyDescent="0.3">
      <c r="A50" t="s">
        <v>1576</v>
      </c>
      <c r="B50" t="s">
        <v>150</v>
      </c>
      <c r="C50" t="s">
        <v>1341</v>
      </c>
      <c r="D50">
        <v>13.140689999999999</v>
      </c>
      <c r="E50">
        <v>77.617987999999997</v>
      </c>
      <c r="F50">
        <f>IF(COUNTIF($C$5:C50,C50)=1,1,0)</f>
        <v>0</v>
      </c>
      <c r="G50" s="2" t="str">
        <f t="shared" si="0"/>
        <v/>
      </c>
      <c r="H50" s="2">
        <f>MAX(0, MyBattery - (EVCleanedDataset[[#This Row],[Distance(km)]]/VehicleRangeKm)*100)</f>
        <v>61.746964695352908</v>
      </c>
      <c r="I50" s="2">
        <f>6371*ACOS(SIN(RADIANS(MyLat))*SIN(RADIANS(EVCleanedDataset[[#This Row],[Latitude]]))+COS(RADIANS(MyLat))*COS(RADIANS(EVCleanedDataset[[#This Row],[Latitude]]))*COS(RADIANS(EVCleanedDataset[[#This Row],[Longitude]]-MyLong)))</f>
        <v>24.75910591394128</v>
      </c>
      <c r="J50">
        <f t="shared" si="1"/>
        <v>0</v>
      </c>
      <c r="K50" s="5">
        <f>((1-(EVCleanedDataset[[#This Row],[Distance(km)]]/MAX($I$5:$I$1121)))*0.4 + (1-(EVCleanedDataset[[#This Row],[QueueLength]]/MAX($J$5:$J$1121)))*0.3 + (EVCleanedDataset[[#This Row],[EstimatedBatteryOnArrival]]/100)*0.3 + (ROW()/10000000))*100</f>
        <v>88.090928493047642</v>
      </c>
      <c r="L50" t="str">
        <f>IF(EVCleanedDataset[[#This Row],[Score]]&gt;50,"Yes","No")</f>
        <v>Yes</v>
      </c>
    </row>
    <row r="51" spans="1:12" x14ac:dyDescent="0.3">
      <c r="A51" t="s">
        <v>2817</v>
      </c>
      <c r="B51" t="s">
        <v>150</v>
      </c>
      <c r="C51" t="s">
        <v>1341</v>
      </c>
      <c r="D51">
        <v>12.842700000000001</v>
      </c>
      <c r="E51">
        <v>77.64</v>
      </c>
      <c r="F51">
        <f>IF(COUNTIF($C$5:C51,C51)=1,1,0)</f>
        <v>0</v>
      </c>
      <c r="G51" s="2" t="str">
        <f t="shared" si="0"/>
        <v/>
      </c>
      <c r="H51" s="2">
        <f>MAX(0, MyBattery - (EVCleanedDataset[[#This Row],[Distance(km)]]/VehicleRangeKm)*100)</f>
        <v>50.868422701653117</v>
      </c>
      <c r="I51" s="2">
        <f>6371*ACOS(SIN(RADIANS(MyLat))*SIN(RADIANS(EVCleanedDataset[[#This Row],[Latitude]]))+COS(RADIANS(MyLat))*COS(RADIANS(EVCleanedDataset[[#This Row],[Latitude]]))*COS(RADIANS(EVCleanedDataset[[#This Row],[Longitude]]-MyLong)))</f>
        <v>57.394731895040657</v>
      </c>
      <c r="J51">
        <f t="shared" si="1"/>
        <v>7</v>
      </c>
      <c r="K51" s="5">
        <f>((1-(EVCleanedDataset[[#This Row],[Distance(km)]]/MAX($I$5:$I$1121)))*0.4 + (1-(EVCleanedDataset[[#This Row],[QueueLength]]/MAX($J$5:$J$1121)))*0.3 + (EVCleanedDataset[[#This Row],[EstimatedBatteryOnArrival]]/100)*0.3 + (ROW()/10000000))*100</f>
        <v>60.922422750615532</v>
      </c>
      <c r="L51" t="str">
        <f>IF(EVCleanedDataset[[#This Row],[Score]]&gt;50,"Yes","No")</f>
        <v>Yes</v>
      </c>
    </row>
    <row r="52" spans="1:12" x14ac:dyDescent="0.3">
      <c r="A52" t="s">
        <v>3340</v>
      </c>
      <c r="B52" t="s">
        <v>386</v>
      </c>
      <c r="C52" t="s">
        <v>1977</v>
      </c>
      <c r="D52">
        <v>10.770167000000001</v>
      </c>
      <c r="E52">
        <v>76.637861000000001</v>
      </c>
      <c r="F52">
        <f>IF(COUNTIF($C$5:C52,C52)=1,1,0)</f>
        <v>0</v>
      </c>
      <c r="G52" s="2" t="str">
        <f t="shared" si="0"/>
        <v/>
      </c>
      <c r="H52" s="2">
        <f>MAX(0, MyBattery - (EVCleanedDataset[[#This Row],[Distance(km)]]/VehicleRangeKm)*100)</f>
        <v>0</v>
      </c>
      <c r="I52" s="2">
        <f>6371*ACOS(SIN(RADIANS(MyLat))*SIN(RADIANS(EVCleanedDataset[[#This Row],[Latitude]]))+COS(RADIANS(MyLat))*COS(RADIANS(EVCleanedDataset[[#This Row],[Latitude]]))*COS(RADIANS(EVCleanedDataset[[#This Row],[Longitude]]-MyLong)))</f>
        <v>302.99086575316477</v>
      </c>
      <c r="J52">
        <f t="shared" si="1"/>
        <v>4</v>
      </c>
      <c r="K5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51.360238317844697</v>
      </c>
      <c r="L52" t="str">
        <f>IF(EVCleanedDataset[[#This Row],[Score]]&gt;50,"Yes","No")</f>
        <v>Yes</v>
      </c>
    </row>
    <row r="53" spans="1:12" x14ac:dyDescent="0.3">
      <c r="A53" t="s">
        <v>909</v>
      </c>
      <c r="B53" t="s">
        <v>150</v>
      </c>
      <c r="C53" t="s">
        <v>1341</v>
      </c>
      <c r="D53">
        <v>12.922427000000001</v>
      </c>
      <c r="E53">
        <v>77.668422000000007</v>
      </c>
      <c r="F53">
        <f>IF(COUNTIF($C$5:C53,C53)=1,1,0)</f>
        <v>0</v>
      </c>
      <c r="G53" s="2" t="str">
        <f t="shared" si="0"/>
        <v/>
      </c>
      <c r="H53" s="2">
        <f>MAX(0, MyBattery - (EVCleanedDataset[[#This Row],[Distance(km)]]/VehicleRangeKm)*100)</f>
        <v>53.493868765496387</v>
      </c>
      <c r="I53" s="2">
        <f>6371*ACOS(SIN(RADIANS(MyLat))*SIN(RADIANS(EVCleanedDataset[[#This Row],[Latitude]]))+COS(RADIANS(MyLat))*COS(RADIANS(EVCleanedDataset[[#This Row],[Latitude]]))*COS(RADIANS(EVCleanedDataset[[#This Row],[Longitude]]-MyLong)))</f>
        <v>49.518393703510839</v>
      </c>
      <c r="J53">
        <f t="shared" si="1"/>
        <v>1</v>
      </c>
      <c r="K53" s="5">
        <f>((1-(EVCleanedDataset[[#This Row],[Distance(km)]]/MAX($I$5:$I$1121)))*0.4 + (1-(EVCleanedDataset[[#This Row],[QueueLength]]/MAX($J$5:$J$1121)))*0.3 + (EVCleanedDataset[[#This Row],[EstimatedBatteryOnArrival]]/100)*0.3 + (ROW()/10000000))*100</f>
        <v>81.848032279609455</v>
      </c>
      <c r="L53" t="str">
        <f>IF(EVCleanedDataset[[#This Row],[Score]]&gt;50,"Yes","No")</f>
        <v>Yes</v>
      </c>
    </row>
    <row r="54" spans="1:12" x14ac:dyDescent="0.3">
      <c r="A54" t="s">
        <v>3214</v>
      </c>
      <c r="B54" t="s">
        <v>49</v>
      </c>
      <c r="C54" t="s">
        <v>188</v>
      </c>
      <c r="D54">
        <v>11.008934999999999</v>
      </c>
      <c r="E54">
        <v>76.959540000000004</v>
      </c>
      <c r="F54">
        <f>IF(COUNTIF($C$5:C54,C54)=1,1,0)</f>
        <v>0</v>
      </c>
      <c r="G54" s="2" t="str">
        <f t="shared" si="0"/>
        <v/>
      </c>
      <c r="H54" s="2">
        <f>MAX(0, MyBattery - (EVCleanedDataset[[#This Row],[Distance(km)]]/VehicleRangeKm)*100)</f>
        <v>0</v>
      </c>
      <c r="I54" s="2">
        <f>6371*ACOS(SIN(RADIANS(MyLat))*SIN(RADIANS(EVCleanedDataset[[#This Row],[Latitude]]))+COS(RADIANS(MyLat))*COS(RADIANS(EVCleanedDataset[[#This Row],[Latitude]]))*COS(RADIANS(EVCleanedDataset[[#This Row],[Longitude]]-MyLong)))</f>
        <v>267.69092976367028</v>
      </c>
      <c r="J54">
        <f t="shared" si="1"/>
        <v>8</v>
      </c>
      <c r="K5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38.645210742226524</v>
      </c>
      <c r="L54" t="str">
        <f>IF(EVCleanedDataset[[#This Row],[Score]]&gt;50,"Yes","No")</f>
        <v>No</v>
      </c>
    </row>
    <row r="55" spans="1:12" x14ac:dyDescent="0.3">
      <c r="A55" t="s">
        <v>3256</v>
      </c>
      <c r="B55" t="s">
        <v>150</v>
      </c>
      <c r="C55" t="s">
        <v>1341</v>
      </c>
      <c r="D55">
        <v>12.97692</v>
      </c>
      <c r="E55">
        <v>77.718609999999998</v>
      </c>
      <c r="F55">
        <f>IF(COUNTIF($C$5:C55,C55)=1,1,0)</f>
        <v>0</v>
      </c>
      <c r="G55" s="2" t="str">
        <f t="shared" si="0"/>
        <v/>
      </c>
      <c r="H55" s="2">
        <f>MAX(0, MyBattery - (EVCleanedDataset[[#This Row],[Distance(km)]]/VehicleRangeKm)*100)</f>
        <v>54.734434780108153</v>
      </c>
      <c r="I55" s="2">
        <f>6371*ACOS(SIN(RADIANS(MyLat))*SIN(RADIANS(EVCleanedDataset[[#This Row],[Latitude]]))+COS(RADIANS(MyLat))*COS(RADIANS(EVCleanedDataset[[#This Row],[Latitude]]))*COS(RADIANS(EVCleanedDataset[[#This Row],[Longitude]]-MyLong)))</f>
        <v>45.796695659675542</v>
      </c>
      <c r="J55">
        <f t="shared" si="1"/>
        <v>5</v>
      </c>
      <c r="K55" s="5">
        <f>((1-(EVCleanedDataset[[#This Row],[Distance(km)]]/MAX($I$5:$I$1121)))*0.4 + (1-(EVCleanedDataset[[#This Row],[QueueLength]]/MAX($J$5:$J$1121)))*0.3 + (EVCleanedDataset[[#This Row],[EstimatedBatteryOnArrival]]/100)*0.3 + (ROW()/10000000))*100</f>
        <v>68.952075069855951</v>
      </c>
      <c r="L55" t="str">
        <f>IF(EVCleanedDataset[[#This Row],[Score]]&gt;50,"Yes","No")</f>
        <v>Yes</v>
      </c>
    </row>
    <row r="56" spans="1:12" x14ac:dyDescent="0.3">
      <c r="A56" t="s">
        <v>2657</v>
      </c>
      <c r="B56" t="s">
        <v>150</v>
      </c>
      <c r="C56" t="s">
        <v>1341</v>
      </c>
      <c r="D56">
        <v>12.979233199999999</v>
      </c>
      <c r="E56">
        <v>77.728455999999994</v>
      </c>
      <c r="F56">
        <f>IF(COUNTIF($C$5:C56,C56)=1,1,0)</f>
        <v>0</v>
      </c>
      <c r="G56" s="2" t="str">
        <f t="shared" si="0"/>
        <v/>
      </c>
      <c r="H56" s="2">
        <f>MAX(0, MyBattery - (EVCleanedDataset[[#This Row],[Distance(km)]]/VehicleRangeKm)*100)</f>
        <v>54.655609503163944</v>
      </c>
      <c r="I56" s="2">
        <f>6371*ACOS(SIN(RADIANS(MyLat))*SIN(RADIANS(EVCleanedDataset[[#This Row],[Latitude]]))+COS(RADIANS(MyLat))*COS(RADIANS(EVCleanedDataset[[#This Row],[Latitude]]))*COS(RADIANS(EVCleanedDataset[[#This Row],[Longitude]]-MyLong)))</f>
        <v>46.033171490508167</v>
      </c>
      <c r="J56">
        <f t="shared" si="1"/>
        <v>2</v>
      </c>
      <c r="K56" s="5">
        <f>((1-(EVCleanedDataset[[#This Row],[Distance(km)]]/MAX($I$5:$I$1121)))*0.4 + (1-(EVCleanedDataset[[#This Row],[QueueLength]]/MAX($J$5:$J$1121)))*0.3 + (EVCleanedDataset[[#This Row],[EstimatedBatteryOnArrival]]/100)*0.3 + (ROW()/10000000))*100</f>
        <v>78.924295563164364</v>
      </c>
      <c r="L56" t="str">
        <f>IF(EVCleanedDataset[[#This Row],[Score]]&gt;50,"Yes","No")</f>
        <v>Yes</v>
      </c>
    </row>
    <row r="57" spans="1:12" x14ac:dyDescent="0.3">
      <c r="A57" t="s">
        <v>304</v>
      </c>
      <c r="B57" t="s">
        <v>150</v>
      </c>
      <c r="C57" t="s">
        <v>1341</v>
      </c>
      <c r="D57">
        <v>12.9872999191284</v>
      </c>
      <c r="E57">
        <v>77.736396789550795</v>
      </c>
      <c r="F57">
        <f>IF(COUNTIF($C$5:C57,C57)=1,1,0)</f>
        <v>0</v>
      </c>
      <c r="G57" s="2" t="str">
        <f t="shared" si="0"/>
        <v/>
      </c>
      <c r="H57" s="2">
        <f>MAX(0, MyBattery - (EVCleanedDataset[[#This Row],[Distance(km)]]/VehicleRangeKm)*100)</f>
        <v>54.789083795659849</v>
      </c>
      <c r="I57" s="2">
        <f>6371*ACOS(SIN(RADIANS(MyLat))*SIN(RADIANS(EVCleanedDataset[[#This Row],[Latitude]]))+COS(RADIANS(MyLat))*COS(RADIANS(EVCleanedDataset[[#This Row],[Latitude]]))*COS(RADIANS(EVCleanedDataset[[#This Row],[Longitude]]-MyLong)))</f>
        <v>45.632748613020468</v>
      </c>
      <c r="J57">
        <f t="shared" si="1"/>
        <v>9</v>
      </c>
      <c r="K57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55.638028007980679</v>
      </c>
      <c r="L57" t="str">
        <f>IF(EVCleanedDataset[[#This Row],[Score]]&gt;50,"Yes","No")</f>
        <v>Yes</v>
      </c>
    </row>
    <row r="58" spans="1:12" x14ac:dyDescent="0.3">
      <c r="A58" t="s">
        <v>3166</v>
      </c>
      <c r="B58" t="s">
        <v>386</v>
      </c>
      <c r="C58" t="s">
        <v>3378</v>
      </c>
      <c r="D58">
        <v>8.481360724</v>
      </c>
      <c r="E58">
        <v>76.912481549999995</v>
      </c>
      <c r="F58">
        <f>IF(COUNTIF($C$5:C58,C58)=1,1,0)</f>
        <v>1</v>
      </c>
      <c r="G58" s="2">
        <f t="shared" si="0"/>
        <v>284.12348261181018</v>
      </c>
      <c r="H58" s="2">
        <f>MAX(0, MyBattery - (EVCleanedDataset[[#This Row],[Distance(km)]]/VehicleRangeKm)*100)</f>
        <v>0</v>
      </c>
      <c r="I58" s="2">
        <f>6371*ACOS(SIN(RADIANS(MyLat))*SIN(RADIANS(EVCleanedDataset[[#This Row],[Latitude]]))+COS(RADIANS(MyLat))*COS(RADIANS(EVCleanedDataset[[#This Row],[Latitude]]))*COS(RADIANS(EVCleanedDataset[[#This Row],[Longitude]]-MyLong)))</f>
        <v>545.55205660798651</v>
      </c>
      <c r="J58">
        <f t="shared" si="1"/>
        <v>6</v>
      </c>
      <c r="K58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40.44512169000987</v>
      </c>
      <c r="L58" t="str">
        <f>IF(EVCleanedDataset[[#This Row],[Score]]&gt;50,"Yes","No")</f>
        <v>No</v>
      </c>
    </row>
    <row r="59" spans="1:12" x14ac:dyDescent="0.3">
      <c r="A59" t="s">
        <v>3262</v>
      </c>
      <c r="B59" t="s">
        <v>386</v>
      </c>
      <c r="C59" t="s">
        <v>2276</v>
      </c>
      <c r="D59">
        <v>10.245487000000001</v>
      </c>
      <c r="E59">
        <v>76.369589000000005</v>
      </c>
      <c r="F59">
        <f>IF(COUNTIF($C$5:C59,C59)=1,1,0)</f>
        <v>1</v>
      </c>
      <c r="G59" s="2">
        <f t="shared" si="0"/>
        <v>367.77092561641712</v>
      </c>
      <c r="H59" s="2">
        <f>MAX(0, MyBattery - (EVCleanedDataset[[#This Row],[Distance(km)]]/VehicleRangeKm)*100)</f>
        <v>0</v>
      </c>
      <c r="I59" s="2">
        <f>6371*ACOS(SIN(RADIANS(MyLat))*SIN(RADIANS(EVCleanedDataset[[#This Row],[Latitude]]))+COS(RADIANS(MyLat))*COS(RADIANS(EVCleanedDataset[[#This Row],[Latitude]]))*COS(RADIANS(EVCleanedDataset[[#This Row],[Longitude]]-MyLong)))</f>
        <v>367.77092561641712</v>
      </c>
      <c r="J59">
        <f t="shared" si="1"/>
        <v>3</v>
      </c>
      <c r="K59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53.559005361488886</v>
      </c>
      <c r="L59" t="str">
        <f>IF(EVCleanedDataset[[#This Row],[Score]]&gt;50,"Yes","No")</f>
        <v>Yes</v>
      </c>
    </row>
    <row r="60" spans="1:12" x14ac:dyDescent="0.3">
      <c r="A60" t="s">
        <v>3219</v>
      </c>
      <c r="B60" t="s">
        <v>49</v>
      </c>
      <c r="C60" t="s">
        <v>2039</v>
      </c>
      <c r="D60">
        <v>12.646274699999999</v>
      </c>
      <c r="E60">
        <v>78.047011100000006</v>
      </c>
      <c r="F60">
        <f>IF(COUNTIF($C$5:C60,C60)=1,1,0)</f>
        <v>1</v>
      </c>
      <c r="G60" s="2">
        <f t="shared" si="0"/>
        <v>95.682357485684079</v>
      </c>
      <c r="H60" s="2">
        <f>MAX(0, MyBattery - (EVCleanedDataset[[#This Row],[Distance(km)]]/VehicleRangeKm)*100)</f>
        <v>38.105880838105307</v>
      </c>
      <c r="I60" s="2">
        <f>6371*ACOS(SIN(RADIANS(MyLat))*SIN(RADIANS(EVCleanedDataset[[#This Row],[Latitude]]))+COS(RADIANS(MyLat))*COS(RADIANS(EVCleanedDataset[[#This Row],[Latitude]]))*COS(RADIANS(EVCleanedDataset[[#This Row],[Longitude]]-MyLong)))</f>
        <v>95.682357485684079</v>
      </c>
      <c r="J60">
        <f t="shared" si="1"/>
        <v>0</v>
      </c>
      <c r="K60" s="5">
        <f>((1-(EVCleanedDataset[[#This Row],[Distance(km)]]/MAX($I$5:$I$1121)))*0.4 + (1-(EVCleanedDataset[[#This Row],[QueueLength]]/MAX($J$5:$J$1121)))*0.3 + (EVCleanedDataset[[#This Row],[EstimatedBatteryOnArrival]]/100)*0.3 + (ROW()/10000000))*100</f>
        <v>79.756467759278863</v>
      </c>
      <c r="L60" t="str">
        <f>IF(EVCleanedDataset[[#This Row],[Score]]&gt;50,"Yes","No")</f>
        <v>Yes</v>
      </c>
    </row>
    <row r="61" spans="1:12" x14ac:dyDescent="0.3">
      <c r="A61" t="s">
        <v>2650</v>
      </c>
      <c r="B61" t="s">
        <v>49</v>
      </c>
      <c r="C61" t="s">
        <v>2651</v>
      </c>
      <c r="D61">
        <v>12.873511300000001</v>
      </c>
      <c r="E61">
        <v>80.078553700000001</v>
      </c>
      <c r="F61">
        <f>IF(COUNTIF($C$5:C61,C61)=1,1,0)</f>
        <v>1</v>
      </c>
      <c r="G61" s="2">
        <f t="shared" si="0"/>
        <v>280.2191790146482</v>
      </c>
      <c r="H61" s="2">
        <f>MAX(0, MyBattery - (EVCleanedDataset[[#This Row],[Distance(km)]]/VehicleRangeKm)*100)</f>
        <v>0</v>
      </c>
      <c r="I61" s="2">
        <f>6371*ACOS(SIN(RADIANS(MyLat))*SIN(RADIANS(EVCleanedDataset[[#This Row],[Latitude]]))+COS(RADIANS(MyLat))*COS(RADIANS(EVCleanedDataset[[#This Row],[Latitude]]))*COS(RADIANS(EVCleanedDataset[[#This Row],[Longitude]]-MyLong)))</f>
        <v>280.2191790146482</v>
      </c>
      <c r="J61">
        <f t="shared" si="1"/>
        <v>7</v>
      </c>
      <c r="K6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41.759179171108741</v>
      </c>
      <c r="L61" t="str">
        <f>IF(EVCleanedDataset[[#This Row],[Score]]&gt;50,"Yes","No")</f>
        <v>No</v>
      </c>
    </row>
    <row r="62" spans="1:12" x14ac:dyDescent="0.3">
      <c r="A62" t="s">
        <v>3359</v>
      </c>
      <c r="B62" t="s">
        <v>49</v>
      </c>
      <c r="C62" t="s">
        <v>1008</v>
      </c>
      <c r="D62">
        <v>13.117155</v>
      </c>
      <c r="E62">
        <v>80.099969999999999</v>
      </c>
      <c r="F62">
        <f>IF(COUNTIF($C$5:C62,C62)=1,1,0)</f>
        <v>1</v>
      </c>
      <c r="G62" s="2">
        <f t="shared" si="0"/>
        <v>275.96253561713854</v>
      </c>
      <c r="H62" s="2">
        <f>MAX(0, MyBattery - (EVCleanedDataset[[#This Row],[Distance(km)]]/VehicleRangeKm)*100)</f>
        <v>0</v>
      </c>
      <c r="I62" s="2">
        <f>6371*ACOS(SIN(RADIANS(MyLat))*SIN(RADIANS(EVCleanedDataset[[#This Row],[Latitude]]))+COS(RADIANS(MyLat))*COS(RADIANS(EVCleanedDataset[[#This Row],[Latitude]]))*COS(RADIANS(EVCleanedDataset[[#This Row],[Longitude]]-MyLong)))</f>
        <v>278.56210833656786</v>
      </c>
      <c r="J62">
        <f t="shared" si="1"/>
        <v>4</v>
      </c>
      <c r="K6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51.788213110418127</v>
      </c>
      <c r="L62" t="str">
        <f>IF(EVCleanedDataset[[#This Row],[Score]]&gt;50,"Yes","No")</f>
        <v>Yes</v>
      </c>
    </row>
    <row r="63" spans="1:12" x14ac:dyDescent="0.3">
      <c r="A63" t="s">
        <v>3085</v>
      </c>
      <c r="B63" t="s">
        <v>386</v>
      </c>
      <c r="C63" t="s">
        <v>1435</v>
      </c>
      <c r="D63">
        <v>9.9770054259999998</v>
      </c>
      <c r="E63">
        <v>76.277802649999998</v>
      </c>
      <c r="F63">
        <f>IF(COUNTIF($C$5:C63,C63)=1,1,0)</f>
        <v>0</v>
      </c>
      <c r="G63" s="2" t="str">
        <f t="shared" si="0"/>
        <v/>
      </c>
      <c r="H63" s="2">
        <f>MAX(0, MyBattery - (EVCleanedDataset[[#This Row],[Distance(km)]]/VehicleRangeKm)*100)</f>
        <v>0</v>
      </c>
      <c r="I63" s="2">
        <f>6371*ACOS(SIN(RADIANS(MyLat))*SIN(RADIANS(EVCleanedDataset[[#This Row],[Latitude]]))+COS(RADIANS(MyLat))*COS(RADIANS(EVCleanedDataset[[#This Row],[Latitude]]))*COS(RADIANS(EVCleanedDataset[[#This Row],[Longitude]]-MyLong)))</f>
        <v>399.26030755965138</v>
      </c>
      <c r="J63">
        <f t="shared" si="1"/>
        <v>1</v>
      </c>
      <c r="K63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59.674168921092999</v>
      </c>
      <c r="L63" t="str">
        <f>IF(EVCleanedDataset[[#This Row],[Score]]&gt;50,"Yes","No")</f>
        <v>Yes</v>
      </c>
    </row>
    <row r="64" spans="1:12" x14ac:dyDescent="0.3">
      <c r="A64" t="s">
        <v>3215</v>
      </c>
      <c r="B64" t="s">
        <v>49</v>
      </c>
      <c r="C64" t="s">
        <v>997</v>
      </c>
      <c r="D64">
        <v>12.582141</v>
      </c>
      <c r="E64">
        <v>78.157100999999997</v>
      </c>
      <c r="F64">
        <f>IF(COUNTIF($C$5:C64,C64)=1,1,0)</f>
        <v>1</v>
      </c>
      <c r="G64" s="2">
        <f t="shared" si="0"/>
        <v>108.53998146022884</v>
      </c>
      <c r="H64" s="2">
        <f>MAX(0, MyBattery - (EVCleanedDataset[[#This Row],[Distance(km)]]/VehicleRangeKm)*100)</f>
        <v>33.820006179923716</v>
      </c>
      <c r="I64" s="2">
        <f>6371*ACOS(SIN(RADIANS(MyLat))*SIN(RADIANS(EVCleanedDataset[[#This Row],[Latitude]]))+COS(RADIANS(MyLat))*COS(RADIANS(EVCleanedDataset[[#This Row],[Latitude]]))*COS(RADIANS(EVCleanedDataset[[#This Row],[Longitude]]-MyLong)))</f>
        <v>108.53998146022884</v>
      </c>
      <c r="J64">
        <f t="shared" si="1"/>
        <v>8</v>
      </c>
      <c r="K64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51.57887472357308</v>
      </c>
      <c r="L64" t="str">
        <f>IF(EVCleanedDataset[[#This Row],[Score]]&gt;50,"Yes","No")</f>
        <v>Yes</v>
      </c>
    </row>
    <row r="65" spans="1:12" x14ac:dyDescent="0.3">
      <c r="A65" t="s">
        <v>2869</v>
      </c>
      <c r="B65" t="s">
        <v>49</v>
      </c>
      <c r="C65" t="s">
        <v>1008</v>
      </c>
      <c r="D65">
        <v>13.061082300000001</v>
      </c>
      <c r="E65">
        <v>80.151933900000003</v>
      </c>
      <c r="F65">
        <f>IF(COUNTIF($C$5:C65,C65)=1,1,0)</f>
        <v>0</v>
      </c>
      <c r="G65" s="2" t="str">
        <f t="shared" si="0"/>
        <v/>
      </c>
      <c r="H65" s="2">
        <f>MAX(0, MyBattery - (EVCleanedDataset[[#This Row],[Distance(km)]]/VehicleRangeKm)*100)</f>
        <v>0</v>
      </c>
      <c r="I65" s="2">
        <f>6371*ACOS(SIN(RADIANS(MyLat))*SIN(RADIANS(EVCleanedDataset[[#This Row],[Latitude]]))+COS(RADIANS(MyLat))*COS(RADIANS(EVCleanedDataset[[#This Row],[Latitude]]))*COS(RADIANS(EVCleanedDataset[[#This Row],[Longitude]]-MyLong)))</f>
        <v>284.82888307900527</v>
      </c>
      <c r="J65">
        <f t="shared" si="1"/>
        <v>5</v>
      </c>
      <c r="K6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48.345145907506925</v>
      </c>
      <c r="L65" t="str">
        <f>IF(EVCleanedDataset[[#This Row],[Score]]&gt;50,"Yes","No")</f>
        <v>No</v>
      </c>
    </row>
    <row r="66" spans="1:12" x14ac:dyDescent="0.3">
      <c r="A66" t="s">
        <v>1007</v>
      </c>
      <c r="B66" t="s">
        <v>49</v>
      </c>
      <c r="C66" t="s">
        <v>1008</v>
      </c>
      <c r="D66">
        <v>13.0883447</v>
      </c>
      <c r="E66">
        <v>80.170469800000006</v>
      </c>
      <c r="F66">
        <f>IF(COUNTIF($C$5:C66,C66)=1,1,0)</f>
        <v>0</v>
      </c>
      <c r="G66" s="2" t="str">
        <f t="shared" si="0"/>
        <v/>
      </c>
      <c r="H66" s="2">
        <f>MAX(0, MyBattery - (EVCleanedDataset[[#This Row],[Distance(km)]]/VehicleRangeKm)*100)</f>
        <v>0</v>
      </c>
      <c r="I66" s="2">
        <f>6371*ACOS(SIN(RADIANS(MyLat))*SIN(RADIANS(EVCleanedDataset[[#This Row],[Latitude]]))+COS(RADIANS(MyLat))*COS(RADIANS(EVCleanedDataset[[#This Row],[Latitude]]))*COS(RADIANS(EVCleanedDataset[[#This Row],[Longitude]]-MyLong)))</f>
        <v>286.48436963172901</v>
      </c>
      <c r="J66">
        <f t="shared" si="1"/>
        <v>2</v>
      </c>
      <c r="K6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58.316159714484286</v>
      </c>
      <c r="L66" t="str">
        <f>IF(EVCleanedDataset[[#This Row],[Score]]&gt;50,"Yes","No")</f>
        <v>Yes</v>
      </c>
    </row>
    <row r="67" spans="1:12" x14ac:dyDescent="0.3">
      <c r="A67" t="s">
        <v>2513</v>
      </c>
      <c r="B67" t="s">
        <v>49</v>
      </c>
      <c r="C67" t="s">
        <v>1008</v>
      </c>
      <c r="D67">
        <v>13.076560000000001</v>
      </c>
      <c r="E67">
        <v>80.202100000000002</v>
      </c>
      <c r="F67">
        <f>IF(COUNTIF($C$5:C67,C67)=1,1,0)</f>
        <v>0</v>
      </c>
      <c r="G67" s="2" t="str">
        <f t="shared" si="0"/>
        <v/>
      </c>
      <c r="H67" s="2">
        <f>MAX(0, MyBattery - (EVCleanedDataset[[#This Row],[Distance(km)]]/VehicleRangeKm)*100)</f>
        <v>0</v>
      </c>
      <c r="I67" s="2">
        <f>6371*ACOS(SIN(RADIANS(MyLat))*SIN(RADIANS(EVCleanedDataset[[#This Row],[Latitude]]))+COS(RADIANS(MyLat))*COS(RADIANS(EVCleanedDataset[[#This Row],[Latitude]]))*COS(RADIANS(EVCleanedDataset[[#This Row],[Longitude]]-MyLong)))</f>
        <v>290.03177861414434</v>
      </c>
      <c r="J67">
        <f t="shared" si="1"/>
        <v>9</v>
      </c>
      <c r="K6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34.920702771297648</v>
      </c>
      <c r="L67" t="str">
        <f>IF(EVCleanedDataset[[#This Row],[Score]]&gt;50,"Yes","No")</f>
        <v>No</v>
      </c>
    </row>
    <row r="68" spans="1:12" x14ac:dyDescent="0.3">
      <c r="A68" t="s">
        <v>2930</v>
      </c>
      <c r="B68" t="s">
        <v>49</v>
      </c>
      <c r="C68" t="s">
        <v>1008</v>
      </c>
      <c r="D68">
        <v>12.623810199999999</v>
      </c>
      <c r="E68">
        <v>80.1947665</v>
      </c>
      <c r="F68">
        <f>IF(COUNTIF($C$5:C68,C68)=1,1,0)</f>
        <v>0</v>
      </c>
      <c r="G68" s="2" t="str">
        <f t="shared" si="0"/>
        <v/>
      </c>
      <c r="H68" s="2">
        <f>MAX(0, MyBattery - (EVCleanedDataset[[#This Row],[Distance(km)]]/VehicleRangeKm)*100)</f>
        <v>0</v>
      </c>
      <c r="I68" s="2">
        <f>6371*ACOS(SIN(RADIANS(MyLat))*SIN(RADIANS(EVCleanedDataset[[#This Row],[Latitude]]))+COS(RADIANS(MyLat))*COS(RADIANS(EVCleanedDataset[[#This Row],[Latitude]]))*COS(RADIANS(EVCleanedDataset[[#This Row],[Longitude]]-MyLong)))</f>
        <v>298.99549477229516</v>
      </c>
      <c r="J68">
        <f t="shared" si="1"/>
        <v>6</v>
      </c>
      <c r="K6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44.763711409073217</v>
      </c>
      <c r="L68" t="str">
        <f>IF(EVCleanedDataset[[#This Row],[Score]]&gt;50,"Yes","No")</f>
        <v>No</v>
      </c>
    </row>
    <row r="69" spans="1:12" x14ac:dyDescent="0.3">
      <c r="A69" t="s">
        <v>345</v>
      </c>
      <c r="B69" t="s">
        <v>49</v>
      </c>
      <c r="C69" t="s">
        <v>1008</v>
      </c>
      <c r="D69">
        <v>13.049951999999999</v>
      </c>
      <c r="E69">
        <v>80.209498999999994</v>
      </c>
      <c r="F69">
        <f>IF(COUNTIF($C$5:C69,C69)=1,1,0)</f>
        <v>0</v>
      </c>
      <c r="G69" s="2" t="str">
        <f t="shared" ref="G69:G132" si="2">IF(F69=1, IF(C69=MyCity, "", _xlfn.MINIFS($I$5:$I$1121,$C$5:$C$1121,C69)), "")</f>
        <v/>
      </c>
      <c r="H69" s="2">
        <f>MAX(0, MyBattery - (EVCleanedDataset[[#This Row],[Distance(km)]]/VehicleRangeKm)*100)</f>
        <v>0</v>
      </c>
      <c r="I69" s="2">
        <f>6371*ACOS(SIN(RADIANS(MyLat))*SIN(RADIANS(EVCleanedDataset[[#This Row],[Latitude]]))+COS(RADIANS(MyLat))*COS(RADIANS(EVCleanedDataset[[#This Row],[Latitude]]))*COS(RADIANS(EVCleanedDataset[[#This Row],[Longitude]]-MyLong)))</f>
        <v>291.16713315325046</v>
      </c>
      <c r="J69">
        <f t="shared" ref="J69:J132" si="3">MOD(ROW()*7,10)</f>
        <v>3</v>
      </c>
      <c r="K6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54.900836799218396</v>
      </c>
      <c r="L69" t="str">
        <f>IF(EVCleanedDataset[[#This Row],[Score]]&gt;50,"Yes","No")</f>
        <v>Yes</v>
      </c>
    </row>
    <row r="70" spans="1:12" x14ac:dyDescent="0.3">
      <c r="A70" t="s">
        <v>3070</v>
      </c>
      <c r="B70" t="s">
        <v>49</v>
      </c>
      <c r="C70" t="s">
        <v>1008</v>
      </c>
      <c r="D70">
        <v>13.02450612</v>
      </c>
      <c r="E70">
        <v>80.228845680000006</v>
      </c>
      <c r="F70">
        <f>IF(COUNTIF($C$5:C70,C70)=1,1,0)</f>
        <v>0</v>
      </c>
      <c r="G70" s="2" t="str">
        <f t="shared" si="2"/>
        <v/>
      </c>
      <c r="H70" s="2">
        <f>MAX(0, MyBattery - (EVCleanedDataset[[#This Row],[Distance(km)]]/VehicleRangeKm)*100)</f>
        <v>0</v>
      </c>
      <c r="I70" s="2">
        <f>6371*ACOS(SIN(RADIANS(MyLat))*SIN(RADIANS(EVCleanedDataset[[#This Row],[Latitude]]))+COS(RADIANS(MyLat))*COS(RADIANS(EVCleanedDataset[[#This Row],[Latitude]]))*COS(RADIANS(EVCleanedDataset[[#This Row],[Longitude]]-MyLong)))</f>
        <v>293.59731899121726</v>
      </c>
      <c r="J70">
        <f t="shared" si="3"/>
        <v>0</v>
      </c>
      <c r="K7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64.858281586276831</v>
      </c>
      <c r="L70" t="str">
        <f>IF(EVCleanedDataset[[#This Row],[Score]]&gt;50,"Yes","No")</f>
        <v>Yes</v>
      </c>
    </row>
    <row r="71" spans="1:12" x14ac:dyDescent="0.3">
      <c r="A71" t="s">
        <v>897</v>
      </c>
      <c r="B71" t="s">
        <v>386</v>
      </c>
      <c r="C71" t="s">
        <v>2283</v>
      </c>
      <c r="D71">
        <v>11.7455443615496</v>
      </c>
      <c r="E71">
        <v>75.495019703062098</v>
      </c>
      <c r="F71">
        <f>IF(COUNTIF($C$5:C71,C71)=1,1,0)</f>
        <v>0</v>
      </c>
      <c r="G71" s="2" t="str">
        <f t="shared" si="2"/>
        <v/>
      </c>
      <c r="H71" s="2">
        <f>MAX(0, MyBattery - (EVCleanedDataset[[#This Row],[Distance(km)]]/VehicleRangeKm)*100)</f>
        <v>0</v>
      </c>
      <c r="I71" s="2">
        <f>6371*ACOS(SIN(RADIANS(MyLat))*SIN(RADIANS(EVCleanedDataset[[#This Row],[Latitude]]))+COS(RADIANS(MyLat))*COS(RADIANS(EVCleanedDataset[[#This Row],[Latitude]]))*COS(RADIANS(EVCleanedDataset[[#This Row],[Longitude]]-MyLong)))</f>
        <v>284.49392707813684</v>
      </c>
      <c r="J71">
        <f t="shared" si="3"/>
        <v>7</v>
      </c>
      <c r="K7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41.684406065212407</v>
      </c>
      <c r="L71" t="str">
        <f>IF(EVCleanedDataset[[#This Row],[Score]]&gt;50,"Yes","No")</f>
        <v>No</v>
      </c>
    </row>
    <row r="72" spans="1:12" x14ac:dyDescent="0.3">
      <c r="A72" t="s">
        <v>3302</v>
      </c>
      <c r="B72" t="s">
        <v>49</v>
      </c>
      <c r="C72" t="s">
        <v>1008</v>
      </c>
      <c r="D72">
        <v>13.030010000000001</v>
      </c>
      <c r="E72">
        <v>80.242109999999997</v>
      </c>
      <c r="F72">
        <f>IF(COUNTIF($C$5:C72,C72)=1,1,0)</f>
        <v>0</v>
      </c>
      <c r="G72" s="2" t="str">
        <f t="shared" si="2"/>
        <v/>
      </c>
      <c r="H72" s="2">
        <f>MAX(0, MyBattery - (EVCleanedDataset[[#This Row],[Distance(km)]]/VehicleRangeKm)*100)</f>
        <v>0</v>
      </c>
      <c r="I72" s="2">
        <f>6371*ACOS(SIN(RADIANS(MyLat))*SIN(RADIANS(EVCleanedDataset[[#This Row],[Latitude]]))+COS(RADIANS(MyLat))*COS(RADIANS(EVCleanedDataset[[#This Row],[Latitude]]))*COS(RADIANS(EVCleanedDataset[[#This Row],[Longitude]]-MyLong)))</f>
        <v>294.94498015414376</v>
      </c>
      <c r="J72">
        <f t="shared" si="3"/>
        <v>4</v>
      </c>
      <c r="K7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51.50136368596889</v>
      </c>
      <c r="L72" t="str">
        <f>IF(EVCleanedDataset[[#This Row],[Score]]&gt;50,"Yes","No")</f>
        <v>Yes</v>
      </c>
    </row>
    <row r="73" spans="1:12" x14ac:dyDescent="0.3">
      <c r="A73" t="s">
        <v>3075</v>
      </c>
      <c r="B73" t="s">
        <v>49</v>
      </c>
      <c r="C73" t="s">
        <v>1008</v>
      </c>
      <c r="D73">
        <v>13.079097000000001</v>
      </c>
      <c r="E73">
        <v>80.261538000000002</v>
      </c>
      <c r="F73">
        <f>IF(COUNTIF($C$5:C73,C73)=1,1,0)</f>
        <v>0</v>
      </c>
      <c r="G73" s="2" t="str">
        <f t="shared" si="2"/>
        <v/>
      </c>
      <c r="H73" s="2">
        <f>MAX(0, MyBattery - (EVCleanedDataset[[#This Row],[Distance(km)]]/VehicleRangeKm)*100)</f>
        <v>0</v>
      </c>
      <c r="I73" s="2">
        <f>6371*ACOS(SIN(RADIANS(MyLat))*SIN(RADIANS(EVCleanedDataset[[#This Row],[Latitude]]))+COS(RADIANS(MyLat))*COS(RADIANS(EVCleanedDataset[[#This Row],[Latitude]]))*COS(RADIANS(EVCleanedDataset[[#This Row],[Longitude]]-MyLong)))</f>
        <v>296.40123114863542</v>
      </c>
      <c r="J73">
        <f t="shared" si="3"/>
        <v>1</v>
      </c>
      <c r="K7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61.475867145395547</v>
      </c>
      <c r="L73" t="str">
        <f>IF(EVCleanedDataset[[#This Row],[Score]]&gt;50,"Yes","No")</f>
        <v>Yes</v>
      </c>
    </row>
    <row r="74" spans="1:12" x14ac:dyDescent="0.3">
      <c r="A74" t="s">
        <v>286</v>
      </c>
      <c r="B74" t="s">
        <v>150</v>
      </c>
      <c r="C74" t="s">
        <v>287</v>
      </c>
      <c r="D74">
        <v>13.4381</v>
      </c>
      <c r="E74">
        <v>74.743300000000005</v>
      </c>
      <c r="F74">
        <f>IF(COUNTIF($C$5:C74,C74)=1,1,0)</f>
        <v>1</v>
      </c>
      <c r="G74" s="2">
        <f t="shared" si="2"/>
        <v>302.41149600862406</v>
      </c>
      <c r="H74" s="2">
        <f>MAX(0, MyBattery - (EVCleanedDataset[[#This Row],[Distance(km)]]/VehicleRangeKm)*100)</f>
        <v>0</v>
      </c>
      <c r="I74" s="2">
        <f>6371*ACOS(SIN(RADIANS(MyLat))*SIN(RADIANS(EVCleanedDataset[[#This Row],[Latitude]]))+COS(RADIANS(MyLat))*COS(RADIANS(EVCleanedDataset[[#This Row],[Latitude]]))*COS(RADIANS(EVCleanedDataset[[#This Row],[Longitude]]-MyLong)))</f>
        <v>302.41149600862406</v>
      </c>
      <c r="J74">
        <f t="shared" si="3"/>
        <v>8</v>
      </c>
      <c r="K7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38.037272766694514</v>
      </c>
      <c r="L74" t="str">
        <f>IF(EVCleanedDataset[[#This Row],[Score]]&gt;50,"Yes","No")</f>
        <v>No</v>
      </c>
    </row>
    <row r="75" spans="1:12" x14ac:dyDescent="0.3">
      <c r="A75" t="s">
        <v>1966</v>
      </c>
      <c r="B75" t="s">
        <v>49</v>
      </c>
      <c r="C75" t="s">
        <v>1967</v>
      </c>
      <c r="D75">
        <v>11.19362344</v>
      </c>
      <c r="E75">
        <v>78.104834150000002</v>
      </c>
      <c r="F75">
        <f>IF(COUNTIF($C$5:C75,C75)=1,1,0)</f>
        <v>1</v>
      </c>
      <c r="G75" s="2">
        <f t="shared" si="2"/>
        <v>247.47890884355897</v>
      </c>
      <c r="H75" s="2">
        <f>MAX(0, MyBattery - (EVCleanedDataset[[#This Row],[Distance(km)]]/VehicleRangeKm)*100)</f>
        <v>0</v>
      </c>
      <c r="I75" s="2">
        <f>6371*ACOS(SIN(RADIANS(MyLat))*SIN(RADIANS(EVCleanedDataset[[#This Row],[Latitude]]))+COS(RADIANS(MyLat))*COS(RADIANS(EVCleanedDataset[[#This Row],[Latitude]]))*COS(RADIANS(EVCleanedDataset[[#This Row],[Longitude]]-MyLong)))</f>
        <v>247.47890884355897</v>
      </c>
      <c r="J75">
        <f t="shared" si="3"/>
        <v>5</v>
      </c>
      <c r="K7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48.999438513626032</v>
      </c>
      <c r="L75" t="str">
        <f>IF(EVCleanedDataset[[#This Row],[Score]]&gt;50,"Yes","No")</f>
        <v>No</v>
      </c>
    </row>
    <row r="76" spans="1:12" x14ac:dyDescent="0.3">
      <c r="A76" t="s">
        <v>2913</v>
      </c>
      <c r="B76" t="s">
        <v>386</v>
      </c>
      <c r="C76" t="s">
        <v>2009</v>
      </c>
      <c r="D76">
        <v>11.296198</v>
      </c>
      <c r="E76">
        <v>75.830781700000003</v>
      </c>
      <c r="F76">
        <f>IF(COUNTIF($C$5:C76,C76)=1,1,0)</f>
        <v>1</v>
      </c>
      <c r="G76" s="2">
        <f t="shared" si="2"/>
        <v>288.49617359300663</v>
      </c>
      <c r="H76" s="2">
        <f>MAX(0, MyBattery - (EVCleanedDataset[[#This Row],[Distance(km)]]/VehicleRangeKm)*100)</f>
        <v>0</v>
      </c>
      <c r="I76" s="2">
        <f>6371*ACOS(SIN(RADIANS(MyLat))*SIN(RADIANS(EVCleanedDataset[[#This Row],[Latitude]]))+COS(RADIANS(MyLat))*COS(RADIANS(EVCleanedDataset[[#This Row],[Latitude]]))*COS(RADIANS(EVCleanedDataset[[#This Row],[Longitude]]-MyLong)))</f>
        <v>294.07586532679426</v>
      </c>
      <c r="J76">
        <f t="shared" si="3"/>
        <v>2</v>
      </c>
      <c r="K7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58.183293080510467</v>
      </c>
      <c r="L76" t="str">
        <f>IF(EVCleanedDataset[[#This Row],[Score]]&gt;50,"Yes","No")</f>
        <v>Yes</v>
      </c>
    </row>
    <row r="77" spans="1:12" x14ac:dyDescent="0.3">
      <c r="A77" t="s">
        <v>2978</v>
      </c>
      <c r="B77" t="s">
        <v>115</v>
      </c>
      <c r="C77" t="s">
        <v>1163</v>
      </c>
      <c r="D77">
        <v>17.423857999999999</v>
      </c>
      <c r="E77">
        <v>78.347334000000004</v>
      </c>
      <c r="F77">
        <f>IF(COUNTIF($C$5:C77,C77)=1,1,0)</f>
        <v>1</v>
      </c>
      <c r="G77" s="2">
        <f t="shared" si="2"/>
        <v>450.84225274316617</v>
      </c>
      <c r="H77" s="2">
        <f>MAX(0, MyBattery - (EVCleanedDataset[[#This Row],[Distance(km)]]/VehicleRangeKm)*100)</f>
        <v>0</v>
      </c>
      <c r="I77" s="2">
        <f>6371*ACOS(SIN(RADIANS(MyLat))*SIN(RADIANS(EVCleanedDataset[[#This Row],[Latitude]]))+COS(RADIANS(MyLat))*COS(RADIANS(EVCleanedDataset[[#This Row],[Latitude]]))*COS(RADIANS(EVCleanedDataset[[#This Row],[Longitude]]-MyLong)))</f>
        <v>461.32948094256471</v>
      </c>
      <c r="J77">
        <f t="shared" si="3"/>
        <v>9</v>
      </c>
      <c r="K77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31.92048770810564</v>
      </c>
      <c r="L77" t="str">
        <f>IF(EVCleanedDataset[[#This Row],[Score]]&gt;50,"Yes","No")</f>
        <v>No</v>
      </c>
    </row>
    <row r="78" spans="1:12" x14ac:dyDescent="0.3">
      <c r="A78" t="s">
        <v>806</v>
      </c>
      <c r="B78" t="s">
        <v>41</v>
      </c>
      <c r="C78" t="s">
        <v>42</v>
      </c>
      <c r="D78">
        <v>18.487922539829501</v>
      </c>
      <c r="E78">
        <v>73.872762703908904</v>
      </c>
      <c r="F78">
        <f>IF(COUNTIF($C$5:C78,C78)=1,1,0)</f>
        <v>1</v>
      </c>
      <c r="G78" s="2">
        <f t="shared" si="2"/>
        <v>440.93953782739487</v>
      </c>
      <c r="H78" s="2">
        <f>MAX(0, MyBattery - (EVCleanedDataset[[#This Row],[Distance(km)]]/VehicleRangeKm)*100)</f>
        <v>0</v>
      </c>
      <c r="I78" s="2">
        <f>6371*ACOS(SIN(RADIANS(MyLat))*SIN(RADIANS(EVCleanedDataset[[#This Row],[Latitude]]))+COS(RADIANS(MyLat))*COS(RADIANS(EVCleanedDataset[[#This Row],[Latitude]]))*COS(RADIANS(EVCleanedDataset[[#This Row],[Longitude]]-MyLong)))</f>
        <v>692.77835224521732</v>
      </c>
      <c r="J78">
        <f t="shared" si="3"/>
        <v>6</v>
      </c>
      <c r="K78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37.866622346737614</v>
      </c>
      <c r="L78" t="str">
        <f>IF(EVCleanedDataset[[#This Row],[Score]]&gt;50,"Yes","No")</f>
        <v>No</v>
      </c>
    </row>
    <row r="79" spans="1:12" x14ac:dyDescent="0.3">
      <c r="A79" t="s">
        <v>1295</v>
      </c>
      <c r="B79" t="s">
        <v>115</v>
      </c>
      <c r="C79" t="s">
        <v>1163</v>
      </c>
      <c r="D79">
        <v>17.436830400000002</v>
      </c>
      <c r="E79">
        <v>78.398326100000006</v>
      </c>
      <c r="F79">
        <f>IF(COUNTIF($C$5:C79,C79)=1,1,0)</f>
        <v>0</v>
      </c>
      <c r="G79" s="2" t="str">
        <f t="shared" si="2"/>
        <v/>
      </c>
      <c r="H79" s="2">
        <f>MAX(0, MyBattery - (EVCleanedDataset[[#This Row],[Distance(km)]]/VehicleRangeKm)*100)</f>
        <v>0</v>
      </c>
      <c r="I79" s="2">
        <f>6371*ACOS(SIN(RADIANS(MyLat))*SIN(RADIANS(EVCleanedDataset[[#This Row],[Latitude]]))+COS(RADIANS(MyLat))*COS(RADIANS(EVCleanedDataset[[#This Row],[Latitude]]))*COS(RADIANS(EVCleanedDataset[[#This Row],[Longitude]]-MyLong)))</f>
        <v>463.80189214366158</v>
      </c>
      <c r="J79">
        <f t="shared" si="3"/>
        <v>3</v>
      </c>
      <c r="K7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51.877202909102358</v>
      </c>
      <c r="L79" t="str">
        <f>IF(EVCleanedDataset[[#This Row],[Score]]&gt;50,"Yes","No")</f>
        <v>Yes</v>
      </c>
    </row>
    <row r="80" spans="1:12" x14ac:dyDescent="0.3">
      <c r="A80" t="s">
        <v>2879</v>
      </c>
      <c r="B80" t="s">
        <v>41</v>
      </c>
      <c r="C80" t="s">
        <v>42</v>
      </c>
      <c r="D80">
        <v>18.518672599999999</v>
      </c>
      <c r="E80">
        <v>73.830296500000003</v>
      </c>
      <c r="F80">
        <f>IF(COUNTIF($C$5:C80,C80)=1,1,0)</f>
        <v>0</v>
      </c>
      <c r="G80" s="2" t="str">
        <f t="shared" si="2"/>
        <v/>
      </c>
      <c r="H80" s="2">
        <f>MAX(0, MyBattery - (EVCleanedDataset[[#This Row],[Distance(km)]]/VehicleRangeKm)*100)</f>
        <v>0</v>
      </c>
      <c r="I80" s="2">
        <f>6371*ACOS(SIN(RADIANS(MyLat))*SIN(RADIANS(EVCleanedDataset[[#This Row],[Latitude]]))+COS(RADIANS(MyLat))*COS(RADIANS(EVCleanedDataset[[#This Row],[Latitude]]))*COS(RADIANS(EVCleanedDataset[[#This Row],[Longitude]]-MyLong)))</f>
        <v>698.14887582963422</v>
      </c>
      <c r="J80">
        <f t="shared" si="3"/>
        <v>0</v>
      </c>
      <c r="K80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57.77257650353873</v>
      </c>
      <c r="L80" t="str">
        <f>IF(EVCleanedDataset[[#This Row],[Score]]&gt;50,"Yes","No")</f>
        <v>Yes</v>
      </c>
    </row>
    <row r="81" spans="1:12" x14ac:dyDescent="0.3">
      <c r="A81" t="s">
        <v>3197</v>
      </c>
      <c r="B81" t="s">
        <v>115</v>
      </c>
      <c r="C81" t="s">
        <v>1163</v>
      </c>
      <c r="D81">
        <v>17.438229</v>
      </c>
      <c r="E81">
        <v>78.457262999999998</v>
      </c>
      <c r="F81">
        <f>IF(COUNTIF($C$5:C81,C81)=1,1,0)</f>
        <v>0</v>
      </c>
      <c r="G81" s="2" t="str">
        <f t="shared" si="2"/>
        <v/>
      </c>
      <c r="H81" s="2">
        <f>MAX(0, MyBattery - (EVCleanedDataset[[#This Row],[Distance(km)]]/VehicleRangeKm)*100)</f>
        <v>0</v>
      </c>
      <c r="I81" s="2">
        <f>6371*ACOS(SIN(RADIANS(MyLat))*SIN(RADIANS(EVCleanedDataset[[#This Row],[Latitude]]))+COS(RADIANS(MyLat))*COS(RADIANS(EVCleanedDataset[[#This Row],[Latitude]]))*COS(RADIANS(EVCleanedDataset[[#This Row],[Longitude]]-MyLong)))</f>
        <v>465.25154761648861</v>
      </c>
      <c r="J81">
        <f t="shared" si="3"/>
        <v>7</v>
      </c>
      <c r="K8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38.518498557136311</v>
      </c>
      <c r="L81" t="str">
        <f>IF(EVCleanedDataset[[#This Row],[Score]]&gt;50,"Yes","No")</f>
        <v>No</v>
      </c>
    </row>
    <row r="82" spans="1:12" x14ac:dyDescent="0.3">
      <c r="A82" t="s">
        <v>2907</v>
      </c>
      <c r="B82" t="s">
        <v>115</v>
      </c>
      <c r="C82" t="s">
        <v>1163</v>
      </c>
      <c r="D82">
        <v>17.443545799999999</v>
      </c>
      <c r="E82">
        <v>78.479827400000005</v>
      </c>
      <c r="F82">
        <f>IF(COUNTIF($C$5:C82,C82)=1,1,0)</f>
        <v>0</v>
      </c>
      <c r="G82" s="2" t="str">
        <f t="shared" si="2"/>
        <v/>
      </c>
      <c r="H82" s="2">
        <f>MAX(0, MyBattery - (EVCleanedDataset[[#This Row],[Distance(km)]]/VehicleRangeKm)*100)</f>
        <v>0</v>
      </c>
      <c r="I82" s="2">
        <f>6371*ACOS(SIN(RADIANS(MyLat))*SIN(RADIANS(EVCleanedDataset[[#This Row],[Latitude]]))+COS(RADIANS(MyLat))*COS(RADIANS(EVCleanedDataset[[#This Row],[Latitude]]))*COS(RADIANS(EVCleanedDataset[[#This Row],[Longitude]]-MyLong)))</f>
        <v>466.34681149898518</v>
      </c>
      <c r="J82">
        <f t="shared" si="3"/>
        <v>4</v>
      </c>
      <c r="K8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48.499324781287854</v>
      </c>
      <c r="L82" t="str">
        <f>IF(EVCleanedDataset[[#This Row],[Score]]&gt;50,"Yes","No")</f>
        <v>No</v>
      </c>
    </row>
    <row r="83" spans="1:12" x14ac:dyDescent="0.3">
      <c r="A83" t="s">
        <v>2770</v>
      </c>
      <c r="B83" t="s">
        <v>41</v>
      </c>
      <c r="C83" t="s">
        <v>42</v>
      </c>
      <c r="D83">
        <v>18.567198999999999</v>
      </c>
      <c r="E83">
        <v>73.812297000000001</v>
      </c>
      <c r="F83">
        <f>IF(COUNTIF($C$5:C83,C83)=1,1,0)</f>
        <v>0</v>
      </c>
      <c r="G83" s="2" t="str">
        <f t="shared" si="2"/>
        <v/>
      </c>
      <c r="H83" s="2">
        <f>MAX(0, MyBattery - (EVCleanedDataset[[#This Row],[Distance(km)]]/VehicleRangeKm)*100)</f>
        <v>0</v>
      </c>
      <c r="I83" s="2">
        <f>6371*ACOS(SIN(RADIANS(MyLat))*SIN(RADIANS(EVCleanedDataset[[#This Row],[Latitude]]))+COS(RADIANS(MyLat))*COS(RADIANS(EVCleanedDataset[[#This Row],[Latitude]]))*COS(RADIANS(EVCleanedDataset[[#This Row],[Longitude]]-MyLong)))</f>
        <v>703.65578857780133</v>
      </c>
      <c r="J83">
        <f t="shared" si="3"/>
        <v>1</v>
      </c>
      <c r="K83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54.342818442293563</v>
      </c>
      <c r="L83" t="str">
        <f>IF(EVCleanedDataset[[#This Row],[Score]]&gt;50,"Yes","No")</f>
        <v>Yes</v>
      </c>
    </row>
    <row r="84" spans="1:12" x14ac:dyDescent="0.3">
      <c r="A84" t="s">
        <v>2351</v>
      </c>
      <c r="B84" t="s">
        <v>41</v>
      </c>
      <c r="C84" t="s">
        <v>42</v>
      </c>
      <c r="D84">
        <v>18.611142999999998</v>
      </c>
      <c r="E84">
        <v>73.783102999999997</v>
      </c>
      <c r="F84">
        <f>IF(COUNTIF($C$5:C84,C84)=1,1,0)</f>
        <v>0</v>
      </c>
      <c r="G84" s="2" t="str">
        <f t="shared" si="2"/>
        <v/>
      </c>
      <c r="H84" s="2">
        <f>MAX(0, MyBattery - (EVCleanedDataset[[#This Row],[Distance(km)]]/VehicleRangeKm)*100)</f>
        <v>0</v>
      </c>
      <c r="I84" s="2">
        <f>6371*ACOS(SIN(RADIANS(MyLat))*SIN(RADIANS(EVCleanedDataset[[#This Row],[Latitude]]))+COS(RADIANS(MyLat))*COS(RADIANS(EVCleanedDataset[[#This Row],[Latitude]]))*COS(RADIANS(EVCleanedDataset[[#This Row],[Longitude]]-MyLong)))</f>
        <v>709.423317666765</v>
      </c>
      <c r="J84">
        <f t="shared" si="3"/>
        <v>8</v>
      </c>
      <c r="K84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30.908475631361874</v>
      </c>
      <c r="L84" t="str">
        <f>IF(EVCleanedDataset[[#This Row],[Score]]&gt;50,"Yes","No")</f>
        <v>No</v>
      </c>
    </row>
    <row r="85" spans="1:12" x14ac:dyDescent="0.3">
      <c r="A85" t="s">
        <v>3013</v>
      </c>
      <c r="B85" t="s">
        <v>41</v>
      </c>
      <c r="C85" t="s">
        <v>42</v>
      </c>
      <c r="D85">
        <v>18.621396000000001</v>
      </c>
      <c r="E85">
        <v>73.838437499999998</v>
      </c>
      <c r="F85">
        <f>IF(COUNTIF($C$5:C85,C85)=1,1,0)</f>
        <v>0</v>
      </c>
      <c r="G85" s="2" t="str">
        <f t="shared" si="2"/>
        <v/>
      </c>
      <c r="H85" s="2">
        <f>MAX(0, MyBattery - (EVCleanedDataset[[#This Row],[Distance(km)]]/VehicleRangeKm)*100)</f>
        <v>0</v>
      </c>
      <c r="I85" s="2">
        <f>6371*ACOS(SIN(RADIANS(MyLat))*SIN(RADIANS(EVCleanedDataset[[#This Row],[Latitude]]))+COS(RADIANS(MyLat))*COS(RADIANS(EVCleanedDataset[[#This Row],[Latitude]]))*COS(RADIANS(EVCleanedDataset[[#This Row],[Longitude]]-MyLong)))</f>
        <v>707.03588541669308</v>
      </c>
      <c r="J85">
        <f t="shared" si="3"/>
        <v>5</v>
      </c>
      <c r="K85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40.950302006274534</v>
      </c>
      <c r="L85" t="str">
        <f>IF(EVCleanedDataset[[#This Row],[Score]]&gt;50,"Yes","No")</f>
        <v>No</v>
      </c>
    </row>
    <row r="86" spans="1:12" x14ac:dyDescent="0.3">
      <c r="A86" t="s">
        <v>2452</v>
      </c>
      <c r="B86" t="s">
        <v>41</v>
      </c>
      <c r="C86" t="s">
        <v>42</v>
      </c>
      <c r="D86">
        <v>18.620957400000002</v>
      </c>
      <c r="E86">
        <v>73.829984199999998</v>
      </c>
      <c r="F86">
        <f>IF(COUNTIF($C$5:C86,C86)=1,1,0)</f>
        <v>0</v>
      </c>
      <c r="G86" s="2" t="str">
        <f t="shared" si="2"/>
        <v/>
      </c>
      <c r="H86" s="2">
        <f>MAX(0, MyBattery - (EVCleanedDataset[[#This Row],[Distance(km)]]/VehicleRangeKm)*100)</f>
        <v>0</v>
      </c>
      <c r="I86" s="2">
        <f>6371*ACOS(SIN(RADIANS(MyLat))*SIN(RADIANS(EVCleanedDataset[[#This Row],[Latitude]]))+COS(RADIANS(MyLat))*COS(RADIANS(EVCleanedDataset[[#This Row],[Latitude]]))*COS(RADIANS(EVCleanedDataset[[#This Row],[Longitude]]-MyLong)))</f>
        <v>707.50101432398731</v>
      </c>
      <c r="J86">
        <f t="shared" si="3"/>
        <v>2</v>
      </c>
      <c r="K86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50.942165176235875</v>
      </c>
      <c r="L86" t="str">
        <f>IF(EVCleanedDataset[[#This Row],[Score]]&gt;50,"Yes","No")</f>
        <v>Yes</v>
      </c>
    </row>
    <row r="87" spans="1:12" x14ac:dyDescent="0.3">
      <c r="A87" t="s">
        <v>1492</v>
      </c>
      <c r="B87" t="s">
        <v>386</v>
      </c>
      <c r="C87" t="s">
        <v>1493</v>
      </c>
      <c r="D87">
        <v>9.5802797000000002</v>
      </c>
      <c r="E87">
        <v>76.970185900000004</v>
      </c>
      <c r="F87">
        <f>IF(COUNTIF($C$5:C87,C87)=1,1,0)</f>
        <v>1</v>
      </c>
      <c r="G87" s="2">
        <f t="shared" si="2"/>
        <v>423.60971867375707</v>
      </c>
      <c r="H87" s="2">
        <f>MAX(0, MyBattery - (EVCleanedDataset[[#This Row],[Distance(km)]]/VehicleRangeKm)*100)</f>
        <v>0</v>
      </c>
      <c r="I87" s="2">
        <f>6371*ACOS(SIN(RADIANS(MyLat))*SIN(RADIANS(EVCleanedDataset[[#This Row],[Latitude]]))+COS(RADIANS(MyLat))*COS(RADIANS(EVCleanedDataset[[#This Row],[Latitude]]))*COS(RADIANS(EVCleanedDataset[[#This Row],[Longitude]]-MyLong)))</f>
        <v>423.60971867375707</v>
      </c>
      <c r="J87">
        <f t="shared" si="3"/>
        <v>9</v>
      </c>
      <c r="K87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32.581257228927043</v>
      </c>
      <c r="L87" t="str">
        <f>IF(EVCleanedDataset[[#This Row],[Score]]&gt;50,"Yes","No")</f>
        <v>No</v>
      </c>
    </row>
    <row r="88" spans="1:12" x14ac:dyDescent="0.3">
      <c r="A88" t="s">
        <v>2890</v>
      </c>
      <c r="B88" t="s">
        <v>41</v>
      </c>
      <c r="C88" t="s">
        <v>42</v>
      </c>
      <c r="D88">
        <v>18.648377246378999</v>
      </c>
      <c r="E88">
        <v>73.829866260840106</v>
      </c>
      <c r="F88">
        <f>IF(COUNTIF($C$5:C88,C88)=1,1,0)</f>
        <v>0</v>
      </c>
      <c r="G88" s="2" t="str">
        <f t="shared" si="2"/>
        <v/>
      </c>
      <c r="H88" s="2">
        <f>MAX(0, MyBattery - (EVCleanedDataset[[#This Row],[Distance(km)]]/VehicleRangeKm)*100)</f>
        <v>0</v>
      </c>
      <c r="I88" s="2">
        <f>6371*ACOS(SIN(RADIANS(MyLat))*SIN(RADIANS(EVCleanedDataset[[#This Row],[Latitude]]))+COS(RADIANS(MyLat))*COS(RADIANS(EVCleanedDataset[[#This Row],[Latitude]]))*COS(RADIANS(EVCleanedDataset[[#This Row],[Longitude]]-MyLong)))</f>
        <v>710.02009958507335</v>
      </c>
      <c r="J88">
        <f t="shared" si="3"/>
        <v>6</v>
      </c>
      <c r="K88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37.564729537982124</v>
      </c>
      <c r="L88" t="str">
        <f>IF(EVCleanedDataset[[#This Row],[Score]]&gt;50,"Yes","No")</f>
        <v>No</v>
      </c>
    </row>
    <row r="89" spans="1:12" x14ac:dyDescent="0.3">
      <c r="A89" t="s">
        <v>280</v>
      </c>
      <c r="B89" t="s">
        <v>150</v>
      </c>
      <c r="C89" t="s">
        <v>281</v>
      </c>
      <c r="D89">
        <v>13.224399999999999</v>
      </c>
      <c r="E89">
        <v>74.980199999999996</v>
      </c>
      <c r="F89">
        <f>IF(COUNTIF($C$5:C89,C89)=1,1,0)</f>
        <v>1</v>
      </c>
      <c r="G89" s="2">
        <f t="shared" si="2"/>
        <v>277.09394568513204</v>
      </c>
      <c r="H89" s="2">
        <f>MAX(0, MyBattery - (EVCleanedDataset[[#This Row],[Distance(km)]]/VehicleRangeKm)*100)</f>
        <v>0</v>
      </c>
      <c r="I89" s="2">
        <f>6371*ACOS(SIN(RADIANS(MyLat))*SIN(RADIANS(EVCleanedDataset[[#This Row],[Latitude]]))+COS(RADIANS(MyLat))*COS(RADIANS(EVCleanedDataset[[#This Row],[Latitude]]))*COS(RADIANS(EVCleanedDataset[[#This Row],[Longitude]]-MyLong)))</f>
        <v>277.09394568513204</v>
      </c>
      <c r="J89">
        <f t="shared" si="3"/>
        <v>3</v>
      </c>
      <c r="K89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55.147531619486124</v>
      </c>
      <c r="L89" t="str">
        <f>IF(EVCleanedDataset[[#This Row],[Score]]&gt;50,"Yes","No")</f>
        <v>Yes</v>
      </c>
    </row>
    <row r="90" spans="1:12" x14ac:dyDescent="0.3">
      <c r="A90" t="s">
        <v>2852</v>
      </c>
      <c r="B90" t="s">
        <v>150</v>
      </c>
      <c r="C90" t="s">
        <v>283</v>
      </c>
      <c r="D90">
        <v>12.987500000000001</v>
      </c>
      <c r="E90">
        <v>74.8048</v>
      </c>
      <c r="F90">
        <f>IF(COUNTIF($C$5:C90,C90)=1,1,0)</f>
        <v>1</v>
      </c>
      <c r="G90" s="2">
        <f t="shared" si="2"/>
        <v>298.59106026660987</v>
      </c>
      <c r="H90" s="2">
        <f>MAX(0, MyBattery - (EVCleanedDataset[[#This Row],[Distance(km)]]/VehicleRangeKm)*100)</f>
        <v>0</v>
      </c>
      <c r="I90" s="2">
        <f>6371*ACOS(SIN(RADIANS(MyLat))*SIN(RADIANS(EVCleanedDataset[[#This Row],[Latitude]]))+COS(RADIANS(MyLat))*COS(RADIANS(EVCleanedDataset[[#This Row],[Latitude]]))*COS(RADIANS(EVCleanedDataset[[#This Row],[Longitude]]-MyLong)))</f>
        <v>298.59106026660987</v>
      </c>
      <c r="J90">
        <f t="shared" si="3"/>
        <v>0</v>
      </c>
      <c r="K9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64.771015163980536</v>
      </c>
      <c r="L90" t="str">
        <f>IF(EVCleanedDataset[[#This Row],[Score]]&gt;50,"Yes","No")</f>
        <v>Yes</v>
      </c>
    </row>
    <row r="91" spans="1:12" x14ac:dyDescent="0.3">
      <c r="A91" t="s">
        <v>894</v>
      </c>
      <c r="B91" t="s">
        <v>386</v>
      </c>
      <c r="C91" t="s">
        <v>2283</v>
      </c>
      <c r="D91">
        <v>11.868744605859</v>
      </c>
      <c r="E91">
        <v>75.366022126805504</v>
      </c>
      <c r="F91">
        <f>IF(COUNTIF($C$5:C91,C91)=1,1,0)</f>
        <v>0</v>
      </c>
      <c r="G91" s="2" t="str">
        <f t="shared" si="2"/>
        <v/>
      </c>
      <c r="H91" s="2">
        <f>MAX(0, MyBattery - (EVCleanedDataset[[#This Row],[Distance(km)]]/VehicleRangeKm)*100)</f>
        <v>0</v>
      </c>
      <c r="I91" s="2">
        <f>6371*ACOS(SIN(RADIANS(MyLat))*SIN(RADIANS(EVCleanedDataset[[#This Row],[Latitude]]))+COS(RADIANS(MyLat))*COS(RADIANS(EVCleanedDataset[[#This Row],[Latitude]]))*COS(RADIANS(EVCleanedDataset[[#This Row],[Longitude]]-MyLong)))</f>
        <v>287.43071040299475</v>
      </c>
      <c r="J91">
        <f t="shared" si="3"/>
        <v>7</v>
      </c>
      <c r="K9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41.633167691392245</v>
      </c>
      <c r="L91" t="str">
        <f>IF(EVCleanedDataset[[#This Row],[Score]]&gt;50,"Yes","No")</f>
        <v>No</v>
      </c>
    </row>
    <row r="92" spans="1:12" x14ac:dyDescent="0.3">
      <c r="A92" t="s">
        <v>925</v>
      </c>
      <c r="B92" t="s">
        <v>386</v>
      </c>
      <c r="C92" t="s">
        <v>2283</v>
      </c>
      <c r="D92">
        <v>11.874321999999999</v>
      </c>
      <c r="E92">
        <v>75.387200000000007</v>
      </c>
      <c r="F92">
        <f>IF(COUNTIF($C$5:C92,C92)=1,1,0)</f>
        <v>0</v>
      </c>
      <c r="G92" s="2" t="str">
        <f t="shared" si="2"/>
        <v/>
      </c>
      <c r="H92" s="2">
        <f>MAX(0, MyBattery - (EVCleanedDataset[[#This Row],[Distance(km)]]/VehicleRangeKm)*100)</f>
        <v>0</v>
      </c>
      <c r="I92" s="2">
        <f>6371*ACOS(SIN(RADIANS(MyLat))*SIN(RADIANS(EVCleanedDataset[[#This Row],[Latitude]]))+COS(RADIANS(MyLat))*COS(RADIANS(EVCleanedDataset[[#This Row],[Latitude]]))*COS(RADIANS(EVCleanedDataset[[#This Row],[Longitude]]-MyLong)))</f>
        <v>285.19083096520797</v>
      </c>
      <c r="J92">
        <f t="shared" si="3"/>
        <v>4</v>
      </c>
      <c r="K9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51.672409647954289</v>
      </c>
      <c r="L92" t="str">
        <f>IF(EVCleanedDataset[[#This Row],[Score]]&gt;50,"Yes","No")</f>
        <v>Yes</v>
      </c>
    </row>
    <row r="93" spans="1:12" x14ac:dyDescent="0.3">
      <c r="A93" t="s">
        <v>2824</v>
      </c>
      <c r="B93" t="s">
        <v>41</v>
      </c>
      <c r="C93" t="s">
        <v>194</v>
      </c>
      <c r="D93">
        <v>18.618400000000001</v>
      </c>
      <c r="E93">
        <v>72.900400000000005</v>
      </c>
      <c r="F93">
        <f>IF(COUNTIF($C$5:C93,C93)=1,1,0)</f>
        <v>1</v>
      </c>
      <c r="G93" s="2">
        <f t="shared" si="2"/>
        <v>767.32037853241002</v>
      </c>
      <c r="H93" s="2">
        <f>MAX(0, MyBattery - (EVCleanedDataset[[#This Row],[Distance(km)]]/VehicleRangeKm)*100)</f>
        <v>0</v>
      </c>
      <c r="I93" s="2">
        <f>6371*ACOS(SIN(RADIANS(MyLat))*SIN(RADIANS(EVCleanedDataset[[#This Row],[Latitude]]))+COS(RADIANS(MyLat))*COS(RADIANS(EVCleanedDataset[[#This Row],[Latitude]]))*COS(RADIANS(EVCleanedDataset[[#This Row],[Longitude]]-MyLong)))</f>
        <v>767.32037853241002</v>
      </c>
      <c r="J93">
        <f t="shared" si="3"/>
        <v>1</v>
      </c>
      <c r="K93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53.227819841224566</v>
      </c>
      <c r="L93" t="str">
        <f>IF(EVCleanedDataset[[#This Row],[Score]]&gt;50,"Yes","No")</f>
        <v>Yes</v>
      </c>
    </row>
    <row r="94" spans="1:12" x14ac:dyDescent="0.3">
      <c r="A94" t="s">
        <v>2613</v>
      </c>
      <c r="B94" t="s">
        <v>41</v>
      </c>
      <c r="C94" t="s">
        <v>2614</v>
      </c>
      <c r="D94">
        <v>18.762841120000001</v>
      </c>
      <c r="E94">
        <v>73.426751400000001</v>
      </c>
      <c r="F94">
        <f>IF(COUNTIF($C$5:C94,C94)=1,1,0)</f>
        <v>1</v>
      </c>
      <c r="G94" s="2">
        <f t="shared" si="2"/>
        <v>745.08132713611383</v>
      </c>
      <c r="H94" s="2">
        <f>MAX(0, MyBattery - (EVCleanedDataset[[#This Row],[Distance(km)]]/VehicleRangeKm)*100)</f>
        <v>0</v>
      </c>
      <c r="I94" s="2">
        <f>6371*ACOS(SIN(RADIANS(MyLat))*SIN(RADIANS(EVCleanedDataset[[#This Row],[Latitude]]))+COS(RADIANS(MyLat))*COS(RADIANS(EVCleanedDataset[[#This Row],[Latitude]]))*COS(RADIANS(EVCleanedDataset[[#This Row],[Longitude]]-MyLong)))</f>
        <v>745.08132713611383</v>
      </c>
      <c r="J94">
        <f t="shared" si="3"/>
        <v>8</v>
      </c>
      <c r="K94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30.284018141797809</v>
      </c>
      <c r="L94" t="str">
        <f>IF(EVCleanedDataset[[#This Row],[Score]]&gt;50,"Yes","No")</f>
        <v>No</v>
      </c>
    </row>
    <row r="95" spans="1:12" x14ac:dyDescent="0.3">
      <c r="A95" t="s">
        <v>1131</v>
      </c>
      <c r="B95" t="s">
        <v>41</v>
      </c>
      <c r="C95" t="s">
        <v>1013</v>
      </c>
      <c r="D95">
        <v>18.9852363</v>
      </c>
      <c r="E95">
        <v>74.576007500000003</v>
      </c>
      <c r="F95">
        <f>IF(COUNTIF($C$5:C95,C95)=1,1,0)</f>
        <v>1</v>
      </c>
      <c r="G95" s="2">
        <f t="shared" si="2"/>
        <v>701.92129876303818</v>
      </c>
      <c r="H95" s="2">
        <f>MAX(0, MyBattery - (EVCleanedDataset[[#This Row],[Distance(km)]]/VehicleRangeKm)*100)</f>
        <v>0</v>
      </c>
      <c r="I95" s="2">
        <f>6371*ACOS(SIN(RADIANS(MyLat))*SIN(RADIANS(EVCleanedDataset[[#This Row],[Latitude]]))+COS(RADIANS(MyLat))*COS(RADIANS(EVCleanedDataset[[#This Row],[Latitude]]))*COS(RADIANS(EVCleanedDataset[[#This Row],[Longitude]]-MyLong)))</f>
        <v>701.92129876303818</v>
      </c>
      <c r="J95">
        <f t="shared" si="3"/>
        <v>5</v>
      </c>
      <c r="K95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41.039985060631793</v>
      </c>
      <c r="L95" t="str">
        <f>IF(EVCleanedDataset[[#This Row],[Score]]&gt;50,"Yes","No")</f>
        <v>No</v>
      </c>
    </row>
    <row r="96" spans="1:12" x14ac:dyDescent="0.3">
      <c r="A96" t="s">
        <v>1302</v>
      </c>
      <c r="B96" t="s">
        <v>41</v>
      </c>
      <c r="C96" t="s">
        <v>1206</v>
      </c>
      <c r="D96">
        <v>18.956318799999998</v>
      </c>
      <c r="E96">
        <v>73.162650600000006</v>
      </c>
      <c r="F96">
        <f>IF(COUNTIF($C$5:C96,C96)=1,1,0)</f>
        <v>1</v>
      </c>
      <c r="G96" s="2">
        <f t="shared" si="2"/>
        <v>779.00348770927701</v>
      </c>
      <c r="H96" s="2">
        <f>MAX(0, MyBattery - (EVCleanedDataset[[#This Row],[Distance(km)]]/VehicleRangeKm)*100)</f>
        <v>0</v>
      </c>
      <c r="I96" s="2">
        <f>6371*ACOS(SIN(RADIANS(MyLat))*SIN(RADIANS(EVCleanedDataset[[#This Row],[Latitude]]))+COS(RADIANS(MyLat))*COS(RADIANS(EVCleanedDataset[[#This Row],[Latitude]]))*COS(RADIANS(EVCleanedDataset[[#This Row],[Longitude]]-MyLong)))</f>
        <v>779.00348770927701</v>
      </c>
      <c r="J96">
        <f t="shared" si="3"/>
        <v>2</v>
      </c>
      <c r="K9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49.689884408500511</v>
      </c>
      <c r="L96" t="str">
        <f>IF(EVCleanedDataset[[#This Row],[Score]]&gt;50,"Yes","No")</f>
        <v>No</v>
      </c>
    </row>
    <row r="97" spans="1:12" x14ac:dyDescent="0.3">
      <c r="A97" t="s">
        <v>804</v>
      </c>
      <c r="B97" t="s">
        <v>105</v>
      </c>
      <c r="C97" t="s">
        <v>105</v>
      </c>
      <c r="D97">
        <v>15.225126400000001</v>
      </c>
      <c r="E97">
        <v>73.979532800000001</v>
      </c>
      <c r="F97">
        <f>IF(COUNTIF($C$5:C97,C97)=1,1,0)</f>
        <v>0</v>
      </c>
      <c r="G97" s="2" t="str">
        <f t="shared" si="2"/>
        <v/>
      </c>
      <c r="H97" s="2">
        <f>MAX(0, MyBattery - (EVCleanedDataset[[#This Row],[Distance(km)]]/VehicleRangeKm)*100)</f>
        <v>0</v>
      </c>
      <c r="I97" s="2">
        <f>6371*ACOS(SIN(RADIANS(MyLat))*SIN(RADIANS(EVCleanedDataset[[#This Row],[Latitude]]))+COS(RADIANS(MyLat))*COS(RADIANS(EVCleanedDataset[[#This Row],[Latitude]]))*COS(RADIANS(EVCleanedDataset[[#This Row],[Longitude]]-MyLong)))</f>
        <v>436.44735811081983</v>
      </c>
      <c r="J97">
        <f t="shared" si="3"/>
        <v>9</v>
      </c>
      <c r="K97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32.356503290693823</v>
      </c>
      <c r="L97" t="str">
        <f>IF(EVCleanedDataset[[#This Row],[Score]]&gt;50,"Yes","No")</f>
        <v>No</v>
      </c>
    </row>
    <row r="98" spans="1:12" x14ac:dyDescent="0.3">
      <c r="A98" t="s">
        <v>2949</v>
      </c>
      <c r="B98" t="s">
        <v>386</v>
      </c>
      <c r="C98" t="s">
        <v>2758</v>
      </c>
      <c r="D98">
        <v>12.51382323</v>
      </c>
      <c r="E98">
        <v>75.027131729999994</v>
      </c>
      <c r="F98">
        <f>IF(COUNTIF($C$5:C98,C98)=1,1,0)</f>
        <v>1</v>
      </c>
      <c r="G98" s="2">
        <f t="shared" si="2"/>
        <v>287.47563896326938</v>
      </c>
      <c r="H98" s="2">
        <f>MAX(0, MyBattery - (EVCleanedDataset[[#This Row],[Distance(km)]]/VehicleRangeKm)*100)</f>
        <v>0</v>
      </c>
      <c r="I98" s="2">
        <f>6371*ACOS(SIN(RADIANS(MyLat))*SIN(RADIANS(EVCleanedDataset[[#This Row],[Latitude]]))+COS(RADIANS(MyLat))*COS(RADIANS(EVCleanedDataset[[#This Row],[Latitude]]))*COS(RADIANS(EVCleanedDataset[[#This Row],[Longitude]]-MyLong)))</f>
        <v>287.47563896326938</v>
      </c>
      <c r="J98">
        <f t="shared" si="3"/>
        <v>6</v>
      </c>
      <c r="K9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44.96578409160081</v>
      </c>
      <c r="L98" t="str">
        <f>IF(EVCleanedDataset[[#This Row],[Score]]&gt;50,"Yes","No")</f>
        <v>No</v>
      </c>
    </row>
    <row r="99" spans="1:12" x14ac:dyDescent="0.3">
      <c r="A99" t="s">
        <v>2804</v>
      </c>
      <c r="B99" t="s">
        <v>41</v>
      </c>
      <c r="C99" t="s">
        <v>119</v>
      </c>
      <c r="D99">
        <v>18.9285</v>
      </c>
      <c r="E99">
        <v>72.825500000000005</v>
      </c>
      <c r="F99">
        <f>IF(COUNTIF($C$5:C99,C99)=1,1,0)</f>
        <v>1</v>
      </c>
      <c r="G99" s="2">
        <f t="shared" si="2"/>
        <v>769.43242101132819</v>
      </c>
      <c r="H99" s="2">
        <f>MAX(0, MyBattery - (EVCleanedDataset[[#This Row],[Distance(km)]]/VehicleRangeKm)*100)</f>
        <v>0</v>
      </c>
      <c r="I99" s="2">
        <f>6371*ACOS(SIN(RADIANS(MyLat))*SIN(RADIANS(EVCleanedDataset[[#This Row],[Latitude]]))+COS(RADIANS(MyLat))*COS(RADIANS(EVCleanedDataset[[#This Row],[Latitude]]))*COS(RADIANS(EVCleanedDataset[[#This Row],[Longitude]]-MyLong)))</f>
        <v>798.71599741979446</v>
      </c>
      <c r="J99">
        <f t="shared" si="3"/>
        <v>3</v>
      </c>
      <c r="K99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46.011312347018155</v>
      </c>
      <c r="L99" t="str">
        <f>IF(EVCleanedDataset[[#This Row],[Score]]&gt;50,"Yes","No")</f>
        <v>No</v>
      </c>
    </row>
    <row r="100" spans="1:12" x14ac:dyDescent="0.3">
      <c r="A100" t="s">
        <v>339</v>
      </c>
      <c r="B100" t="s">
        <v>150</v>
      </c>
      <c r="C100" t="s">
        <v>1341</v>
      </c>
      <c r="D100">
        <v>12.922300338745099</v>
      </c>
      <c r="E100">
        <v>77.495498657226605</v>
      </c>
      <c r="F100">
        <f>IF(COUNTIF($C$5:C100,C100)=1,1,0)</f>
        <v>0</v>
      </c>
      <c r="G100" s="2" t="str">
        <f t="shared" si="2"/>
        <v/>
      </c>
      <c r="H100" s="2">
        <f>MAX(0, MyBattery - (EVCleanedDataset[[#This Row],[Distance(km)]]/VehicleRangeKm)*100)</f>
        <v>54.107505687331106</v>
      </c>
      <c r="I100" s="2">
        <f>6371*ACOS(SIN(RADIANS(MyLat))*SIN(RADIANS(EVCleanedDataset[[#This Row],[Latitude]]))+COS(RADIANS(MyLat))*COS(RADIANS(EVCleanedDataset[[#This Row],[Latitude]]))*COS(RADIANS(EVCleanedDataset[[#This Row],[Longitude]]-MyLong)))</f>
        <v>47.677482938006683</v>
      </c>
      <c r="J100">
        <f t="shared" si="3"/>
        <v>0</v>
      </c>
      <c r="K100" s="5">
        <f>((1-(EVCleanedDataset[[#This Row],[Distance(km)]]/MAX($I$5:$I$1121)))*0.4 + (1-(EVCleanedDataset[[#This Row],[QueueLength]]/MAX($J$5:$J$1121)))*0.3 + (EVCleanedDataset[[#This Row],[EstimatedBatteryOnArrival]]/100)*0.3 + (ROW()/10000000))*100</f>
        <v>85.398170626362514</v>
      </c>
      <c r="L100" t="str">
        <f>IF(EVCleanedDataset[[#This Row],[Score]]&gt;50,"Yes","No")</f>
        <v>Yes</v>
      </c>
    </row>
    <row r="101" spans="1:12" x14ac:dyDescent="0.3">
      <c r="A101" t="s">
        <v>2762</v>
      </c>
      <c r="B101" t="s">
        <v>502</v>
      </c>
      <c r="C101" t="s">
        <v>1346</v>
      </c>
      <c r="D101">
        <v>13.62754649</v>
      </c>
      <c r="E101">
        <v>79.430563829999997</v>
      </c>
      <c r="F101">
        <f>IF(COUNTIF($C$5:C101,C101)=1,1,0)</f>
        <v>1</v>
      </c>
      <c r="G101" s="2">
        <f t="shared" si="2"/>
        <v>201.80369077791889</v>
      </c>
      <c r="H101" s="2">
        <f>MAX(0, MyBattery - (EVCleanedDataset[[#This Row],[Distance(km)]]/VehicleRangeKm)*100)</f>
        <v>0.99351151584744457</v>
      </c>
      <c r="I101" s="2">
        <f>6371*ACOS(SIN(RADIANS(MyLat))*SIN(RADIANS(EVCleanedDataset[[#This Row],[Latitude]]))+COS(RADIANS(MyLat))*COS(RADIANS(EVCleanedDataset[[#This Row],[Latitude]]))*COS(RADIANS(EVCleanedDataset[[#This Row],[Longitude]]-MyLong)))</f>
        <v>207.01946545245767</v>
      </c>
      <c r="J101">
        <f t="shared" si="3"/>
        <v>7</v>
      </c>
      <c r="K101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43.33974091007633</v>
      </c>
      <c r="L101" t="str">
        <f>IF(EVCleanedDataset[[#This Row],[Score]]&gt;50,"Yes","No")</f>
        <v>No</v>
      </c>
    </row>
    <row r="102" spans="1:12" x14ac:dyDescent="0.3">
      <c r="A102" t="s">
        <v>3181</v>
      </c>
      <c r="B102" t="s">
        <v>150</v>
      </c>
      <c r="C102" t="s">
        <v>1341</v>
      </c>
      <c r="D102">
        <v>13.053353570000001</v>
      </c>
      <c r="E102">
        <v>77.543227239999993</v>
      </c>
      <c r="F102">
        <f>IF(COUNTIF($C$5:C102,C102)=1,1,0)</f>
        <v>0</v>
      </c>
      <c r="G102" s="2" t="str">
        <f t="shared" si="2"/>
        <v/>
      </c>
      <c r="H102" s="2">
        <f>MAX(0, MyBattery - (EVCleanedDataset[[#This Row],[Distance(km)]]/VehicleRangeKm)*100)</f>
        <v>59.035552403663758</v>
      </c>
      <c r="I102" s="2">
        <f>6371*ACOS(SIN(RADIANS(MyLat))*SIN(RADIANS(EVCleanedDataset[[#This Row],[Latitude]]))+COS(RADIANS(MyLat))*COS(RADIANS(EVCleanedDataset[[#This Row],[Latitude]]))*COS(RADIANS(EVCleanedDataset[[#This Row],[Longitude]]-MyLong)))</f>
        <v>32.893342789008734</v>
      </c>
      <c r="J102">
        <f t="shared" si="3"/>
        <v>4</v>
      </c>
      <c r="K102" s="5">
        <f>((1-(EVCleanedDataset[[#This Row],[Distance(km)]]/MAX($I$5:$I$1121)))*0.4 + (1-(EVCleanedDataset[[#This Row],[QueueLength]]/MAX($J$5:$J$1121)))*0.3 + (EVCleanedDataset[[#This Row],[EstimatedBatteryOnArrival]]/100)*0.3 + (ROW()/10000000))*100</f>
        <v>73.802218613015057</v>
      </c>
      <c r="L102" t="str">
        <f>IF(EVCleanedDataset[[#This Row],[Score]]&gt;50,"Yes","No")</f>
        <v>Yes</v>
      </c>
    </row>
    <row r="103" spans="1:12" x14ac:dyDescent="0.3">
      <c r="A103" t="s">
        <v>3030</v>
      </c>
      <c r="B103" t="s">
        <v>150</v>
      </c>
      <c r="C103" t="s">
        <v>1341</v>
      </c>
      <c r="D103">
        <v>12.99929</v>
      </c>
      <c r="E103">
        <v>77.549629999999993</v>
      </c>
      <c r="F103">
        <f>IF(COUNTIF($C$5:C103,C103)=1,1,0)</f>
        <v>0</v>
      </c>
      <c r="G103" s="2" t="str">
        <f t="shared" si="2"/>
        <v/>
      </c>
      <c r="H103" s="2">
        <f>MAX(0, MyBattery - (EVCleanedDataset[[#This Row],[Distance(km)]]/VehicleRangeKm)*100)</f>
        <v>57.026252211472006</v>
      </c>
      <c r="I103" s="2">
        <f>6371*ACOS(SIN(RADIANS(MyLat))*SIN(RADIANS(EVCleanedDataset[[#This Row],[Latitude]]))+COS(RADIANS(MyLat))*COS(RADIANS(EVCleanedDataset[[#This Row],[Latitude]]))*COS(RADIANS(EVCleanedDataset[[#This Row],[Longitude]]-MyLong)))</f>
        <v>38.921243365583976</v>
      </c>
      <c r="J103">
        <f t="shared" si="3"/>
        <v>1</v>
      </c>
      <c r="K103" s="5">
        <f>((1-(EVCleanedDataset[[#This Row],[Distance(km)]]/MAX($I$5:$I$1121)))*0.4 + (1-(EVCleanedDataset[[#This Row],[QueueLength]]/MAX($J$5:$J$1121)))*0.3 + (EVCleanedDataset[[#This Row],[EstimatedBatteryOnArrival]]/100)*0.3 + (ROW()/10000000))*100</f>
        <v>83.093858616727374</v>
      </c>
      <c r="L103" t="str">
        <f>IF(EVCleanedDataset[[#This Row],[Score]]&gt;50,"Yes","No")</f>
        <v>Yes</v>
      </c>
    </row>
    <row r="104" spans="1:12" x14ac:dyDescent="0.3">
      <c r="A104" t="s">
        <v>2324</v>
      </c>
      <c r="B104" t="s">
        <v>41</v>
      </c>
      <c r="C104" t="s">
        <v>119</v>
      </c>
      <c r="D104">
        <v>19.095268999999998</v>
      </c>
      <c r="E104">
        <v>72.926195000000007</v>
      </c>
      <c r="F104">
        <f>IF(COUNTIF($C$5:C104,C104)=1,1,0)</f>
        <v>0</v>
      </c>
      <c r="G104" s="2" t="str">
        <f t="shared" si="2"/>
        <v/>
      </c>
      <c r="H104" s="2">
        <f>MAX(0, MyBattery - (EVCleanedDataset[[#This Row],[Distance(km)]]/VehicleRangeKm)*100)</f>
        <v>0</v>
      </c>
      <c r="I104" s="2">
        <f>6371*ACOS(SIN(RADIANS(MyLat))*SIN(RADIANS(EVCleanedDataset[[#This Row],[Latitude]]))+COS(RADIANS(MyLat))*COS(RADIANS(EVCleanedDataset[[#This Row],[Latitude]]))*COS(RADIANS(EVCleanedDataset[[#This Row],[Longitude]]-MyLong)))</f>
        <v>806.46210258404449</v>
      </c>
      <c r="J104">
        <f t="shared" si="3"/>
        <v>8</v>
      </c>
      <c r="K10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29.209021029206372</v>
      </c>
      <c r="L104" t="str">
        <f>IF(EVCleanedDataset[[#This Row],[Score]]&gt;50,"Yes","No")</f>
        <v>No</v>
      </c>
    </row>
    <row r="105" spans="1:12" x14ac:dyDescent="0.3">
      <c r="A105" t="s">
        <v>333</v>
      </c>
      <c r="B105" t="s">
        <v>150</v>
      </c>
      <c r="C105" t="s">
        <v>1341</v>
      </c>
      <c r="D105">
        <v>12.922504</v>
      </c>
      <c r="E105">
        <v>77.584760000000003</v>
      </c>
      <c r="F105">
        <f>IF(COUNTIF($C$5:C105,C105)=1,1,0)</f>
        <v>0</v>
      </c>
      <c r="G105" s="2" t="str">
        <f t="shared" si="2"/>
        <v/>
      </c>
      <c r="H105" s="2">
        <f>MAX(0, MyBattery - (EVCleanedDataset[[#This Row],[Distance(km)]]/VehicleRangeKm)*100)</f>
        <v>54.095842976090921</v>
      </c>
      <c r="I105" s="2">
        <f>6371*ACOS(SIN(RADIANS(MyLat))*SIN(RADIANS(EVCleanedDataset[[#This Row],[Latitude]]))+COS(RADIANS(MyLat))*COS(RADIANS(EVCleanedDataset[[#This Row],[Latitude]]))*COS(RADIANS(EVCleanedDataset[[#This Row],[Longitude]]-MyLong)))</f>
        <v>47.712471071727229</v>
      </c>
      <c r="J105">
        <f t="shared" si="3"/>
        <v>5</v>
      </c>
      <c r="K105" s="5">
        <f>((1-(EVCleanedDataset[[#This Row],[Distance(km)]]/MAX($I$5:$I$1121)))*0.4 + (1-(EVCleanedDataset[[#This Row],[QueueLength]]/MAX($J$5:$J$1121)))*0.3 + (EVCleanedDataset[[#This Row],[EstimatedBatteryOnArrival]]/100)*0.3 + (ROW()/10000000))*100</f>
        <v>68.727442321848002</v>
      </c>
      <c r="L105" t="str">
        <f>IF(EVCleanedDataset[[#This Row],[Score]]&gt;50,"Yes","No")</f>
        <v>Yes</v>
      </c>
    </row>
    <row r="106" spans="1:12" x14ac:dyDescent="0.3">
      <c r="A106" t="s">
        <v>3341</v>
      </c>
      <c r="B106" t="s">
        <v>386</v>
      </c>
      <c r="C106" t="s">
        <v>1807</v>
      </c>
      <c r="D106">
        <v>10.542809999999999</v>
      </c>
      <c r="E106">
        <v>76.184562</v>
      </c>
      <c r="F106">
        <f>IF(COUNTIF($C$5:C106,C106)=1,1,0)</f>
        <v>0</v>
      </c>
      <c r="G106" s="2" t="str">
        <f t="shared" si="2"/>
        <v/>
      </c>
      <c r="H106" s="2">
        <f>MAX(0, MyBattery - (EVCleanedDataset[[#This Row],[Distance(km)]]/VehicleRangeKm)*100)</f>
        <v>0</v>
      </c>
      <c r="I106" s="2">
        <f>6371*ACOS(SIN(RADIANS(MyLat))*SIN(RADIANS(EVCleanedDataset[[#This Row],[Latitude]]))+COS(RADIANS(MyLat))*COS(RADIANS(EVCleanedDataset[[#This Row],[Latitude]]))*COS(RADIANS(EVCleanedDataset[[#This Row],[Longitude]]-MyLong)))</f>
        <v>345.00907727289956</v>
      </c>
      <c r="J106">
        <f t="shared" si="3"/>
        <v>2</v>
      </c>
      <c r="K106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57.291487226541292</v>
      </c>
      <c r="L106" t="str">
        <f>IF(EVCleanedDataset[[#This Row],[Score]]&gt;50,"Yes","No")</f>
        <v>Yes</v>
      </c>
    </row>
    <row r="107" spans="1:12" x14ac:dyDescent="0.3">
      <c r="A107" t="s">
        <v>3167</v>
      </c>
      <c r="B107" t="s">
        <v>386</v>
      </c>
      <c r="C107" t="s">
        <v>1807</v>
      </c>
      <c r="D107">
        <v>10.560449240000001</v>
      </c>
      <c r="E107">
        <v>76.217144239999996</v>
      </c>
      <c r="F107">
        <f>IF(COUNTIF($C$5:C107,C107)=1,1,0)</f>
        <v>0</v>
      </c>
      <c r="G107" s="2" t="str">
        <f t="shared" si="2"/>
        <v/>
      </c>
      <c r="H107" s="2">
        <f>MAX(0, MyBattery - (EVCleanedDataset[[#This Row],[Distance(km)]]/VehicleRangeKm)*100)</f>
        <v>0</v>
      </c>
      <c r="I107" s="2">
        <f>6371*ACOS(SIN(RADIANS(MyLat))*SIN(RADIANS(EVCleanedDataset[[#This Row],[Latitude]]))+COS(RADIANS(MyLat))*COS(RADIANS(EVCleanedDataset[[#This Row],[Latitude]]))*COS(RADIANS(EVCleanedDataset[[#This Row],[Longitude]]-MyLong)))</f>
        <v>341.72964024229714</v>
      </c>
      <c r="J107">
        <f t="shared" si="3"/>
        <v>9</v>
      </c>
      <c r="K10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34.015603918310241</v>
      </c>
      <c r="L107" t="str">
        <f>IF(EVCleanedDataset[[#This Row],[Score]]&gt;50,"Yes","No")</f>
        <v>No</v>
      </c>
    </row>
    <row r="108" spans="1:12" x14ac:dyDescent="0.3">
      <c r="A108" t="s">
        <v>2915</v>
      </c>
      <c r="B108" t="s">
        <v>41</v>
      </c>
      <c r="C108" t="s">
        <v>119</v>
      </c>
      <c r="D108">
        <v>19.114614599999999</v>
      </c>
      <c r="E108">
        <v>72.884094099999999</v>
      </c>
      <c r="F108">
        <f>IF(COUNTIF($C$5:C108,C108)=1,1,0)</f>
        <v>0</v>
      </c>
      <c r="G108" s="2" t="str">
        <f t="shared" si="2"/>
        <v/>
      </c>
      <c r="H108" s="2">
        <f>MAX(0, MyBattery - (EVCleanedDataset[[#This Row],[Distance(km)]]/VehicleRangeKm)*100)</f>
        <v>0</v>
      </c>
      <c r="I108" s="2">
        <f>6371*ACOS(SIN(RADIANS(MyLat))*SIN(RADIANS(EVCleanedDataset[[#This Row],[Latitude]]))+COS(RADIANS(MyLat))*COS(RADIANS(EVCleanedDataset[[#This Row],[Latitude]]))*COS(RADIANS(EVCleanedDataset[[#This Row],[Longitude]]-MyLong)))</f>
        <v>810.89450310422387</v>
      </c>
      <c r="J108">
        <f t="shared" si="3"/>
        <v>6</v>
      </c>
      <c r="K10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35.798093274243158</v>
      </c>
      <c r="L108" t="str">
        <f>IF(EVCleanedDataset[[#This Row],[Score]]&gt;50,"Yes","No")</f>
        <v>No</v>
      </c>
    </row>
    <row r="109" spans="1:12" x14ac:dyDescent="0.3">
      <c r="A109" t="s">
        <v>819</v>
      </c>
      <c r="B109" t="s">
        <v>150</v>
      </c>
      <c r="C109" t="s">
        <v>1341</v>
      </c>
      <c r="D109">
        <v>13.022914999999999</v>
      </c>
      <c r="E109">
        <v>77.639337999999995</v>
      </c>
      <c r="F109">
        <f>IF(COUNTIF($C$5:C109,C109)=1,1,0)</f>
        <v>0</v>
      </c>
      <c r="G109" s="2" t="str">
        <f t="shared" si="2"/>
        <v/>
      </c>
      <c r="H109" s="2">
        <f>MAX(0, MyBattery - (EVCleanedDataset[[#This Row],[Distance(km)]]/VehicleRangeKm)*100)</f>
        <v>57.3631723501138</v>
      </c>
      <c r="I109" s="2">
        <f>6371*ACOS(SIN(RADIANS(MyLat))*SIN(RADIANS(EVCleanedDataset[[#This Row],[Latitude]]))+COS(RADIANS(MyLat))*COS(RADIANS(EVCleanedDataset[[#This Row],[Latitude]]))*COS(RADIANS(EVCleanedDataset[[#This Row],[Longitude]]-MyLong)))</f>
        <v>37.910482949658601</v>
      </c>
      <c r="J109">
        <f t="shared" si="3"/>
        <v>3</v>
      </c>
      <c r="K109" s="5">
        <f>((1-(EVCleanedDataset[[#This Row],[Distance(km)]]/MAX($I$5:$I$1121)))*0.4 + (1-(EVCleanedDataset[[#This Row],[QueueLength]]/MAX($J$5:$J$1121)))*0.3 + (EVCleanedDataset[[#This Row],[EstimatedBatteryOnArrival]]/100)*0.3 + (ROW()/10000000))*100</f>
        <v>76.546031671620668</v>
      </c>
      <c r="L109" t="str">
        <f>IF(EVCleanedDataset[[#This Row],[Score]]&gt;50,"Yes","No")</f>
        <v>Yes</v>
      </c>
    </row>
    <row r="110" spans="1:12" x14ac:dyDescent="0.3">
      <c r="A110" t="s">
        <v>3058</v>
      </c>
      <c r="B110" t="s">
        <v>150</v>
      </c>
      <c r="C110" t="s">
        <v>1341</v>
      </c>
      <c r="D110">
        <v>12.96495904</v>
      </c>
      <c r="E110">
        <v>77.644234530000006</v>
      </c>
      <c r="F110">
        <f>IF(COUNTIF($C$5:C110,C110)=1,1,0)</f>
        <v>0</v>
      </c>
      <c r="G110" s="2" t="str">
        <f t="shared" si="2"/>
        <v/>
      </c>
      <c r="H110" s="2">
        <f>MAX(0, MyBattery - (EVCleanedDataset[[#This Row],[Distance(km)]]/VehicleRangeKm)*100)</f>
        <v>55.24932841343643</v>
      </c>
      <c r="I110" s="2">
        <f>6371*ACOS(SIN(RADIANS(MyLat))*SIN(RADIANS(EVCleanedDataset[[#This Row],[Latitude]]))+COS(RADIANS(MyLat))*COS(RADIANS(EVCleanedDataset[[#This Row],[Latitude]]))*COS(RADIANS(EVCleanedDataset[[#This Row],[Longitude]]-MyLong)))</f>
        <v>44.252014759690702</v>
      </c>
      <c r="J110">
        <f t="shared" si="3"/>
        <v>0</v>
      </c>
      <c r="K110" s="5">
        <f>((1-(EVCleanedDataset[[#This Row],[Distance(km)]]/MAX($I$5:$I$1121)))*0.4 + (1-(EVCleanedDataset[[#This Row],[QueueLength]]/MAX($J$5:$J$1121)))*0.3 + (EVCleanedDataset[[#This Row],[EstimatedBatteryOnArrival]]/100)*0.3 + (ROW()/10000000))*100</f>
        <v>85.80081523537396</v>
      </c>
      <c r="L110" t="str">
        <f>IF(EVCleanedDataset[[#This Row],[Score]]&gt;50,"Yes","No")</f>
        <v>Yes</v>
      </c>
    </row>
    <row r="111" spans="1:12" x14ac:dyDescent="0.3">
      <c r="A111" t="s">
        <v>426</v>
      </c>
      <c r="B111" t="s">
        <v>150</v>
      </c>
      <c r="C111" t="s">
        <v>1341</v>
      </c>
      <c r="D111">
        <v>12.917819</v>
      </c>
      <c r="E111">
        <v>77.649209999999997</v>
      </c>
      <c r="F111">
        <f>IF(COUNTIF($C$5:C111,C111)=1,1,0)</f>
        <v>0</v>
      </c>
      <c r="G111" s="2" t="str">
        <f t="shared" si="2"/>
        <v/>
      </c>
      <c r="H111" s="2">
        <f>MAX(0, MyBattery - (EVCleanedDataset[[#This Row],[Distance(km)]]/VehicleRangeKm)*100)</f>
        <v>53.513294987183258</v>
      </c>
      <c r="I111" s="2">
        <f>6371*ACOS(SIN(RADIANS(MyLat))*SIN(RADIANS(EVCleanedDataset[[#This Row],[Latitude]]))+COS(RADIANS(MyLat))*COS(RADIANS(EVCleanedDataset[[#This Row],[Latitude]]))*COS(RADIANS(EVCleanedDataset[[#This Row],[Longitude]]-MyLong)))</f>
        <v>49.46011503845024</v>
      </c>
      <c r="J111">
        <f t="shared" si="3"/>
        <v>7</v>
      </c>
      <c r="K111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61.855460909116246</v>
      </c>
      <c r="L111" t="str">
        <f>IF(EVCleanedDataset[[#This Row],[Score]]&gt;50,"Yes","No")</f>
        <v>Yes</v>
      </c>
    </row>
    <row r="112" spans="1:12" x14ac:dyDescent="0.3">
      <c r="A112" t="s">
        <v>3379</v>
      </c>
      <c r="B112" t="s">
        <v>150</v>
      </c>
      <c r="C112" t="s">
        <v>1341</v>
      </c>
      <c r="D112">
        <v>13.189056000000001</v>
      </c>
      <c r="E112">
        <v>77.644524000000004</v>
      </c>
      <c r="F112">
        <f>IF(COUNTIF($C$5:C112,C112)=1,1,0)</f>
        <v>0</v>
      </c>
      <c r="G112" s="2" t="str">
        <f t="shared" si="2"/>
        <v/>
      </c>
      <c r="H112" s="2">
        <f>MAX(0, MyBattery - (EVCleanedDataset[[#This Row],[Distance(km)]]/VehicleRangeKm)*100)</f>
        <v>62.921763754290993</v>
      </c>
      <c r="I112" s="2">
        <f>6371*ACOS(SIN(RADIANS(MyLat))*SIN(RADIANS(EVCleanedDataset[[#This Row],[Latitude]]))+COS(RADIANS(MyLat))*COS(RADIANS(EVCleanedDataset[[#This Row],[Latitude]]))*COS(RADIANS(EVCleanedDataset[[#This Row],[Longitude]]-MyLong)))</f>
        <v>21.234708737127015</v>
      </c>
      <c r="J112">
        <f t="shared" si="3"/>
        <v>4</v>
      </c>
      <c r="K112" s="5">
        <f>((1-(EVCleanedDataset[[#This Row],[Distance(km)]]/MAX($I$5:$I$1121)))*0.4 + (1-(EVCleanedDataset[[#This Row],[QueueLength]]/MAX($J$5:$J$1121)))*0.3 + (EVCleanedDataset[[#This Row],[EstimatedBatteryOnArrival]]/100)*0.3 + (ROW()/10000000))*100</f>
        <v>75.172385430663709</v>
      </c>
      <c r="L112" t="str">
        <f>IF(EVCleanedDataset[[#This Row],[Score]]&gt;50,"Yes","No")</f>
        <v>Yes</v>
      </c>
    </row>
    <row r="113" spans="1:12" x14ac:dyDescent="0.3">
      <c r="A113" t="s">
        <v>3225</v>
      </c>
      <c r="B113" t="s">
        <v>49</v>
      </c>
      <c r="C113" t="s">
        <v>1828</v>
      </c>
      <c r="D113">
        <v>12.16381</v>
      </c>
      <c r="E113">
        <v>79.611459999999994</v>
      </c>
      <c r="F113">
        <f>IF(COUNTIF($C$5:C113,C113)=1,1,0)</f>
        <v>1</v>
      </c>
      <c r="G113" s="2">
        <f t="shared" si="2"/>
        <v>260.68815361620483</v>
      </c>
      <c r="H113" s="2">
        <f>MAX(0, MyBattery - (EVCleanedDataset[[#This Row],[Distance(km)]]/VehicleRangeKm)*100)</f>
        <v>0</v>
      </c>
      <c r="I113" s="2">
        <f>6371*ACOS(SIN(RADIANS(MyLat))*SIN(RADIANS(EVCleanedDataset[[#This Row],[Latitude]]))+COS(RADIANS(MyLat))*COS(RADIANS(EVCleanedDataset[[#This Row],[Latitude]]))*COS(RADIANS(EVCleanedDataset[[#This Row],[Longitude]]-MyLong)))</f>
        <v>260.68815361620483</v>
      </c>
      <c r="J113">
        <f t="shared" si="3"/>
        <v>1</v>
      </c>
      <c r="K113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62.101789163595555</v>
      </c>
      <c r="L113" t="str">
        <f>IF(EVCleanedDataset[[#This Row],[Score]]&gt;50,"Yes","No")</f>
        <v>Yes</v>
      </c>
    </row>
    <row r="114" spans="1:12" x14ac:dyDescent="0.3">
      <c r="A114" t="s">
        <v>3360</v>
      </c>
      <c r="B114" t="s">
        <v>41</v>
      </c>
      <c r="C114" t="s">
        <v>166</v>
      </c>
      <c r="D114">
        <v>19.256119999999999</v>
      </c>
      <c r="E114">
        <v>72.971450000000004</v>
      </c>
      <c r="F114">
        <f>IF(COUNTIF($C$5:C114,C114)=1,1,0)</f>
        <v>1</v>
      </c>
      <c r="G114" s="2">
        <f t="shared" si="2"/>
        <v>817.69116954366007</v>
      </c>
      <c r="H114" s="2">
        <f>MAX(0, MyBattery - (EVCleanedDataset[[#This Row],[Distance(km)]]/VehicleRangeKm)*100)</f>
        <v>0</v>
      </c>
      <c r="I114" s="2">
        <f>6371*ACOS(SIN(RADIANS(MyLat))*SIN(RADIANS(EVCleanedDataset[[#This Row],[Latitude]]))+COS(RADIANS(MyLat))*COS(RADIANS(EVCleanedDataset[[#This Row],[Latitude]]))*COS(RADIANS(EVCleanedDataset[[#This Row],[Longitude]]-MyLong)))</f>
        <v>817.69116954366007</v>
      </c>
      <c r="J114">
        <f t="shared" si="3"/>
        <v>8</v>
      </c>
      <c r="K11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29.012441574160718</v>
      </c>
      <c r="L114" t="str">
        <f>IF(EVCleanedDataset[[#This Row],[Score]]&gt;50,"Yes","No")</f>
        <v>No</v>
      </c>
    </row>
    <row r="115" spans="1:12" x14ac:dyDescent="0.3">
      <c r="A115" t="s">
        <v>3037</v>
      </c>
      <c r="B115" t="s">
        <v>150</v>
      </c>
      <c r="C115" t="s">
        <v>1341</v>
      </c>
      <c r="D115">
        <v>12.977202220000001</v>
      </c>
      <c r="E115">
        <v>77.729745460000004</v>
      </c>
      <c r="F115">
        <f>IF(COUNTIF($C$5:C115,C115)=1,1,0)</f>
        <v>0</v>
      </c>
      <c r="G115" s="2" t="str">
        <f t="shared" si="2"/>
        <v/>
      </c>
      <c r="H115" s="2">
        <f>MAX(0, MyBattery - (EVCleanedDataset[[#This Row],[Distance(km)]]/VehicleRangeKm)*100)</f>
        <v>54.56743470607806</v>
      </c>
      <c r="I115" s="2">
        <f>6371*ACOS(SIN(RADIANS(MyLat))*SIN(RADIANS(EVCleanedDataset[[#This Row],[Latitude]]))+COS(RADIANS(MyLat))*COS(RADIANS(EVCleanedDataset[[#This Row],[Latitude]]))*COS(RADIANS(EVCleanedDataset[[#This Row],[Longitude]]-MyLong)))</f>
        <v>46.297695881765819</v>
      </c>
      <c r="J115">
        <f t="shared" si="3"/>
        <v>5</v>
      </c>
      <c r="K115" s="5">
        <f>((1-(EVCleanedDataset[[#This Row],[Distance(km)]]/MAX($I$5:$I$1121)))*0.4 + (1-(EVCleanedDataset[[#This Row],[QueueLength]]/MAX($J$5:$J$1121)))*0.3 + (EVCleanedDataset[[#This Row],[EstimatedBatteryOnArrival]]/100)*0.3 + (ROW()/10000000))*100</f>
        <v>68.893799924031327</v>
      </c>
      <c r="L115" t="str">
        <f>IF(EVCleanedDataset[[#This Row],[Score]]&gt;50,"Yes","No")</f>
        <v>Yes</v>
      </c>
    </row>
    <row r="116" spans="1:12" x14ac:dyDescent="0.3">
      <c r="A116" t="s">
        <v>2049</v>
      </c>
      <c r="B116" t="s">
        <v>386</v>
      </c>
      <c r="C116" t="s">
        <v>2050</v>
      </c>
      <c r="D116">
        <v>10.855946100000001</v>
      </c>
      <c r="E116">
        <v>76.862530899999996</v>
      </c>
      <c r="F116">
        <f>IF(COUNTIF($C$5:C116,C116)=1,1,0)</f>
        <v>1</v>
      </c>
      <c r="G116" s="2">
        <f t="shared" si="2"/>
        <v>286.77504997577415</v>
      </c>
      <c r="H116" s="2">
        <f>MAX(0, MyBattery - (EVCleanedDataset[[#This Row],[Distance(km)]]/VehicleRangeKm)*100)</f>
        <v>0</v>
      </c>
      <c r="I116" s="2">
        <f>6371*ACOS(SIN(RADIANS(MyLat))*SIN(RADIANS(EVCleanedDataset[[#This Row],[Latitude]]))+COS(RADIANS(MyLat))*COS(RADIANS(EVCleanedDataset[[#This Row],[Latitude]]))*COS(RADIANS(EVCleanedDataset[[#This Row],[Longitude]]-MyLong)))</f>
        <v>286.77504997577415</v>
      </c>
      <c r="J116">
        <f t="shared" si="3"/>
        <v>2</v>
      </c>
      <c r="K11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58.311568387496507</v>
      </c>
      <c r="L116" t="str">
        <f>IF(EVCleanedDataset[[#This Row],[Score]]&gt;50,"Yes","No")</f>
        <v>Yes</v>
      </c>
    </row>
    <row r="117" spans="1:12" x14ac:dyDescent="0.3">
      <c r="A117" t="s">
        <v>2905</v>
      </c>
      <c r="B117" t="s">
        <v>386</v>
      </c>
      <c r="C117" t="s">
        <v>3378</v>
      </c>
      <c r="D117">
        <v>8.5493330000000007</v>
      </c>
      <c r="E117">
        <v>76.877257</v>
      </c>
      <c r="F117">
        <f>IF(COUNTIF($C$5:C117,C117)=1,1,0)</f>
        <v>0</v>
      </c>
      <c r="G117" s="2" t="str">
        <f t="shared" si="2"/>
        <v/>
      </c>
      <c r="H117" s="2">
        <f>MAX(0, MyBattery - (EVCleanedDataset[[#This Row],[Distance(km)]]/VehicleRangeKm)*100)</f>
        <v>0</v>
      </c>
      <c r="I117" s="2">
        <f>6371*ACOS(SIN(RADIANS(MyLat))*SIN(RADIANS(EVCleanedDataset[[#This Row],[Latitude]]))+COS(RADIANS(MyLat))*COS(RADIANS(EVCleanedDataset[[#This Row],[Latitude]]))*COS(RADIANS(EVCleanedDataset[[#This Row],[Longitude]]-MyLong)))</f>
        <v>538.55398548833091</v>
      </c>
      <c r="J117">
        <f t="shared" si="3"/>
        <v>9</v>
      </c>
      <c r="K117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30.568284368499949</v>
      </c>
      <c r="L117" t="str">
        <f>IF(EVCleanedDataset[[#This Row],[Score]]&gt;50,"Yes","No")</f>
        <v>No</v>
      </c>
    </row>
    <row r="118" spans="1:12" x14ac:dyDescent="0.3">
      <c r="A118" t="s">
        <v>3211</v>
      </c>
      <c r="B118" t="s">
        <v>49</v>
      </c>
      <c r="C118" t="s">
        <v>2764</v>
      </c>
      <c r="D118">
        <v>11.175093</v>
      </c>
      <c r="E118">
        <v>77.263373999999999</v>
      </c>
      <c r="F118">
        <f>IF(COUNTIF($C$5:C118,C118)=1,1,0)</f>
        <v>1</v>
      </c>
      <c r="G118" s="2">
        <f t="shared" si="2"/>
        <v>243.56855056707445</v>
      </c>
      <c r="H118" s="2">
        <f>MAX(0, MyBattery - (EVCleanedDataset[[#This Row],[Distance(km)]]/VehicleRangeKm)*100)</f>
        <v>0</v>
      </c>
      <c r="I118" s="2">
        <f>6371*ACOS(SIN(RADIANS(MyLat))*SIN(RADIANS(EVCleanedDataset[[#This Row],[Latitude]]))+COS(RADIANS(MyLat))*COS(RADIANS(EVCleanedDataset[[#This Row],[Latitude]]))*COS(RADIANS(EVCleanedDataset[[#This Row],[Longitude]]-MyLong)))</f>
        <v>243.56855056707445</v>
      </c>
      <c r="J118">
        <f t="shared" si="3"/>
        <v>6</v>
      </c>
      <c r="K118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45.735025922900086</v>
      </c>
      <c r="L118" t="str">
        <f>IF(EVCleanedDataset[[#This Row],[Score]]&gt;50,"Yes","No")</f>
        <v>No</v>
      </c>
    </row>
    <row r="119" spans="1:12" x14ac:dyDescent="0.3">
      <c r="A119" t="s">
        <v>2897</v>
      </c>
      <c r="B119" t="s">
        <v>386</v>
      </c>
      <c r="C119" t="s">
        <v>3378</v>
      </c>
      <c r="D119">
        <v>8.4997772000000005</v>
      </c>
      <c r="E119">
        <v>76.954264699999996</v>
      </c>
      <c r="F119">
        <f>IF(COUNTIF($C$5:C119,C119)=1,1,0)</f>
        <v>0</v>
      </c>
      <c r="G119" s="2" t="str">
        <f t="shared" si="2"/>
        <v/>
      </c>
      <c r="H119" s="2">
        <f>MAX(0, MyBattery - (EVCleanedDataset[[#This Row],[Distance(km)]]/VehicleRangeKm)*100)</f>
        <v>0</v>
      </c>
      <c r="I119" s="2">
        <f>6371*ACOS(SIN(RADIANS(MyLat))*SIN(RADIANS(EVCleanedDataset[[#This Row],[Latitude]]))+COS(RADIANS(MyLat))*COS(RADIANS(EVCleanedDataset[[#This Row],[Latitude]]))*COS(RADIANS(EVCleanedDataset[[#This Row],[Longitude]]-MyLong)))</f>
        <v>542.96660267437596</v>
      </c>
      <c r="J119">
        <f t="shared" si="3"/>
        <v>3</v>
      </c>
      <c r="K119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50.491016456102798</v>
      </c>
      <c r="L119" t="str">
        <f>IF(EVCleanedDataset[[#This Row],[Score]]&gt;50,"Yes","No")</f>
        <v>Yes</v>
      </c>
    </row>
    <row r="120" spans="1:12" x14ac:dyDescent="0.3">
      <c r="A120" t="s">
        <v>2770</v>
      </c>
      <c r="B120" t="s">
        <v>49</v>
      </c>
      <c r="C120" t="s">
        <v>2689</v>
      </c>
      <c r="D120">
        <v>12.717075100000001</v>
      </c>
      <c r="E120">
        <v>77.876025999999996</v>
      </c>
      <c r="F120">
        <f>IF(COUNTIF($C$5:C120,C120)=1,1,0)</f>
        <v>1</v>
      </c>
      <c r="G120" s="2">
        <f t="shared" si="2"/>
        <v>79.27219092469187</v>
      </c>
      <c r="H120" s="2">
        <f>MAX(0, MyBattery - (EVCleanedDataset[[#This Row],[Distance(km)]]/VehicleRangeKm)*100)</f>
        <v>43.575936358436046</v>
      </c>
      <c r="I120" s="2">
        <f>6371*ACOS(SIN(RADIANS(MyLat))*SIN(RADIANS(EVCleanedDataset[[#This Row],[Latitude]]))+COS(RADIANS(MyLat))*COS(RADIANS(EVCleanedDataset[[#This Row],[Latitude]]))*COS(RADIANS(EVCleanedDataset[[#This Row],[Longitude]]-MyLong)))</f>
        <v>79.27219092469187</v>
      </c>
      <c r="J120">
        <f t="shared" si="3"/>
        <v>0</v>
      </c>
      <c r="K120" s="5">
        <f>((1-(EVCleanedDataset[[#This Row],[Distance(km)]]/MAX($I$5:$I$1121)))*0.4 + (1-(EVCleanedDataset[[#This Row],[QueueLength]]/MAX($J$5:$J$1121)))*0.3 + (EVCleanedDataset[[#This Row],[EstimatedBatteryOnArrival]]/100)*0.3 + (ROW()/10000000))*100</f>
        <v>81.685511912963776</v>
      </c>
      <c r="L120" t="str">
        <f>IF(EVCleanedDataset[[#This Row],[Score]]&gt;50,"Yes","No")</f>
        <v>Yes</v>
      </c>
    </row>
    <row r="121" spans="1:12" x14ac:dyDescent="0.3">
      <c r="A121" t="s">
        <v>3168</v>
      </c>
      <c r="B121" t="s">
        <v>386</v>
      </c>
      <c r="C121" t="s">
        <v>3378</v>
      </c>
      <c r="D121">
        <v>8.4928520840000008</v>
      </c>
      <c r="E121">
        <v>76.958014439999999</v>
      </c>
      <c r="F121">
        <f>IF(COUNTIF($C$5:C121,C121)=1,1,0)</f>
        <v>0</v>
      </c>
      <c r="G121" s="2" t="str">
        <f t="shared" si="2"/>
        <v/>
      </c>
      <c r="H121" s="2">
        <f>MAX(0, MyBattery - (EVCleanedDataset[[#This Row],[Distance(km)]]/VehicleRangeKm)*100)</f>
        <v>0</v>
      </c>
      <c r="I121" s="2">
        <f>6371*ACOS(SIN(RADIANS(MyLat))*SIN(RADIANS(EVCleanedDataset[[#This Row],[Latitude]]))+COS(RADIANS(MyLat))*COS(RADIANS(EVCleanedDataset[[#This Row],[Latitude]]))*COS(RADIANS(EVCleanedDataset[[#This Row],[Longitude]]-MyLong)))</f>
        <v>543.68365431100597</v>
      </c>
      <c r="J121">
        <f t="shared" si="3"/>
        <v>7</v>
      </c>
      <c r="K121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37.145143813466291</v>
      </c>
      <c r="L121" t="str">
        <f>IF(EVCleanedDataset[[#This Row],[Score]]&gt;50,"Yes","No")</f>
        <v>No</v>
      </c>
    </row>
    <row r="122" spans="1:12" x14ac:dyDescent="0.3">
      <c r="A122" t="s">
        <v>2604</v>
      </c>
      <c r="B122" t="s">
        <v>502</v>
      </c>
      <c r="C122" t="s">
        <v>2606</v>
      </c>
      <c r="D122">
        <v>13.83</v>
      </c>
      <c r="E122">
        <v>77.739999999999995</v>
      </c>
      <c r="F122">
        <f>IF(COUNTIF($C$5:C122,C122)=1,1,0)</f>
        <v>1</v>
      </c>
      <c r="G122" s="2">
        <f t="shared" si="2"/>
        <v>57.777113298446089</v>
      </c>
      <c r="H122" s="2">
        <f>MAX(0, MyBattery - (EVCleanedDataset[[#This Row],[Distance(km)]]/VehicleRangeKm)*100)</f>
        <v>50.740962233851306</v>
      </c>
      <c r="I122" s="2">
        <f>6371*ACOS(SIN(RADIANS(MyLat))*SIN(RADIANS(EVCleanedDataset[[#This Row],[Latitude]]))+COS(RADIANS(MyLat))*COS(RADIANS(EVCleanedDataset[[#This Row],[Latitude]]))*COS(RADIANS(EVCleanedDataset[[#This Row],[Longitude]]-MyLong)))</f>
        <v>57.777113298446089</v>
      </c>
      <c r="J122">
        <f t="shared" si="3"/>
        <v>4</v>
      </c>
      <c r="K122" s="5">
        <f>((1-(EVCleanedDataset[[#This Row],[Distance(km)]]/MAX($I$5:$I$1121)))*0.4 + (1-(EVCleanedDataset[[#This Row],[QueueLength]]/MAX($J$5:$J$1121)))*0.3 + (EVCleanedDataset[[#This Row],[EstimatedBatteryOnArrival]]/100)*0.3 + (ROW()/10000000))*100</f>
        <v>70.87819712006393</v>
      </c>
      <c r="L122" t="str">
        <f>IF(EVCleanedDataset[[#This Row],[Score]]&gt;50,"Yes","No")</f>
        <v>Yes</v>
      </c>
    </row>
    <row r="123" spans="1:12" x14ac:dyDescent="0.3">
      <c r="A123" t="s">
        <v>2853</v>
      </c>
      <c r="B123" t="s">
        <v>150</v>
      </c>
      <c r="C123" t="s">
        <v>293</v>
      </c>
      <c r="D123">
        <v>13.331899999999999</v>
      </c>
      <c r="E123">
        <v>75.773099999999999</v>
      </c>
      <c r="F123">
        <f>IF(COUNTIF($C$5:C123,C123)=1,1,0)</f>
        <v>1</v>
      </c>
      <c r="G123" s="2">
        <f t="shared" si="2"/>
        <v>186.05739650532004</v>
      </c>
      <c r="H123" s="2">
        <f>MAX(0, MyBattery - (EVCleanedDataset[[#This Row],[Distance(km)]]/VehicleRangeKm)*100)</f>
        <v>6.3638775320995649</v>
      </c>
      <c r="I123" s="2">
        <f>6371*ACOS(SIN(RADIANS(MyLat))*SIN(RADIANS(EVCleanedDataset[[#This Row],[Latitude]]))+COS(RADIANS(MyLat))*COS(RADIANS(EVCleanedDataset[[#This Row],[Latitude]]))*COS(RADIANS(EVCleanedDataset[[#This Row],[Longitude]]-MyLong)))</f>
        <v>190.90836740370131</v>
      </c>
      <c r="J123">
        <f t="shared" si="3"/>
        <v>1</v>
      </c>
      <c r="K123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65.23325996503057</v>
      </c>
      <c r="L123" t="str">
        <f>IF(EVCleanedDataset[[#This Row],[Score]]&gt;50,"Yes","No")</f>
        <v>Yes</v>
      </c>
    </row>
    <row r="124" spans="1:12" x14ac:dyDescent="0.3">
      <c r="A124" t="s">
        <v>3364</v>
      </c>
      <c r="B124" t="s">
        <v>150</v>
      </c>
      <c r="C124" t="s">
        <v>277</v>
      </c>
      <c r="D124">
        <v>13.9419</v>
      </c>
      <c r="E124">
        <v>75.581599999999995</v>
      </c>
      <c r="F124">
        <f>IF(COUNTIF($C$5:C124,C124)=1,1,0)</f>
        <v>1</v>
      </c>
      <c r="G124" s="2">
        <f t="shared" si="2"/>
        <v>221.38672612488446</v>
      </c>
      <c r="H124" s="2">
        <f>MAX(0, MyBattery - (EVCleanedDataset[[#This Row],[Distance(km)]]/VehicleRangeKm)*100)</f>
        <v>0</v>
      </c>
      <c r="I124" s="2">
        <f>6371*ACOS(SIN(RADIANS(MyLat))*SIN(RADIANS(EVCleanedDataset[[#This Row],[Latitude]]))+COS(RADIANS(MyLat))*COS(RADIANS(EVCleanedDataset[[#This Row],[Latitude]]))*COS(RADIANS(EVCleanedDataset[[#This Row],[Longitude]]-MyLong)))</f>
        <v>221.38672612488446</v>
      </c>
      <c r="J124">
        <f t="shared" si="3"/>
        <v>8</v>
      </c>
      <c r="K124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39.456938548076501</v>
      </c>
      <c r="L124" t="str">
        <f>IF(EVCleanedDataset[[#This Row],[Score]]&gt;50,"Yes","No")</f>
        <v>No</v>
      </c>
    </row>
    <row r="125" spans="1:12" x14ac:dyDescent="0.3">
      <c r="A125" t="s">
        <v>3223</v>
      </c>
      <c r="B125" t="s">
        <v>49</v>
      </c>
      <c r="C125" t="s">
        <v>2768</v>
      </c>
      <c r="D125">
        <v>12.78326</v>
      </c>
      <c r="E125">
        <v>80.016710000000003</v>
      </c>
      <c r="F125">
        <f>IF(COUNTIF($C$5:C125,C125)=1,1,0)</f>
        <v>1</v>
      </c>
      <c r="G125" s="2">
        <f t="shared" si="2"/>
        <v>268.75005620182526</v>
      </c>
      <c r="H125" s="2">
        <f>MAX(0, MyBattery - (EVCleanedDataset[[#This Row],[Distance(km)]]/VehicleRangeKm)*100)</f>
        <v>0</v>
      </c>
      <c r="I125" s="2">
        <f>6371*ACOS(SIN(RADIANS(MyLat))*SIN(RADIANS(EVCleanedDataset[[#This Row],[Latitude]]))+COS(RADIANS(MyLat))*COS(RADIANS(EVCleanedDataset[[#This Row],[Latitude]]))*COS(RADIANS(EVCleanedDataset[[#This Row],[Longitude]]-MyLong)))</f>
        <v>275.8079516020702</v>
      </c>
      <c r="J125">
        <f t="shared" si="3"/>
        <v>5</v>
      </c>
      <c r="K12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48.50374940799977</v>
      </c>
      <c r="L125" t="str">
        <f>IF(EVCleanedDataset[[#This Row],[Score]]&gt;50,"Yes","No")</f>
        <v>No</v>
      </c>
    </row>
    <row r="126" spans="1:12" x14ac:dyDescent="0.3">
      <c r="A126" t="s">
        <v>3218</v>
      </c>
      <c r="B126" t="s">
        <v>386</v>
      </c>
      <c r="C126" t="s">
        <v>1435</v>
      </c>
      <c r="D126">
        <v>10.0243734</v>
      </c>
      <c r="E126">
        <v>76.308867899999996</v>
      </c>
      <c r="F126">
        <f>IF(COUNTIF($C$5:C126,C126)=1,1,0)</f>
        <v>0</v>
      </c>
      <c r="G126" s="2" t="str">
        <f t="shared" si="2"/>
        <v/>
      </c>
      <c r="H126" s="2">
        <f>MAX(0, MyBattery - (EVCleanedDataset[[#This Row],[Distance(km)]]/VehicleRangeKm)*100)</f>
        <v>0</v>
      </c>
      <c r="I126" s="2">
        <f>6371*ACOS(SIN(RADIANS(MyLat))*SIN(RADIANS(EVCleanedDataset[[#This Row],[Latitude]]))+COS(RADIANS(MyLat))*COS(RADIANS(EVCleanedDataset[[#This Row],[Latitude]]))*COS(RADIANS(EVCleanedDataset[[#This Row],[Longitude]]-MyLong)))</f>
        <v>393.15050280413044</v>
      </c>
      <c r="J126">
        <f t="shared" si="3"/>
        <v>2</v>
      </c>
      <c r="K126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56.448480095204758</v>
      </c>
      <c r="L126" t="str">
        <f>IF(EVCleanedDataset[[#This Row],[Score]]&gt;50,"Yes","No")</f>
        <v>Yes</v>
      </c>
    </row>
    <row r="127" spans="1:12" x14ac:dyDescent="0.3">
      <c r="A127" t="s">
        <v>3346</v>
      </c>
      <c r="B127" t="s">
        <v>41</v>
      </c>
      <c r="C127" t="s">
        <v>1120</v>
      </c>
      <c r="D127">
        <v>19.894237499999999</v>
      </c>
      <c r="E127">
        <v>75.328083800000002</v>
      </c>
      <c r="F127">
        <f>IF(COUNTIF($C$5:C127,C127)=1,1,0)</f>
        <v>1</v>
      </c>
      <c r="G127" s="2">
        <f t="shared" si="2"/>
        <v>762.59818528055666</v>
      </c>
      <c r="H127" s="2">
        <f>MAX(0, MyBattery - (EVCleanedDataset[[#This Row],[Distance(km)]]/VehicleRangeKm)*100)</f>
        <v>0</v>
      </c>
      <c r="I127" s="2">
        <f>6371*ACOS(SIN(RADIANS(MyLat))*SIN(RADIANS(EVCleanedDataset[[#This Row],[Latitude]]))+COS(RADIANS(MyLat))*COS(RADIANS(EVCleanedDataset[[#This Row],[Latitude]]))*COS(RADIANS(EVCleanedDataset[[#This Row],[Longitude]]-MyLong)))</f>
        <v>764.8601463361216</v>
      </c>
      <c r="J127">
        <f t="shared" si="3"/>
        <v>9</v>
      </c>
      <c r="K127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26.604584655746137</v>
      </c>
      <c r="L127" t="str">
        <f>IF(EVCleanedDataset[[#This Row],[Score]]&gt;50,"Yes","No")</f>
        <v>No</v>
      </c>
    </row>
    <row r="128" spans="1:12" x14ac:dyDescent="0.3">
      <c r="A128" t="s">
        <v>3222</v>
      </c>
      <c r="B128" t="s">
        <v>49</v>
      </c>
      <c r="C128" t="s">
        <v>1008</v>
      </c>
      <c r="D128">
        <v>12.99431</v>
      </c>
      <c r="E128">
        <v>80.187060000000002</v>
      </c>
      <c r="F128">
        <f>IF(COUNTIF($C$5:C128,C128)=1,1,0)</f>
        <v>0</v>
      </c>
      <c r="G128" s="2" t="str">
        <f t="shared" si="2"/>
        <v/>
      </c>
      <c r="H128" s="2">
        <f>MAX(0, MyBattery - (EVCleanedDataset[[#This Row],[Distance(km)]]/VehicleRangeKm)*100)</f>
        <v>0</v>
      </c>
      <c r="I128" s="2">
        <f>6371*ACOS(SIN(RADIANS(MyLat))*SIN(RADIANS(EVCleanedDataset[[#This Row],[Latitude]]))+COS(RADIANS(MyLat))*COS(RADIANS(EVCleanedDataset[[#This Row],[Latitude]]))*COS(RADIANS(EVCleanedDataset[[#This Row],[Longitude]]-MyLong)))</f>
        <v>289.56422566969565</v>
      </c>
      <c r="J128">
        <f t="shared" si="3"/>
        <v>6</v>
      </c>
      <c r="K12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44.929502058853757</v>
      </c>
      <c r="L128" t="str">
        <f>IF(EVCleanedDataset[[#This Row],[Score]]&gt;50,"Yes","No")</f>
        <v>No</v>
      </c>
    </row>
    <row r="129" spans="1:12" x14ac:dyDescent="0.3">
      <c r="A129" t="s">
        <v>3027</v>
      </c>
      <c r="B129" t="s">
        <v>150</v>
      </c>
      <c r="C129" t="s">
        <v>293</v>
      </c>
      <c r="D129">
        <v>13.336628299999999</v>
      </c>
      <c r="E129">
        <v>75.817878300000004</v>
      </c>
      <c r="F129">
        <f>IF(COUNTIF($C$5:C129,C129)=1,1,0)</f>
        <v>0</v>
      </c>
      <c r="G129" s="2" t="str">
        <f t="shared" si="2"/>
        <v/>
      </c>
      <c r="H129" s="2">
        <f>MAX(0, MyBattery - (EVCleanedDataset[[#This Row],[Distance(km)]]/VehicleRangeKm)*100)</f>
        <v>7.9808678315599835</v>
      </c>
      <c r="I129" s="2">
        <f>6371*ACOS(SIN(RADIANS(MyLat))*SIN(RADIANS(EVCleanedDataset[[#This Row],[Latitude]]))+COS(RADIANS(MyLat))*COS(RADIANS(EVCleanedDataset[[#This Row],[Latitude]]))*COS(RADIANS(EVCleanedDataset[[#This Row],[Longitude]]-MyLong)))</f>
        <v>186.05739650532004</v>
      </c>
      <c r="J129">
        <f t="shared" si="3"/>
        <v>3</v>
      </c>
      <c r="K129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59.136716157501233</v>
      </c>
      <c r="L129" t="str">
        <f>IF(EVCleanedDataset[[#This Row],[Score]]&gt;50,"Yes","No")</f>
        <v>Yes</v>
      </c>
    </row>
    <row r="130" spans="1:12" x14ac:dyDescent="0.3">
      <c r="A130" t="s">
        <v>2980</v>
      </c>
      <c r="B130" t="s">
        <v>49</v>
      </c>
      <c r="C130" t="s">
        <v>1008</v>
      </c>
      <c r="D130">
        <v>12.875613</v>
      </c>
      <c r="E130">
        <v>80.227372000000003</v>
      </c>
      <c r="F130">
        <f>IF(COUNTIF($C$5:C130,C130)=1,1,0)</f>
        <v>0</v>
      </c>
      <c r="G130" s="2" t="str">
        <f t="shared" si="2"/>
        <v/>
      </c>
      <c r="H130" s="2">
        <f>MAX(0, MyBattery - (EVCleanedDataset[[#This Row],[Distance(km)]]/VehicleRangeKm)*100)</f>
        <v>0</v>
      </c>
      <c r="I130" s="2">
        <f>6371*ACOS(SIN(RADIANS(MyLat))*SIN(RADIANS(EVCleanedDataset[[#This Row],[Latitude]]))+COS(RADIANS(MyLat))*COS(RADIANS(EVCleanedDataset[[#This Row],[Latitude]]))*COS(RADIANS(EVCleanedDataset[[#This Row],[Longitude]]-MyLong)))</f>
        <v>296.01850226843652</v>
      </c>
      <c r="J130">
        <f t="shared" si="3"/>
        <v>0</v>
      </c>
      <c r="K13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64.816474055068625</v>
      </c>
      <c r="L130" t="str">
        <f>IF(EVCleanedDataset[[#This Row],[Score]]&gt;50,"Yes","No")</f>
        <v>Yes</v>
      </c>
    </row>
    <row r="131" spans="1:12" x14ac:dyDescent="0.3">
      <c r="A131" t="s">
        <v>360</v>
      </c>
      <c r="B131" t="s">
        <v>49</v>
      </c>
      <c r="C131" t="s">
        <v>1008</v>
      </c>
      <c r="D131">
        <v>13.060964999999999</v>
      </c>
      <c r="E131">
        <v>80.248508999999999</v>
      </c>
      <c r="F131">
        <f>IF(COUNTIF($C$5:C131,C131)=1,1,0)</f>
        <v>0</v>
      </c>
      <c r="G131" s="2" t="str">
        <f t="shared" si="2"/>
        <v/>
      </c>
      <c r="H131" s="2">
        <f>MAX(0, MyBattery - (EVCleanedDataset[[#This Row],[Distance(km)]]/VehicleRangeKm)*100)</f>
        <v>0</v>
      </c>
      <c r="I131" s="2">
        <f>6371*ACOS(SIN(RADIANS(MyLat))*SIN(RADIANS(EVCleanedDataset[[#This Row],[Latitude]]))+COS(RADIANS(MyLat))*COS(RADIANS(EVCleanedDataset[[#This Row],[Latitude]]))*COS(RADIANS(EVCleanedDataset[[#This Row],[Longitude]]-MyLong)))</f>
        <v>295.22095873625017</v>
      </c>
      <c r="J131">
        <f t="shared" si="3"/>
        <v>7</v>
      </c>
      <c r="K13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41.497119863414611</v>
      </c>
      <c r="L131" t="str">
        <f>IF(EVCleanedDataset[[#This Row],[Score]]&gt;50,"Yes","No")</f>
        <v>No</v>
      </c>
    </row>
    <row r="132" spans="1:12" x14ac:dyDescent="0.3">
      <c r="A132" t="s">
        <v>670</v>
      </c>
      <c r="B132" t="s">
        <v>150</v>
      </c>
      <c r="C132" t="s">
        <v>3377</v>
      </c>
      <c r="D132">
        <v>12.326612000000001</v>
      </c>
      <c r="E132">
        <v>76.626866000000007</v>
      </c>
      <c r="F132">
        <f>IF(COUNTIF($C$5:C132,C132)=1,1,0)</f>
        <v>0</v>
      </c>
      <c r="G132" s="2" t="str">
        <f t="shared" si="2"/>
        <v/>
      </c>
      <c r="H132" s="2">
        <f>MAX(0, MyBattery - (EVCleanedDataset[[#This Row],[Distance(km)]]/VehicleRangeKm)*100)</f>
        <v>19.807092774655381</v>
      </c>
      <c r="I132" s="2">
        <f>6371*ACOS(SIN(RADIANS(MyLat))*SIN(RADIANS(EVCleanedDataset[[#This Row],[Latitude]]))+COS(RADIANS(MyLat))*COS(RADIANS(EVCleanedDataset[[#This Row],[Latitude]]))*COS(RADIANS(EVCleanedDataset[[#This Row],[Longitude]]-MyLong)))</f>
        <v>150.57872167603387</v>
      </c>
      <c r="J132">
        <f t="shared" si="3"/>
        <v>4</v>
      </c>
      <c r="K132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59.972696712953002</v>
      </c>
      <c r="L132" t="str">
        <f>IF(EVCleanedDataset[[#This Row],[Score]]&gt;50,"Yes","No")</f>
        <v>Yes</v>
      </c>
    </row>
    <row r="133" spans="1:12" x14ac:dyDescent="0.3">
      <c r="A133" t="s">
        <v>3368</v>
      </c>
      <c r="B133" t="s">
        <v>49</v>
      </c>
      <c r="C133" t="s">
        <v>1008</v>
      </c>
      <c r="D133">
        <v>13.061544400000001</v>
      </c>
      <c r="E133">
        <v>80.261455900000001</v>
      </c>
      <c r="F133">
        <f>IF(COUNTIF($C$5:C133,C133)=1,1,0)</f>
        <v>0</v>
      </c>
      <c r="G133" s="2" t="str">
        <f t="shared" ref="G133:G196" si="4">IF(F133=1, IF(C133=MyCity, "", _xlfn.MINIFS($I$5:$I$1121,$C$5:$C$1121,C133)), "")</f>
        <v/>
      </c>
      <c r="H133" s="2">
        <f>MAX(0, MyBattery - (EVCleanedDataset[[#This Row],[Distance(km)]]/VehicleRangeKm)*100)</f>
        <v>0</v>
      </c>
      <c r="I133" s="2">
        <f>6371*ACOS(SIN(RADIANS(MyLat))*SIN(RADIANS(EVCleanedDataset[[#This Row],[Latitude]]))+COS(RADIANS(MyLat))*COS(RADIANS(EVCleanedDataset[[#This Row],[Latitude]]))*COS(RADIANS(EVCleanedDataset[[#This Row],[Longitude]]-MyLong)))</f>
        <v>296.60696138546655</v>
      </c>
      <c r="J133">
        <f t="shared" ref="J133:J196" si="5">MOD(ROW()*7,10)</f>
        <v>1</v>
      </c>
      <c r="K13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61.472863737292997</v>
      </c>
      <c r="L133" t="str">
        <f>IF(EVCleanedDataset[[#This Row],[Score]]&gt;50,"Yes","No")</f>
        <v>Yes</v>
      </c>
    </row>
    <row r="134" spans="1:12" x14ac:dyDescent="0.3">
      <c r="A134" t="s">
        <v>3259</v>
      </c>
      <c r="B134" t="s">
        <v>150</v>
      </c>
      <c r="C134" t="s">
        <v>2267</v>
      </c>
      <c r="D134">
        <v>17.821825799999999</v>
      </c>
      <c r="E134">
        <v>76.9393922</v>
      </c>
      <c r="F134">
        <f>IF(COUNTIF($C$5:C134,C134)=1,1,0)</f>
        <v>1</v>
      </c>
      <c r="G134" s="2">
        <f t="shared" si="4"/>
        <v>501.448739754146</v>
      </c>
      <c r="H134" s="2">
        <f>MAX(0, MyBattery - (EVCleanedDataset[[#This Row],[Distance(km)]]/VehicleRangeKm)*100)</f>
        <v>0</v>
      </c>
      <c r="I134" s="2">
        <f>6371*ACOS(SIN(RADIANS(MyLat))*SIN(RADIANS(EVCleanedDataset[[#This Row],[Latitude]]))+COS(RADIANS(MyLat))*COS(RADIANS(EVCleanedDataset[[#This Row],[Latitude]]))*COS(RADIANS(EVCleanedDataset[[#This Row],[Longitude]]-MyLong)))</f>
        <v>501.448739754146</v>
      </c>
      <c r="J134">
        <f t="shared" si="5"/>
        <v>8</v>
      </c>
      <c r="K134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34.551693837096401</v>
      </c>
      <c r="L134" t="str">
        <f>IF(EVCleanedDataset[[#This Row],[Score]]&gt;50,"Yes","No")</f>
        <v>No</v>
      </c>
    </row>
    <row r="135" spans="1:12" x14ac:dyDescent="0.3">
      <c r="A135" t="s">
        <v>2830</v>
      </c>
      <c r="B135" t="s">
        <v>41</v>
      </c>
      <c r="C135" t="s">
        <v>221</v>
      </c>
      <c r="D135">
        <v>18.165500000000002</v>
      </c>
      <c r="E135">
        <v>72.992900000000006</v>
      </c>
      <c r="F135">
        <f>IF(COUNTIF($C$5:C135,C135)=1,1,0)</f>
        <v>1</v>
      </c>
      <c r="G135" s="2">
        <f t="shared" si="4"/>
        <v>119.3997023007874</v>
      </c>
      <c r="H135" s="2">
        <f>MAX(0, MyBattery - (EVCleanedDataset[[#This Row],[Distance(km)]]/VehicleRangeKm)*100)</f>
        <v>0</v>
      </c>
      <c r="I135" s="2">
        <f>6371*ACOS(SIN(RADIANS(MyLat))*SIN(RADIANS(EVCleanedDataset[[#This Row],[Latitude]]))+COS(RADIANS(MyLat))*COS(RADIANS(EVCleanedDataset[[#This Row],[Latitude]]))*COS(RADIANS(EVCleanedDataset[[#This Row],[Longitude]]-MyLong)))</f>
        <v>723.3071937583212</v>
      </c>
      <c r="J135">
        <f t="shared" si="5"/>
        <v>5</v>
      </c>
      <c r="K135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40.665806639426997</v>
      </c>
      <c r="L135" t="str">
        <f>IF(EVCleanedDataset[[#This Row],[Score]]&gt;50,"Yes","No")</f>
        <v>No</v>
      </c>
    </row>
    <row r="136" spans="1:12" x14ac:dyDescent="0.3">
      <c r="A136" t="s">
        <v>2029</v>
      </c>
      <c r="B136" t="s">
        <v>49</v>
      </c>
      <c r="C136" t="s">
        <v>2030</v>
      </c>
      <c r="D136">
        <v>10.242808699999999</v>
      </c>
      <c r="E136">
        <v>77.498363400000002</v>
      </c>
      <c r="F136">
        <f>IF(COUNTIF($C$5:C136,C136)=1,1,0)</f>
        <v>1</v>
      </c>
      <c r="G136" s="2">
        <f t="shared" si="4"/>
        <v>345.43211800602097</v>
      </c>
      <c r="H136" s="2">
        <f>MAX(0, MyBattery - (EVCleanedDataset[[#This Row],[Distance(km)]]/VehicleRangeKm)*100)</f>
        <v>0</v>
      </c>
      <c r="I136" s="2">
        <f>6371*ACOS(SIN(RADIANS(MyLat))*SIN(RADIANS(EVCleanedDataset[[#This Row],[Latitude]]))+COS(RADIANS(MyLat))*COS(RADIANS(EVCleanedDataset[[#This Row],[Latitude]]))*COS(RADIANS(EVCleanedDataset[[#This Row],[Longitude]]-MyLong)))</f>
        <v>345.43211800602097</v>
      </c>
      <c r="J136">
        <f t="shared" si="5"/>
        <v>2</v>
      </c>
      <c r="K136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57.284377579671109</v>
      </c>
      <c r="L136" t="str">
        <f>IF(EVCleanedDataset[[#This Row],[Score]]&gt;50,"Yes","No")</f>
        <v>Yes</v>
      </c>
    </row>
    <row r="137" spans="1:12" x14ac:dyDescent="0.3">
      <c r="A137" t="s">
        <v>375</v>
      </c>
      <c r="B137" t="s">
        <v>41</v>
      </c>
      <c r="C137" t="s">
        <v>42</v>
      </c>
      <c r="D137">
        <v>18.478838499999998</v>
      </c>
      <c r="E137">
        <v>73.901385599999998</v>
      </c>
      <c r="F137">
        <f>IF(COUNTIF($C$5:C137,C137)=1,1,0)</f>
        <v>0</v>
      </c>
      <c r="G137" s="2" t="str">
        <f t="shared" si="4"/>
        <v/>
      </c>
      <c r="H137" s="2">
        <f>MAX(0, MyBattery - (EVCleanedDataset[[#This Row],[Distance(km)]]/VehicleRangeKm)*100)</f>
        <v>0</v>
      </c>
      <c r="I137" s="2">
        <f>6371*ACOS(SIN(RADIANS(MyLat))*SIN(RADIANS(EVCleanedDataset[[#This Row],[Latitude]]))+COS(RADIANS(MyLat))*COS(RADIANS(EVCleanedDataset[[#This Row],[Latitude]]))*COS(RADIANS(EVCleanedDataset[[#This Row],[Longitude]]-MyLong)))</f>
        <v>690.2235013086115</v>
      </c>
      <c r="J137">
        <f t="shared" si="5"/>
        <v>9</v>
      </c>
      <c r="K13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27.911961094940974</v>
      </c>
      <c r="L137" t="str">
        <f>IF(EVCleanedDataset[[#This Row],[Score]]&gt;50,"Yes","No")</f>
        <v>No</v>
      </c>
    </row>
    <row r="138" spans="1:12" x14ac:dyDescent="0.3">
      <c r="A138" t="s">
        <v>585</v>
      </c>
      <c r="B138" t="s">
        <v>115</v>
      </c>
      <c r="C138" t="s">
        <v>1163</v>
      </c>
      <c r="D138">
        <v>17.347629999999999</v>
      </c>
      <c r="E138">
        <v>78.475397000000001</v>
      </c>
      <c r="F138">
        <f>IF(COUNTIF($C$5:C138,C138)=1,1,0)</f>
        <v>0</v>
      </c>
      <c r="G138" s="2" t="str">
        <f t="shared" si="4"/>
        <v/>
      </c>
      <c r="H138" s="2">
        <f>MAX(0, MyBattery - (EVCleanedDataset[[#This Row],[Distance(km)]]/VehicleRangeKm)*100)</f>
        <v>0</v>
      </c>
      <c r="I138" s="2">
        <f>6371*ACOS(SIN(RADIANS(MyLat))*SIN(RADIANS(EVCleanedDataset[[#This Row],[Latitude]]))+COS(RADIANS(MyLat))*COS(RADIANS(EVCleanedDataset[[#This Row],[Latitude]]))*COS(RADIANS(EVCleanedDataset[[#This Row],[Longitude]]-MyLong)))</f>
        <v>455.84085226299544</v>
      </c>
      <c r="J138">
        <f t="shared" si="5"/>
        <v>6</v>
      </c>
      <c r="K138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42.017232186734006</v>
      </c>
      <c r="L138" t="str">
        <f>IF(EVCleanedDataset[[#This Row],[Score]]&gt;50,"Yes","No")</f>
        <v>No</v>
      </c>
    </row>
    <row r="139" spans="1:12" x14ac:dyDescent="0.3">
      <c r="A139" t="s">
        <v>357</v>
      </c>
      <c r="B139" t="s">
        <v>115</v>
      </c>
      <c r="C139" t="s">
        <v>1163</v>
      </c>
      <c r="D139">
        <v>17.456842000000002</v>
      </c>
      <c r="E139">
        <v>78.364575000000002</v>
      </c>
      <c r="F139">
        <f>IF(COUNTIF($C$5:C139,C139)=1,1,0)</f>
        <v>0</v>
      </c>
      <c r="G139" s="2" t="str">
        <f t="shared" si="4"/>
        <v/>
      </c>
      <c r="H139" s="2">
        <f>MAX(0, MyBattery - (EVCleanedDataset[[#This Row],[Distance(km)]]/VehicleRangeKm)*100)</f>
        <v>0</v>
      </c>
      <c r="I139" s="2">
        <f>6371*ACOS(SIN(RADIANS(MyLat))*SIN(RADIANS(EVCleanedDataset[[#This Row],[Latitude]]))+COS(RADIANS(MyLat))*COS(RADIANS(EVCleanedDataset[[#This Row],[Latitude]]))*COS(RADIANS(EVCleanedDataset[[#This Row],[Longitude]]-MyLong)))</f>
        <v>465.27926352497133</v>
      </c>
      <c r="J139">
        <f t="shared" si="5"/>
        <v>3</v>
      </c>
      <c r="K13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51.851926440539032</v>
      </c>
      <c r="L139" t="str">
        <f>IF(EVCleanedDataset[[#This Row],[Score]]&gt;50,"Yes","No")</f>
        <v>Yes</v>
      </c>
    </row>
    <row r="140" spans="1:12" x14ac:dyDescent="0.3">
      <c r="A140" t="s">
        <v>1618</v>
      </c>
      <c r="B140" t="s">
        <v>115</v>
      </c>
      <c r="C140" t="s">
        <v>1163</v>
      </c>
      <c r="D140">
        <v>17.49699433</v>
      </c>
      <c r="E140">
        <v>78.371947160000005</v>
      </c>
      <c r="F140">
        <f>IF(COUNTIF($C$5:C140,C140)=1,1,0)</f>
        <v>0</v>
      </c>
      <c r="G140" s="2" t="str">
        <f t="shared" si="4"/>
        <v/>
      </c>
      <c r="H140" s="2">
        <f>MAX(0, MyBattery - (EVCleanedDataset[[#This Row],[Distance(km)]]/VehicleRangeKm)*100)</f>
        <v>0</v>
      </c>
      <c r="I140" s="2">
        <f>6371*ACOS(SIN(RADIANS(MyLat))*SIN(RADIANS(EVCleanedDataset[[#This Row],[Latitude]]))+COS(RADIANS(MyLat))*COS(RADIANS(EVCleanedDataset[[#This Row],[Latitude]]))*COS(RADIANS(EVCleanedDataset[[#This Row],[Longitude]]-MyLong)))</f>
        <v>469.81102073615034</v>
      </c>
      <c r="J140">
        <f t="shared" si="5"/>
        <v>0</v>
      </c>
      <c r="K140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61.772561765697432</v>
      </c>
      <c r="L140" t="str">
        <f>IF(EVCleanedDataset[[#This Row],[Score]]&gt;50,"Yes","No")</f>
        <v>Yes</v>
      </c>
    </row>
    <row r="141" spans="1:12" x14ac:dyDescent="0.3">
      <c r="A141" t="s">
        <v>2312</v>
      </c>
      <c r="B141" t="s">
        <v>115</v>
      </c>
      <c r="C141" t="s">
        <v>1163</v>
      </c>
      <c r="D141">
        <v>17.45608</v>
      </c>
      <c r="E141">
        <v>78.446560000000005</v>
      </c>
      <c r="F141">
        <f>IF(COUNTIF($C$5:C141,C141)=1,1,0)</f>
        <v>0</v>
      </c>
      <c r="G141" s="2" t="str">
        <f t="shared" si="4"/>
        <v/>
      </c>
      <c r="H141" s="2">
        <f>MAX(0, MyBattery - (EVCleanedDataset[[#This Row],[Distance(km)]]/VehicleRangeKm)*100)</f>
        <v>0</v>
      </c>
      <c r="I141" s="2">
        <f>6371*ACOS(SIN(RADIANS(MyLat))*SIN(RADIANS(EVCleanedDataset[[#This Row],[Latitude]]))+COS(RADIANS(MyLat))*COS(RADIANS(EVCleanedDataset[[#This Row],[Latitude]]))*COS(RADIANS(EVCleanedDataset[[#This Row],[Longitude]]-MyLong)))</f>
        <v>466.94999535214885</v>
      </c>
      <c r="J141">
        <f t="shared" si="5"/>
        <v>7</v>
      </c>
      <c r="K14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38.489349890014232</v>
      </c>
      <c r="L141" t="str">
        <f>IF(EVCleanedDataset[[#This Row],[Score]]&gt;50,"Yes","No")</f>
        <v>No</v>
      </c>
    </row>
    <row r="142" spans="1:12" x14ac:dyDescent="0.3">
      <c r="A142" t="s">
        <v>2934</v>
      </c>
      <c r="B142" t="s">
        <v>41</v>
      </c>
      <c r="C142" t="s">
        <v>1956</v>
      </c>
      <c r="D142">
        <v>16.685693100000002</v>
      </c>
      <c r="E142">
        <v>74.208422299999995</v>
      </c>
      <c r="F142">
        <f>IF(COUNTIF($C$5:C142,C142)=1,1,0)</f>
        <v>1</v>
      </c>
      <c r="G142" s="2">
        <f t="shared" si="4"/>
        <v>510.70706380876311</v>
      </c>
      <c r="H142" s="2">
        <f>MAX(0, MyBattery - (EVCleanedDataset[[#This Row],[Distance(km)]]/VehicleRangeKm)*100)</f>
        <v>0</v>
      </c>
      <c r="I142" s="2">
        <f>6371*ACOS(SIN(RADIANS(MyLat))*SIN(RADIANS(EVCleanedDataset[[#This Row],[Latitude]]))+COS(RADIANS(MyLat))*COS(RADIANS(EVCleanedDataset[[#This Row],[Latitude]]))*COS(RADIANS(EVCleanedDataset[[#This Row],[Longitude]]-MyLong)))</f>
        <v>515.20229588014183</v>
      </c>
      <c r="J142">
        <f t="shared" si="5"/>
        <v>4</v>
      </c>
      <c r="K142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47.644210759932839</v>
      </c>
      <c r="L142" t="str">
        <f>IF(EVCleanedDataset[[#This Row],[Score]]&gt;50,"Yes","No")</f>
        <v>No</v>
      </c>
    </row>
    <row r="143" spans="1:12" x14ac:dyDescent="0.3">
      <c r="A143" t="s">
        <v>2333</v>
      </c>
      <c r="B143" t="s">
        <v>41</v>
      </c>
      <c r="C143" t="s">
        <v>42</v>
      </c>
      <c r="D143">
        <v>18.573910000000001</v>
      </c>
      <c r="E143">
        <v>73.9589</v>
      </c>
      <c r="F143">
        <f>IF(COUNTIF($C$5:C143,C143)=1,1,0)</f>
        <v>0</v>
      </c>
      <c r="G143" s="2" t="str">
        <f t="shared" si="4"/>
        <v/>
      </c>
      <c r="H143" s="2">
        <f>MAX(0, MyBattery - (EVCleanedDataset[[#This Row],[Distance(km)]]/VehicleRangeKm)*100)</f>
        <v>0</v>
      </c>
      <c r="I143" s="2">
        <f>6371*ACOS(SIN(RADIANS(MyLat))*SIN(RADIANS(EVCleanedDataset[[#This Row],[Latitude]]))+COS(RADIANS(MyLat))*COS(RADIANS(EVCleanedDataset[[#This Row],[Latitude]]))*COS(RADIANS(EVCleanedDataset[[#This Row],[Longitude]]-MyLong)))</f>
        <v>695.53247829290603</v>
      </c>
      <c r="J143">
        <f t="shared" si="5"/>
        <v>1</v>
      </c>
      <c r="K143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54.485699919975183</v>
      </c>
      <c r="L143" t="str">
        <f>IF(EVCleanedDataset[[#This Row],[Score]]&gt;50,"Yes","No")</f>
        <v>Yes</v>
      </c>
    </row>
    <row r="144" spans="1:12" x14ac:dyDescent="0.3">
      <c r="A144" t="s">
        <v>2806</v>
      </c>
      <c r="B144" t="s">
        <v>41</v>
      </c>
      <c r="C144" t="s">
        <v>131</v>
      </c>
      <c r="D144">
        <v>18.5808</v>
      </c>
      <c r="E144">
        <v>73.739900000000006</v>
      </c>
      <c r="F144">
        <f>IF(COUNTIF($C$5:C144,C144)=1,1,0)</f>
        <v>1</v>
      </c>
      <c r="G144" s="2">
        <f t="shared" si="4"/>
        <v>709.29265957753398</v>
      </c>
      <c r="H144" s="2">
        <f>MAX(0, MyBattery - (EVCleanedDataset[[#This Row],[Distance(km)]]/VehicleRangeKm)*100)</f>
        <v>0</v>
      </c>
      <c r="I144" s="2">
        <f>6371*ACOS(SIN(RADIANS(MyLat))*SIN(RADIANS(EVCleanedDataset[[#This Row],[Latitude]]))+COS(RADIANS(MyLat))*COS(RADIANS(EVCleanedDataset[[#This Row],[Latitude]]))*COS(RADIANS(EVCleanedDataset[[#This Row],[Longitude]]-MyLong)))</f>
        <v>709.29265957753398</v>
      </c>
      <c r="J144">
        <f t="shared" si="5"/>
        <v>8</v>
      </c>
      <c r="K144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30.911364135106634</v>
      </c>
      <c r="L144" t="str">
        <f>IF(EVCleanedDataset[[#This Row],[Score]]&gt;50,"Yes","No")</f>
        <v>No</v>
      </c>
    </row>
    <row r="145" spans="1:12" x14ac:dyDescent="0.3">
      <c r="A145" t="s">
        <v>2818</v>
      </c>
      <c r="B145" t="s">
        <v>115</v>
      </c>
      <c r="C145" t="s">
        <v>116</v>
      </c>
      <c r="D145">
        <v>17.467700000000001</v>
      </c>
      <c r="E145">
        <v>78.564099999999996</v>
      </c>
      <c r="F145">
        <f>IF(COUNTIF($C$5:C145,C145)=1,1,0)</f>
        <v>1</v>
      </c>
      <c r="G145" s="2">
        <f t="shared" si="4"/>
        <v>469.9861926519319</v>
      </c>
      <c r="H145" s="2">
        <f>MAX(0, MyBattery - (EVCleanedDataset[[#This Row],[Distance(km)]]/VehicleRangeKm)*100)</f>
        <v>0</v>
      </c>
      <c r="I145" s="2">
        <f>6371*ACOS(SIN(RADIANS(MyLat))*SIN(RADIANS(EVCleanedDataset[[#This Row],[Latitude]]))+COS(RADIANS(MyLat))*COS(RADIANS(EVCleanedDataset[[#This Row],[Latitude]]))*COS(RADIANS(EVCleanedDataset[[#This Row],[Longitude]]-MyLong)))</f>
        <v>470.99535215259425</v>
      </c>
      <c r="J145">
        <f t="shared" si="5"/>
        <v>5</v>
      </c>
      <c r="K14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45.085201286707147</v>
      </c>
      <c r="L145" t="str">
        <f>IF(EVCleanedDataset[[#This Row],[Score]]&gt;50,"Yes","No")</f>
        <v>No</v>
      </c>
    </row>
    <row r="146" spans="1:12" x14ac:dyDescent="0.3">
      <c r="A146" t="s">
        <v>3308</v>
      </c>
      <c r="B146" t="s">
        <v>115</v>
      </c>
      <c r="C146" t="s">
        <v>1163</v>
      </c>
      <c r="D146">
        <v>17.480810000000002</v>
      </c>
      <c r="E146">
        <v>78.577150000000003</v>
      </c>
      <c r="F146">
        <f>IF(COUNTIF($C$5:C146,C146)=1,1,0)</f>
        <v>0</v>
      </c>
      <c r="G146" s="2" t="str">
        <f t="shared" si="4"/>
        <v/>
      </c>
      <c r="H146" s="2">
        <f>MAX(0, MyBattery - (EVCleanedDataset[[#This Row],[Distance(km)]]/VehicleRangeKm)*100)</f>
        <v>0</v>
      </c>
      <c r="I146" s="2">
        <f>6371*ACOS(SIN(RADIANS(MyLat))*SIN(RADIANS(EVCleanedDataset[[#This Row],[Latitude]]))+COS(RADIANS(MyLat))*COS(RADIANS(EVCleanedDataset[[#This Row],[Latitude]]))*COS(RADIANS(EVCleanedDataset[[#This Row],[Longitude]]-MyLong)))</f>
        <v>472.73970383125305</v>
      </c>
      <c r="J146">
        <f t="shared" si="5"/>
        <v>2</v>
      </c>
      <c r="K146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55.054658602428006</v>
      </c>
      <c r="L146" t="str">
        <f>IF(EVCleanedDataset[[#This Row],[Score]]&gt;50,"Yes","No")</f>
        <v>Yes</v>
      </c>
    </row>
    <row r="147" spans="1:12" x14ac:dyDescent="0.3">
      <c r="A147" t="s">
        <v>2600</v>
      </c>
      <c r="B147" t="s">
        <v>115</v>
      </c>
      <c r="C147" t="s">
        <v>1163</v>
      </c>
      <c r="D147">
        <v>17.559999999999999</v>
      </c>
      <c r="E147">
        <v>78.48</v>
      </c>
      <c r="F147">
        <f>IF(COUNTIF($C$5:C147,C147)=1,1,0)</f>
        <v>0</v>
      </c>
      <c r="G147" s="2" t="str">
        <f t="shared" si="4"/>
        <v/>
      </c>
      <c r="H147" s="2">
        <f>MAX(0, MyBattery - (EVCleanedDataset[[#This Row],[Distance(km)]]/VehicleRangeKm)*100)</f>
        <v>0</v>
      </c>
      <c r="I147" s="2">
        <f>6371*ACOS(SIN(RADIANS(MyLat))*SIN(RADIANS(EVCleanedDataset[[#This Row],[Latitude]]))+COS(RADIANS(MyLat))*COS(RADIANS(EVCleanedDataset[[#This Row],[Latitude]]))*COS(RADIANS(EVCleanedDataset[[#This Row],[Longitude]]-MyLong)))</f>
        <v>478.99443092308019</v>
      </c>
      <c r="J147">
        <f t="shared" si="5"/>
        <v>9</v>
      </c>
      <c r="K147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31.611782416635588</v>
      </c>
      <c r="L147" t="str">
        <f>IF(EVCleanedDataset[[#This Row],[Score]]&gt;50,"Yes","No")</f>
        <v>No</v>
      </c>
    </row>
    <row r="148" spans="1:12" x14ac:dyDescent="0.3">
      <c r="A148" t="s">
        <v>3012</v>
      </c>
      <c r="B148" t="s">
        <v>502</v>
      </c>
      <c r="C148" t="s">
        <v>1349</v>
      </c>
      <c r="D148">
        <v>13.203591899999999</v>
      </c>
      <c r="E148">
        <v>78.941565800000006</v>
      </c>
      <c r="F148">
        <f>IF(COUNTIF($C$5:C148,C148)=1,1,0)</f>
        <v>1</v>
      </c>
      <c r="G148" s="2">
        <f t="shared" si="4"/>
        <v>152.81040346429234</v>
      </c>
      <c r="H148" s="2">
        <f>MAX(0, MyBattery - (EVCleanedDataset[[#This Row],[Distance(km)]]/VehicleRangeKm)*100)</f>
        <v>19.063198845235888</v>
      </c>
      <c r="I148" s="2">
        <f>6371*ACOS(SIN(RADIANS(MyLat))*SIN(RADIANS(EVCleanedDataset[[#This Row],[Latitude]]))+COS(RADIANS(MyLat))*COS(RADIANS(EVCleanedDataset[[#This Row],[Latitude]]))*COS(RADIANS(EVCleanedDataset[[#This Row],[Longitude]]-MyLong)))</f>
        <v>152.81040346429234</v>
      </c>
      <c r="J148">
        <f t="shared" si="5"/>
        <v>6</v>
      </c>
      <c r="K148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53.043933494443507</v>
      </c>
      <c r="L148" t="str">
        <f>IF(EVCleanedDataset[[#This Row],[Score]]&gt;50,"Yes","No")</f>
        <v>Yes</v>
      </c>
    </row>
    <row r="149" spans="1:12" x14ac:dyDescent="0.3">
      <c r="A149" t="s">
        <v>3192</v>
      </c>
      <c r="B149" t="s">
        <v>386</v>
      </c>
      <c r="C149" t="s">
        <v>3378</v>
      </c>
      <c r="D149">
        <v>11.86893912</v>
      </c>
      <c r="E149">
        <v>75.403165729999998</v>
      </c>
      <c r="F149">
        <f>IF(COUNTIF($C$5:C149,C149)=1,1,0)</f>
        <v>0</v>
      </c>
      <c r="G149" s="2" t="str">
        <f t="shared" si="4"/>
        <v/>
      </c>
      <c r="H149" s="2">
        <f>MAX(0, MyBattery - (EVCleanedDataset[[#This Row],[Distance(km)]]/VehicleRangeKm)*100)</f>
        <v>0</v>
      </c>
      <c r="I149" s="2">
        <f>6371*ACOS(SIN(RADIANS(MyLat))*SIN(RADIANS(EVCleanedDataset[[#This Row],[Latitude]]))+COS(RADIANS(MyLat))*COS(RADIANS(EVCleanedDataset[[#This Row],[Latitude]]))*COS(RADIANS(EVCleanedDataset[[#This Row],[Longitude]]-MyLong)))</f>
        <v>284.12348261181018</v>
      </c>
      <c r="J149">
        <f t="shared" si="5"/>
        <v>3</v>
      </c>
      <c r="K149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55.02500781080866</v>
      </c>
      <c r="L149" t="str">
        <f>IF(EVCleanedDataset[[#This Row],[Score]]&gt;50,"Yes","No")</f>
        <v>Yes</v>
      </c>
    </row>
    <row r="150" spans="1:12" x14ac:dyDescent="0.3">
      <c r="A150" t="s">
        <v>1830</v>
      </c>
      <c r="B150" t="s">
        <v>386</v>
      </c>
      <c r="C150" t="s">
        <v>1831</v>
      </c>
      <c r="D150">
        <v>10.734774850000001</v>
      </c>
      <c r="E150">
        <v>76.048543989999999</v>
      </c>
      <c r="F150">
        <f>IF(COUNTIF($C$5:C150,C150)=1,1,0)</f>
        <v>0</v>
      </c>
      <c r="G150" s="2" t="str">
        <f t="shared" si="4"/>
        <v/>
      </c>
      <c r="H150" s="2">
        <f>MAX(0, MyBattery - (EVCleanedDataset[[#This Row],[Distance(km)]]/VehicleRangeKm)*100)</f>
        <v>0</v>
      </c>
      <c r="I150" s="2">
        <f>6371*ACOS(SIN(RADIANS(MyLat))*SIN(RADIANS(EVCleanedDataset[[#This Row],[Latitude]]))+COS(RADIANS(MyLat))*COS(RADIANS(EVCleanedDataset[[#This Row],[Latitude]]))*COS(RADIANS(EVCleanedDataset[[#This Row],[Longitude]]-MyLong)))</f>
        <v>332.74764148096631</v>
      </c>
      <c r="J150">
        <f t="shared" si="5"/>
        <v>0</v>
      </c>
      <c r="K15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64.173355504151033</v>
      </c>
      <c r="L150" t="str">
        <f>IF(EVCleanedDataset[[#This Row],[Score]]&gt;50,"Yes","No")</f>
        <v>Yes</v>
      </c>
    </row>
    <row r="151" spans="1:12" x14ac:dyDescent="0.3">
      <c r="A151" t="s">
        <v>555</v>
      </c>
      <c r="B151" t="s">
        <v>150</v>
      </c>
      <c r="C151" t="s">
        <v>2751</v>
      </c>
      <c r="D151">
        <v>15.360651000000001</v>
      </c>
      <c r="E151">
        <v>75.126773999999997</v>
      </c>
      <c r="F151">
        <f>IF(COUNTIF($C$5:C151,C151)=1,1,0)</f>
        <v>0</v>
      </c>
      <c r="G151" s="2" t="str">
        <f t="shared" si="4"/>
        <v/>
      </c>
      <c r="H151" s="2">
        <f>MAX(0, MyBattery - (EVCleanedDataset[[#This Row],[Distance(km)]]/VehicleRangeKm)*100)</f>
        <v>0</v>
      </c>
      <c r="I151" s="2">
        <f>6371*ACOS(SIN(RADIANS(MyLat))*SIN(RADIANS(EVCleanedDataset[[#This Row],[Latitude]]))+COS(RADIANS(MyLat))*COS(RADIANS(EVCleanedDataset[[#This Row],[Latitude]]))*COS(RADIANS(EVCleanedDataset[[#This Row],[Longitude]]-MyLong)))</f>
        <v>342.72497937251512</v>
      </c>
      <c r="J151">
        <f t="shared" si="5"/>
        <v>7</v>
      </c>
      <c r="K151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40.665277012052194</v>
      </c>
      <c r="L151" t="str">
        <f>IF(EVCleanedDataset[[#This Row],[Score]]&gt;50,"Yes","No")</f>
        <v>No</v>
      </c>
    </row>
    <row r="152" spans="1:12" x14ac:dyDescent="0.3">
      <c r="A152" t="s">
        <v>3275</v>
      </c>
      <c r="B152" t="s">
        <v>41</v>
      </c>
      <c r="C152" t="s">
        <v>119</v>
      </c>
      <c r="D152">
        <v>18.9453551</v>
      </c>
      <c r="E152">
        <v>72.838328700000005</v>
      </c>
      <c r="F152">
        <f>IF(COUNTIF($C$5:C152,C152)=1,1,0)</f>
        <v>0</v>
      </c>
      <c r="G152" s="2" t="str">
        <f t="shared" si="4"/>
        <v/>
      </c>
      <c r="H152" s="2">
        <f>MAX(0, MyBattery - (EVCleanedDataset[[#This Row],[Distance(km)]]/VehicleRangeKm)*100)</f>
        <v>0</v>
      </c>
      <c r="I152" s="2">
        <f>6371*ACOS(SIN(RADIANS(MyLat))*SIN(RADIANS(EVCleanedDataset[[#This Row],[Latitude]]))+COS(RADIANS(MyLat))*COS(RADIANS(EVCleanedDataset[[#This Row],[Latitude]]))*COS(RADIANS(EVCleanedDataset[[#This Row],[Longitude]]-MyLong)))</f>
        <v>799.29800228946681</v>
      </c>
      <c r="J152">
        <f t="shared" si="5"/>
        <v>4</v>
      </c>
      <c r="K15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42.668315076734153</v>
      </c>
      <c r="L152" t="str">
        <f>IF(EVCleanedDataset[[#This Row],[Score]]&gt;50,"Yes","No")</f>
        <v>No</v>
      </c>
    </row>
    <row r="153" spans="1:12" x14ac:dyDescent="0.3">
      <c r="A153" t="s">
        <v>3230</v>
      </c>
      <c r="B153" t="s">
        <v>49</v>
      </c>
      <c r="C153" t="s">
        <v>1338</v>
      </c>
      <c r="D153">
        <v>10.021839999999999</v>
      </c>
      <c r="E153">
        <v>78.313519999999997</v>
      </c>
      <c r="F153">
        <f>IF(COUNTIF($C$5:C153,C153)=1,1,0)</f>
        <v>1</v>
      </c>
      <c r="G153" s="2">
        <f t="shared" si="4"/>
        <v>379.50043260909956</v>
      </c>
      <c r="H153" s="2">
        <f>MAX(0, MyBattery - (EVCleanedDataset[[#This Row],[Distance(km)]]/VehicleRangeKm)*100)</f>
        <v>0</v>
      </c>
      <c r="I153" s="2">
        <f>6371*ACOS(SIN(RADIANS(MyLat))*SIN(RADIANS(EVCleanedDataset[[#This Row],[Latitude]]))+COS(RADIANS(MyLat))*COS(RADIANS(EVCleanedDataset[[#This Row],[Latitude]]))*COS(RADIANS(EVCleanedDataset[[#This Row],[Longitude]]-MyLong)))</f>
        <v>379.50043260909956</v>
      </c>
      <c r="J153">
        <f t="shared" si="5"/>
        <v>1</v>
      </c>
      <c r="K153" s="5">
        <f>((1-(EVCleanedDataset[[#This Row],[Distance(km)]]/MAX($I$5:$I$1121)))*0.4 + (1-(EVCleanedDataset[[#This Row],[QueueLength]]/MAX($J$5:$J$1121)))*0.3 + (EVCleanedDataset[[#This Row],[EstimatedBatteryOnArrival]]/100)*0.3 + (ROW()/10000000))*100</f>
        <v>60.021167261322141</v>
      </c>
      <c r="L153" t="str">
        <f>IF(EVCleanedDataset[[#This Row],[Score]]&gt;50,"Yes","No")</f>
        <v>Yes</v>
      </c>
    </row>
    <row r="154" spans="1:12" x14ac:dyDescent="0.3">
      <c r="A154" t="s">
        <v>2945</v>
      </c>
      <c r="B154" t="s">
        <v>41</v>
      </c>
      <c r="C154" t="s">
        <v>1013</v>
      </c>
      <c r="D154">
        <v>19.26433634</v>
      </c>
      <c r="E154">
        <v>74.827199739999998</v>
      </c>
      <c r="F154">
        <f>IF(COUNTIF($C$5:C154,C154)=1,1,0)</f>
        <v>0</v>
      </c>
      <c r="G154" s="2" t="str">
        <f t="shared" si="4"/>
        <v/>
      </c>
      <c r="H154" s="2">
        <f>MAX(0, MyBattery - (EVCleanedDataset[[#This Row],[Distance(km)]]/VehicleRangeKm)*100)</f>
        <v>0</v>
      </c>
      <c r="I154" s="2">
        <f>6371*ACOS(SIN(RADIANS(MyLat))*SIN(RADIANS(EVCleanedDataset[[#This Row],[Latitude]]))+COS(RADIANS(MyLat))*COS(RADIANS(EVCleanedDataset[[#This Row],[Latitude]]))*COS(RADIANS(EVCleanedDataset[[#This Row],[Longitude]]-MyLong)))</f>
        <v>718.46727946156477</v>
      </c>
      <c r="J154">
        <f t="shared" si="5"/>
        <v>8</v>
      </c>
      <c r="K154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30.750768750037533</v>
      </c>
      <c r="L154" t="str">
        <f>IF(EVCleanedDataset[[#This Row],[Score]]&gt;50,"Yes","No")</f>
        <v>No</v>
      </c>
    </row>
    <row r="155" spans="1:12" x14ac:dyDescent="0.3">
      <c r="A155" t="s">
        <v>2041</v>
      </c>
      <c r="B155" t="s">
        <v>386</v>
      </c>
      <c r="C155" t="s">
        <v>2042</v>
      </c>
      <c r="D155">
        <v>10.5955128</v>
      </c>
      <c r="E155">
        <v>76.044332199999999</v>
      </c>
      <c r="F155">
        <f>IF(COUNTIF($C$5:C155,C155)=1,1,0)</f>
        <v>1</v>
      </c>
      <c r="G155" s="2">
        <f t="shared" si="4"/>
        <v>346.59130467381863</v>
      </c>
      <c r="H155" s="2">
        <f>MAX(0, MyBattery - (EVCleanedDataset[[#This Row],[Distance(km)]]/VehicleRangeKm)*100)</f>
        <v>0</v>
      </c>
      <c r="I155" s="2">
        <f>6371*ACOS(SIN(RADIANS(MyLat))*SIN(RADIANS(EVCleanedDataset[[#This Row],[Latitude]]))+COS(RADIANS(MyLat))*COS(RADIANS(EVCleanedDataset[[#This Row],[Latitude]]))*COS(RADIANS(EVCleanedDataset[[#This Row],[Longitude]]-MyLong)))</f>
        <v>346.59130467381863</v>
      </c>
      <c r="J155">
        <f t="shared" si="5"/>
        <v>5</v>
      </c>
      <c r="K155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47.264264182876119</v>
      </c>
      <c r="L155" t="str">
        <f>IF(EVCleanedDataset[[#This Row],[Score]]&gt;50,"Yes","No")</f>
        <v>No</v>
      </c>
    </row>
    <row r="156" spans="1:12" x14ac:dyDescent="0.3">
      <c r="A156" t="s">
        <v>2909</v>
      </c>
      <c r="B156" t="s">
        <v>41</v>
      </c>
      <c r="C156" t="s">
        <v>119</v>
      </c>
      <c r="D156">
        <v>18.9917205</v>
      </c>
      <c r="E156">
        <v>72.841513000000006</v>
      </c>
      <c r="F156">
        <f>IF(COUNTIF($C$5:C156,C156)=1,1,0)</f>
        <v>0</v>
      </c>
      <c r="G156" s="2" t="str">
        <f t="shared" si="4"/>
        <v/>
      </c>
      <c r="H156" s="2">
        <f>MAX(0, MyBattery - (EVCleanedDataset[[#This Row],[Distance(km)]]/VehicleRangeKm)*100)</f>
        <v>0</v>
      </c>
      <c r="I156" s="2">
        <f>6371*ACOS(SIN(RADIANS(MyLat))*SIN(RADIANS(EVCleanedDataset[[#This Row],[Latitude]]))+COS(RADIANS(MyLat))*COS(RADIANS(EVCleanedDataset[[#This Row],[Latitude]]))*COS(RADIANS(EVCleanedDataset[[#This Row],[Longitude]]-MyLong)))</f>
        <v>803.06665986892813</v>
      </c>
      <c r="J156">
        <f t="shared" si="5"/>
        <v>2</v>
      </c>
      <c r="K15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49.269012918121945</v>
      </c>
      <c r="L156" t="str">
        <f>IF(EVCleanedDataset[[#This Row],[Score]]&gt;50,"Yes","No")</f>
        <v>No</v>
      </c>
    </row>
    <row r="157" spans="1:12" x14ac:dyDescent="0.3">
      <c r="A157" t="s">
        <v>325</v>
      </c>
      <c r="B157" t="s">
        <v>150</v>
      </c>
      <c r="C157" t="s">
        <v>1341</v>
      </c>
      <c r="D157">
        <v>12.934100151061999</v>
      </c>
      <c r="E157">
        <v>77.517196655273395</v>
      </c>
      <c r="F157">
        <f>IF(COUNTIF($C$5:C157,C157)=1,1,0)</f>
        <v>0</v>
      </c>
      <c r="G157" s="2" t="str">
        <f t="shared" si="4"/>
        <v/>
      </c>
      <c r="H157" s="2">
        <f>MAX(0, MyBattery - (EVCleanedDataset[[#This Row],[Distance(km)]]/VehicleRangeKm)*100)</f>
        <v>54.599909095601603</v>
      </c>
      <c r="I157" s="2">
        <f>6371*ACOS(SIN(RADIANS(MyLat))*SIN(RADIANS(EVCleanedDataset[[#This Row],[Latitude]]))+COS(RADIANS(MyLat))*COS(RADIANS(EVCleanedDataset[[#This Row],[Latitude]]))*COS(RADIANS(EVCleanedDataset[[#This Row],[Longitude]]-MyLong)))</f>
        <v>46.200272713195183</v>
      </c>
      <c r="J157">
        <f t="shared" si="5"/>
        <v>9</v>
      </c>
      <c r="K157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55.572335294717249</v>
      </c>
      <c r="L157" t="str">
        <f>IF(EVCleanedDataset[[#This Row],[Score]]&gt;50,"Yes","No")</f>
        <v>Yes</v>
      </c>
    </row>
    <row r="158" spans="1:12" x14ac:dyDescent="0.3">
      <c r="A158" t="s">
        <v>549</v>
      </c>
      <c r="B158" t="s">
        <v>41</v>
      </c>
      <c r="C158" t="s">
        <v>119</v>
      </c>
      <c r="D158">
        <v>19.031329899999999</v>
      </c>
      <c r="E158">
        <v>72.8809653</v>
      </c>
      <c r="F158">
        <f>IF(COUNTIF($C$5:C158,C158)=1,1,0)</f>
        <v>0</v>
      </c>
      <c r="G158" s="2" t="str">
        <f t="shared" si="4"/>
        <v/>
      </c>
      <c r="H158" s="2">
        <f>MAX(0, MyBattery - (EVCleanedDataset[[#This Row],[Distance(km)]]/VehicleRangeKm)*100)</f>
        <v>0</v>
      </c>
      <c r="I158" s="2">
        <f>6371*ACOS(SIN(RADIANS(MyLat))*SIN(RADIANS(EVCleanedDataset[[#This Row],[Latitude]]))+COS(RADIANS(MyLat))*COS(RADIANS(EVCleanedDataset[[#This Row],[Latitude]]))*COS(RADIANS(EVCleanedDataset[[#This Row],[Longitude]]-MyLong)))</f>
        <v>803.86899728018557</v>
      </c>
      <c r="J158">
        <f t="shared" si="5"/>
        <v>6</v>
      </c>
      <c r="K15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35.921646477315271</v>
      </c>
      <c r="L158" t="str">
        <f>IF(EVCleanedDataset[[#This Row],[Score]]&gt;50,"Yes","No")</f>
        <v>No</v>
      </c>
    </row>
    <row r="159" spans="1:12" x14ac:dyDescent="0.3">
      <c r="A159" t="s">
        <v>3273</v>
      </c>
      <c r="B159" t="s">
        <v>41</v>
      </c>
      <c r="C159" t="s">
        <v>119</v>
      </c>
      <c r="D159">
        <v>19.018857000000001</v>
      </c>
      <c r="E159">
        <v>72.831075999999996</v>
      </c>
      <c r="F159">
        <f>IF(COUNTIF($C$5:C159,C159)=1,1,0)</f>
        <v>0</v>
      </c>
      <c r="G159" s="2" t="str">
        <f t="shared" si="4"/>
        <v/>
      </c>
      <c r="H159" s="2">
        <f>MAX(0, MyBattery - (EVCleanedDataset[[#This Row],[Distance(km)]]/VehicleRangeKm)*100)</f>
        <v>0</v>
      </c>
      <c r="I159" s="2">
        <f>6371*ACOS(SIN(RADIANS(MyLat))*SIN(RADIANS(EVCleanedDataset[[#This Row],[Latitude]]))+COS(RADIANS(MyLat))*COS(RADIANS(EVCleanedDataset[[#This Row],[Latitude]]))*COS(RADIANS(EVCleanedDataset[[#This Row],[Longitude]]-MyLong)))</f>
        <v>806.09700786780422</v>
      </c>
      <c r="J159">
        <f t="shared" si="5"/>
        <v>3</v>
      </c>
      <c r="K159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45.882632406144907</v>
      </c>
      <c r="L159" t="str">
        <f>IF(EVCleanedDataset[[#This Row],[Score]]&gt;50,"Yes","No")</f>
        <v>No</v>
      </c>
    </row>
    <row r="160" spans="1:12" x14ac:dyDescent="0.3">
      <c r="A160" t="s">
        <v>2941</v>
      </c>
      <c r="B160" t="s">
        <v>41</v>
      </c>
      <c r="C160" t="s">
        <v>119</v>
      </c>
      <c r="D160">
        <v>19.051601000000002</v>
      </c>
      <c r="E160">
        <v>72.838010999999995</v>
      </c>
      <c r="F160">
        <f>IF(COUNTIF($C$5:C160,C160)=1,1,0)</f>
        <v>0</v>
      </c>
      <c r="G160" s="2" t="str">
        <f t="shared" si="4"/>
        <v/>
      </c>
      <c r="H160" s="2">
        <f>MAX(0, MyBattery - (EVCleanedDataset[[#This Row],[Distance(km)]]/VehicleRangeKm)*100)</f>
        <v>0</v>
      </c>
      <c r="I160" s="2">
        <f>6371*ACOS(SIN(RADIANS(MyLat))*SIN(RADIANS(EVCleanedDataset[[#This Row],[Latitude]]))+COS(RADIANS(MyLat))*COS(RADIANS(EVCleanedDataset[[#This Row],[Latitude]]))*COS(RADIANS(EVCleanedDataset[[#This Row],[Longitude]]-MyLong)))</f>
        <v>808.46063678958001</v>
      </c>
      <c r="J160">
        <f t="shared" si="5"/>
        <v>0</v>
      </c>
      <c r="K160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55.841242951503055</v>
      </c>
      <c r="L160" t="str">
        <f>IF(EVCleanedDataset[[#This Row],[Score]]&gt;50,"Yes","No")</f>
        <v>Yes</v>
      </c>
    </row>
    <row r="161" spans="1:12" x14ac:dyDescent="0.3">
      <c r="A161" t="s">
        <v>718</v>
      </c>
      <c r="B161" t="s">
        <v>150</v>
      </c>
      <c r="C161" t="s">
        <v>1341</v>
      </c>
      <c r="D161">
        <v>12.982728</v>
      </c>
      <c r="E161">
        <v>77.594178999999997</v>
      </c>
      <c r="F161">
        <f>IF(COUNTIF($C$5:C161,C161)=1,1,0)</f>
        <v>0</v>
      </c>
      <c r="G161" s="2" t="str">
        <f t="shared" si="4"/>
        <v/>
      </c>
      <c r="H161" s="2">
        <f>MAX(0, MyBattery - (EVCleanedDataset[[#This Row],[Distance(km)]]/VehicleRangeKm)*100)</f>
        <v>56.266606277898276</v>
      </c>
      <c r="I161" s="2">
        <f>6371*ACOS(SIN(RADIANS(MyLat))*SIN(RADIANS(EVCleanedDataset[[#This Row],[Latitude]]))+COS(RADIANS(MyLat))*COS(RADIANS(EVCleanedDataset[[#This Row],[Latitude]]))*COS(RADIANS(EVCleanedDataset[[#This Row],[Longitude]]-MyLong)))</f>
        <v>41.200181166305157</v>
      </c>
      <c r="J161">
        <f t="shared" si="5"/>
        <v>7</v>
      </c>
      <c r="K161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62.826628764701923</v>
      </c>
      <c r="L161" t="str">
        <f>IF(EVCleanedDataset[[#This Row],[Score]]&gt;50,"Yes","No")</f>
        <v>Yes</v>
      </c>
    </row>
    <row r="162" spans="1:12" x14ac:dyDescent="0.3">
      <c r="A162" t="s">
        <v>2884</v>
      </c>
      <c r="B162" t="s">
        <v>150</v>
      </c>
      <c r="C162" t="s">
        <v>1341</v>
      </c>
      <c r="D162">
        <v>12.971406</v>
      </c>
      <c r="E162">
        <v>77.595799</v>
      </c>
      <c r="F162">
        <f>IF(COUNTIF($C$5:C162,C162)=1,1,0)</f>
        <v>0</v>
      </c>
      <c r="G162" s="2" t="str">
        <f t="shared" si="4"/>
        <v/>
      </c>
      <c r="H162" s="2">
        <f>MAX(0, MyBattery - (EVCleanedDataset[[#This Row],[Distance(km)]]/VehicleRangeKm)*100)</f>
        <v>55.842921231076446</v>
      </c>
      <c r="I162" s="2">
        <f>6371*ACOS(SIN(RADIANS(MyLat))*SIN(RADIANS(EVCleanedDataset[[#This Row],[Latitude]]))+COS(RADIANS(MyLat))*COS(RADIANS(EVCleanedDataset[[#This Row],[Latitude]]))*COS(RADIANS(EVCleanedDataset[[#This Row],[Longitude]]-MyLong)))</f>
        <v>42.471236306770656</v>
      </c>
      <c r="J162">
        <f t="shared" si="5"/>
        <v>4</v>
      </c>
      <c r="K162" s="5">
        <f>((1-(EVCleanedDataset[[#This Row],[Distance(km)]]/MAX($I$5:$I$1121)))*0.4 + (1-(EVCleanedDataset[[#This Row],[QueueLength]]/MAX($J$5:$J$1121)))*0.3 + (EVCleanedDataset[[#This Row],[EstimatedBatteryOnArrival]]/100)*0.3 + (ROW()/10000000))*100</f>
        <v>72.677270454177361</v>
      </c>
      <c r="L162" t="str">
        <f>IF(EVCleanedDataset[[#This Row],[Score]]&gt;50,"Yes","No")</f>
        <v>Yes</v>
      </c>
    </row>
    <row r="163" spans="1:12" x14ac:dyDescent="0.3">
      <c r="A163" t="s">
        <v>3065</v>
      </c>
      <c r="B163" t="s">
        <v>150</v>
      </c>
      <c r="C163" t="s">
        <v>1341</v>
      </c>
      <c r="D163">
        <v>13.095602</v>
      </c>
      <c r="E163">
        <v>77.594067999999993</v>
      </c>
      <c r="F163">
        <f>IF(COUNTIF($C$5:C163,C163)=1,1,0)</f>
        <v>0</v>
      </c>
      <c r="G163" s="2" t="str">
        <f t="shared" si="4"/>
        <v/>
      </c>
      <c r="H163" s="2">
        <f>MAX(0, MyBattery - (EVCleanedDataset[[#This Row],[Distance(km)]]/VehicleRangeKm)*100)</f>
        <v>60.384367684175238</v>
      </c>
      <c r="I163" s="2">
        <f>6371*ACOS(SIN(RADIANS(MyLat))*SIN(RADIANS(EVCleanedDataset[[#This Row],[Latitude]]))+COS(RADIANS(MyLat))*COS(RADIANS(EVCleanedDataset[[#This Row],[Latitude]]))*COS(RADIANS(EVCleanedDataset[[#This Row],[Longitude]]-MyLong)))</f>
        <v>28.846896947474288</v>
      </c>
      <c r="J163">
        <f t="shared" si="5"/>
        <v>1</v>
      </c>
      <c r="K163" s="5">
        <f>((1-(EVCleanedDataset[[#This Row],[Distance(km)]]/MAX($I$5:$I$1121)))*0.4 + (1-(EVCleanedDataset[[#This Row],[QueueLength]]/MAX($J$5:$J$1121)))*0.3 + (EVCleanedDataset[[#This Row],[EstimatedBatteryOnArrival]]/100)*0.3 + (ROW()/10000000))*100</f>
        <v>84.27834754192456</v>
      </c>
      <c r="L163" t="str">
        <f>IF(EVCleanedDataset[[#This Row],[Score]]&gt;50,"Yes","No")</f>
        <v>Yes</v>
      </c>
    </row>
    <row r="164" spans="1:12" x14ac:dyDescent="0.3">
      <c r="A164" t="s">
        <v>2280</v>
      </c>
      <c r="B164" t="s">
        <v>386</v>
      </c>
      <c r="C164" t="s">
        <v>1807</v>
      </c>
      <c r="D164">
        <v>10.540817000000001</v>
      </c>
      <c r="E164">
        <v>76.189423000000005</v>
      </c>
      <c r="F164">
        <f>IF(COUNTIF($C$5:C164,C164)=1,1,0)</f>
        <v>0</v>
      </c>
      <c r="G164" s="2" t="str">
        <f t="shared" si="4"/>
        <v/>
      </c>
      <c r="H164" s="2">
        <f>MAX(0, MyBattery - (EVCleanedDataset[[#This Row],[Distance(km)]]/VehicleRangeKm)*100)</f>
        <v>0</v>
      </c>
      <c r="I164" s="2">
        <f>6371*ACOS(SIN(RADIANS(MyLat))*SIN(RADIANS(EVCleanedDataset[[#This Row],[Latitude]]))+COS(RADIANS(MyLat))*COS(RADIANS(EVCleanedDataset[[#This Row],[Latitude]]))*COS(RADIANS(EVCleanedDataset[[#This Row],[Longitude]]-MyLong)))</f>
        <v>344.98466888467954</v>
      </c>
      <c r="J164">
        <f t="shared" si="5"/>
        <v>8</v>
      </c>
      <c r="K164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37.292494744563136</v>
      </c>
      <c r="L164" t="str">
        <f>IF(EVCleanedDataset[[#This Row],[Score]]&gt;50,"Yes","No")</f>
        <v>No</v>
      </c>
    </row>
    <row r="165" spans="1:12" x14ac:dyDescent="0.3">
      <c r="A165" t="s">
        <v>462</v>
      </c>
      <c r="B165" t="s">
        <v>41</v>
      </c>
      <c r="C165" t="s">
        <v>119</v>
      </c>
      <c r="D165">
        <v>19.106207000000001</v>
      </c>
      <c r="E165">
        <v>72.860260999999994</v>
      </c>
      <c r="F165">
        <f>IF(COUNTIF($C$5:C165,C165)=1,1,0)</f>
        <v>0</v>
      </c>
      <c r="G165" s="2" t="str">
        <f t="shared" si="4"/>
        <v/>
      </c>
      <c r="H165" s="2">
        <f>MAX(0, MyBattery - (EVCleanedDataset[[#This Row],[Distance(km)]]/VehicleRangeKm)*100)</f>
        <v>0</v>
      </c>
      <c r="I165" s="2">
        <f>6371*ACOS(SIN(RADIANS(MyLat))*SIN(RADIANS(EVCleanedDataset[[#This Row],[Latitude]]))+COS(RADIANS(MyLat))*COS(RADIANS(EVCleanedDataset[[#This Row],[Latitude]]))*COS(RADIANS(EVCleanedDataset[[#This Row],[Longitude]]-MyLong)))</f>
        <v>811.72368342419463</v>
      </c>
      <c r="J165">
        <f t="shared" si="5"/>
        <v>5</v>
      </c>
      <c r="K165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39.117473340945978</v>
      </c>
      <c r="L165" t="str">
        <f>IF(EVCleanedDataset[[#This Row],[Score]]&gt;50,"Yes","No")</f>
        <v>No</v>
      </c>
    </row>
    <row r="166" spans="1:12" x14ac:dyDescent="0.3">
      <c r="A166" t="s">
        <v>2657</v>
      </c>
      <c r="B166" t="s">
        <v>41</v>
      </c>
      <c r="C166" t="s">
        <v>119</v>
      </c>
      <c r="D166">
        <v>19.133659000000002</v>
      </c>
      <c r="E166">
        <v>72.900817000000004</v>
      </c>
      <c r="F166">
        <f>IF(COUNTIF($C$5:C166,C166)=1,1,0)</f>
        <v>0</v>
      </c>
      <c r="G166" s="2" t="str">
        <f t="shared" si="4"/>
        <v/>
      </c>
      <c r="H166" s="2">
        <f>MAX(0, MyBattery - (EVCleanedDataset[[#This Row],[Distance(km)]]/VehicleRangeKm)*100)</f>
        <v>0</v>
      </c>
      <c r="I166" s="2">
        <f>6371*ACOS(SIN(RADIANS(MyLat))*SIN(RADIANS(EVCleanedDataset[[#This Row],[Latitude]]))+COS(RADIANS(MyLat))*COS(RADIANS(EVCleanedDataset[[#This Row],[Latitude]]))*COS(RADIANS(EVCleanedDataset[[#This Row],[Longitude]]-MyLong)))</f>
        <v>811.46492873155205</v>
      </c>
      <c r="J166">
        <f t="shared" si="5"/>
        <v>2</v>
      </c>
      <c r="K16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49.122015483475934</v>
      </c>
      <c r="L166" t="str">
        <f>IF(EVCleanedDataset[[#This Row],[Score]]&gt;50,"Yes","No")</f>
        <v>No</v>
      </c>
    </row>
    <row r="167" spans="1:12" x14ac:dyDescent="0.3">
      <c r="A167" t="s">
        <v>2316</v>
      </c>
      <c r="B167" t="s">
        <v>41</v>
      </c>
      <c r="C167" t="s">
        <v>119</v>
      </c>
      <c r="D167">
        <v>19.11599</v>
      </c>
      <c r="E167">
        <v>72.850179999999995</v>
      </c>
      <c r="F167">
        <f>IF(COUNTIF($C$5:C167,C167)=1,1,0)</f>
        <v>0</v>
      </c>
      <c r="G167" s="2" t="str">
        <f t="shared" si="4"/>
        <v/>
      </c>
      <c r="H167" s="2">
        <f>MAX(0, MyBattery - (EVCleanedDataset[[#This Row],[Distance(km)]]/VehicleRangeKm)*100)</f>
        <v>0</v>
      </c>
      <c r="I167" s="2">
        <f>6371*ACOS(SIN(RADIANS(MyLat))*SIN(RADIANS(EVCleanedDataset[[#This Row],[Latitude]]))+COS(RADIANS(MyLat))*COS(RADIANS(EVCleanedDataset[[#This Row],[Latitude]]))*COS(RADIANS(EVCleanedDataset[[#This Row],[Longitude]]-MyLong)))</f>
        <v>813.23475189815281</v>
      </c>
      <c r="J167">
        <f t="shared" si="5"/>
        <v>9</v>
      </c>
      <c r="K167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25.757693327427756</v>
      </c>
      <c r="L167" t="str">
        <f>IF(EVCleanedDataset[[#This Row],[Score]]&gt;50,"Yes","No")</f>
        <v>No</v>
      </c>
    </row>
    <row r="168" spans="1:12" x14ac:dyDescent="0.3">
      <c r="A168" t="s">
        <v>2896</v>
      </c>
      <c r="B168" t="s">
        <v>41</v>
      </c>
      <c r="C168" t="s">
        <v>119</v>
      </c>
      <c r="D168">
        <v>19.144775822447201</v>
      </c>
      <c r="E168">
        <v>72.937146628405102</v>
      </c>
      <c r="F168">
        <f>IF(COUNTIF($C$5:C168,C168)=1,1,0)</f>
        <v>0</v>
      </c>
      <c r="G168" s="2" t="str">
        <f t="shared" si="4"/>
        <v/>
      </c>
      <c r="H168" s="2">
        <f>MAX(0, MyBattery - (EVCleanedDataset[[#This Row],[Distance(km)]]/VehicleRangeKm)*100)</f>
        <v>0</v>
      </c>
      <c r="I168" s="2">
        <f>6371*ACOS(SIN(RADIANS(MyLat))*SIN(RADIANS(EVCleanedDataset[[#This Row],[Latitude]]))+COS(RADIANS(MyLat))*COS(RADIANS(EVCleanedDataset[[#This Row],[Latitude]]))*COS(RADIANS(EVCleanedDataset[[#This Row],[Longitude]]-MyLong)))</f>
        <v>810.08157854571039</v>
      </c>
      <c r="J168">
        <f t="shared" si="5"/>
        <v>6</v>
      </c>
      <c r="K16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35.812931817813762</v>
      </c>
      <c r="L168" t="str">
        <f>IF(EVCleanedDataset[[#This Row],[Score]]&gt;50,"Yes","No")</f>
        <v>No</v>
      </c>
    </row>
    <row r="169" spans="1:12" x14ac:dyDescent="0.3">
      <c r="A169" t="s">
        <v>2597</v>
      </c>
      <c r="B169" t="s">
        <v>115</v>
      </c>
      <c r="C169" t="s">
        <v>2598</v>
      </c>
      <c r="D169">
        <v>16.420000000000002</v>
      </c>
      <c r="E169">
        <v>77.94</v>
      </c>
      <c r="F169">
        <f>IF(COUNTIF($C$5:C169,C169)=1,1,0)</f>
        <v>1</v>
      </c>
      <c r="G169" s="2">
        <f t="shared" si="4"/>
        <v>344.1942269787765</v>
      </c>
      <c r="H169" s="2">
        <f>MAX(0, MyBattery - (EVCleanedDataset[[#This Row],[Distance(km)]]/VehicleRangeKm)*100)</f>
        <v>0</v>
      </c>
      <c r="I169" s="2">
        <f>6371*ACOS(SIN(RADIANS(MyLat))*SIN(RADIANS(EVCleanedDataset[[#This Row],[Latitude]]))+COS(RADIANS(MyLat))*COS(RADIANS(EVCleanedDataset[[#This Row],[Latitude]]))*COS(RADIANS(EVCleanedDataset[[#This Row],[Longitude]]-MyLong)))</f>
        <v>344.1942269787765</v>
      </c>
      <c r="J169">
        <f t="shared" si="5"/>
        <v>3</v>
      </c>
      <c r="K169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53.973056166440315</v>
      </c>
      <c r="L169" t="str">
        <f>IF(EVCleanedDataset[[#This Row],[Score]]&gt;50,"Yes","No")</f>
        <v>Yes</v>
      </c>
    </row>
    <row r="170" spans="1:12" x14ac:dyDescent="0.3">
      <c r="A170" t="s">
        <v>3063</v>
      </c>
      <c r="B170" t="s">
        <v>150</v>
      </c>
      <c r="C170" t="s">
        <v>1341</v>
      </c>
      <c r="D170">
        <v>13.02043003</v>
      </c>
      <c r="E170">
        <v>77.640933559999993</v>
      </c>
      <c r="F170">
        <f>IF(COUNTIF($C$5:C170,C170)=1,1,0)</f>
        <v>0</v>
      </c>
      <c r="G170" s="2" t="str">
        <f t="shared" si="4"/>
        <v/>
      </c>
      <c r="H170" s="2">
        <f>MAX(0, MyBattery - (EVCleanedDataset[[#This Row],[Distance(km)]]/VehicleRangeKm)*100)</f>
        <v>57.25826615913752</v>
      </c>
      <c r="I170" s="2">
        <f>6371*ACOS(SIN(RADIANS(MyLat))*SIN(RADIANS(EVCleanedDataset[[#This Row],[Latitude]]))+COS(RADIANS(MyLat))*COS(RADIANS(EVCleanedDataset[[#This Row],[Latitude]]))*COS(RADIANS(EVCleanedDataset[[#This Row],[Longitude]]-MyLong)))</f>
        <v>38.225201522587433</v>
      </c>
      <c r="J170">
        <f t="shared" si="5"/>
        <v>0</v>
      </c>
      <c r="K170" s="5">
        <f>((1-(EVCleanedDataset[[#This Row],[Distance(km)]]/MAX($I$5:$I$1121)))*0.4 + (1-(EVCleanedDataset[[#This Row],[QueueLength]]/MAX($J$5:$J$1121)))*0.3 + (EVCleanedDataset[[#This Row],[EstimatedBatteryOnArrival]]/100)*0.3 + (ROW()/10000000))*100</f>
        <v>86.509657452736306</v>
      </c>
      <c r="L170" t="str">
        <f>IF(EVCleanedDataset[[#This Row],[Score]]&gt;50,"Yes","No")</f>
        <v>Yes</v>
      </c>
    </row>
    <row r="171" spans="1:12" x14ac:dyDescent="0.3">
      <c r="A171" t="s">
        <v>3365</v>
      </c>
      <c r="B171" t="s">
        <v>49</v>
      </c>
      <c r="C171" t="s">
        <v>188</v>
      </c>
      <c r="D171">
        <v>11.080994199999999</v>
      </c>
      <c r="E171">
        <v>76.991148899999999</v>
      </c>
      <c r="F171">
        <f>IF(COUNTIF($C$5:C171,C171)=1,1,0)</f>
        <v>0</v>
      </c>
      <c r="G171" s="2" t="str">
        <f t="shared" si="4"/>
        <v/>
      </c>
      <c r="H171" s="2">
        <f>MAX(0, MyBattery - (EVCleanedDataset[[#This Row],[Distance(km)]]/VehicleRangeKm)*100)</f>
        <v>0</v>
      </c>
      <c r="I171" s="2">
        <f>6371*ACOS(SIN(RADIANS(MyLat))*SIN(RADIANS(EVCleanedDataset[[#This Row],[Latitude]]))+COS(RADIANS(MyLat))*COS(RADIANS(EVCleanedDataset[[#This Row],[Latitude]]))*COS(RADIANS(EVCleanedDataset[[#This Row],[Longitude]]-MyLong)))</f>
        <v>259.09822859703274</v>
      </c>
      <c r="J171">
        <f t="shared" si="5"/>
        <v>7</v>
      </c>
      <c r="K171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42.130217032653483</v>
      </c>
      <c r="L171" t="str">
        <f>IF(EVCleanedDataset[[#This Row],[Score]]&gt;50,"Yes","No")</f>
        <v>No</v>
      </c>
    </row>
    <row r="172" spans="1:12" x14ac:dyDescent="0.3">
      <c r="A172" t="s">
        <v>2906</v>
      </c>
      <c r="B172" t="s">
        <v>105</v>
      </c>
      <c r="C172" t="s">
        <v>105</v>
      </c>
      <c r="D172">
        <v>15.485333300000001</v>
      </c>
      <c r="E172">
        <v>73.813587100000007</v>
      </c>
      <c r="F172">
        <f>IF(COUNTIF($C$5:C172,C172)=1,1,0)</f>
        <v>0</v>
      </c>
      <c r="G172" s="2" t="str">
        <f t="shared" si="4"/>
        <v/>
      </c>
      <c r="H172" s="2">
        <f>MAX(0, MyBattery - (EVCleanedDataset[[#This Row],[Distance(km)]]/VehicleRangeKm)*100)</f>
        <v>0</v>
      </c>
      <c r="I172" s="2">
        <f>6371*ACOS(SIN(RADIANS(MyLat))*SIN(RADIANS(EVCleanedDataset[[#This Row],[Latitude]]))+COS(RADIANS(MyLat))*COS(RADIANS(EVCleanedDataset[[#This Row],[Latitude]]))*COS(RADIANS(EVCleanedDataset[[#This Row],[Longitude]]-MyLong)))</f>
        <v>466.08107849144506</v>
      </c>
      <c r="J172">
        <f t="shared" si="5"/>
        <v>4</v>
      </c>
      <c r="K17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48.504879150461939</v>
      </c>
      <c r="L172" t="str">
        <f>IF(EVCleanedDataset[[#This Row],[Score]]&gt;50,"Yes","No")</f>
        <v>No</v>
      </c>
    </row>
    <row r="173" spans="1:12" x14ac:dyDescent="0.3">
      <c r="A173" t="s">
        <v>658</v>
      </c>
      <c r="B173" t="s">
        <v>105</v>
      </c>
      <c r="C173" t="s">
        <v>105</v>
      </c>
      <c r="D173">
        <v>15.484519601322299</v>
      </c>
      <c r="E173">
        <v>73.809121797394994</v>
      </c>
      <c r="F173">
        <f>IF(COUNTIF($C$5:C173,C173)=1,1,0)</f>
        <v>0</v>
      </c>
      <c r="G173" s="2" t="str">
        <f t="shared" si="4"/>
        <v/>
      </c>
      <c r="H173" s="2">
        <f>MAX(0, MyBattery - (EVCleanedDataset[[#This Row],[Distance(km)]]/VehicleRangeKm)*100)</f>
        <v>0</v>
      </c>
      <c r="I173" s="2">
        <f>6371*ACOS(SIN(RADIANS(MyLat))*SIN(RADIANS(EVCleanedDataset[[#This Row],[Latitude]]))+COS(RADIANS(MyLat))*COS(RADIANS(EVCleanedDataset[[#This Row],[Latitude]]))*COS(RADIANS(EVCleanedDataset[[#This Row],[Longitude]]-MyLong)))</f>
        <v>466.44942917026259</v>
      </c>
      <c r="J173">
        <f t="shared" si="5"/>
        <v>1</v>
      </c>
      <c r="K17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58.498437411324936</v>
      </c>
      <c r="L173" t="str">
        <f>IF(EVCleanedDataset[[#This Row],[Score]]&gt;50,"Yes","No")</f>
        <v>Yes</v>
      </c>
    </row>
    <row r="174" spans="1:12" x14ac:dyDescent="0.3">
      <c r="A174" t="s">
        <v>3212</v>
      </c>
      <c r="B174" t="s">
        <v>150</v>
      </c>
      <c r="C174" t="s">
        <v>1341</v>
      </c>
      <c r="D174">
        <v>12.996362</v>
      </c>
      <c r="E174">
        <v>77.695802</v>
      </c>
      <c r="F174">
        <f>IF(COUNTIF($C$5:C174,C174)=1,1,0)</f>
        <v>0</v>
      </c>
      <c r="G174" s="2" t="str">
        <f t="shared" si="4"/>
        <v/>
      </c>
      <c r="H174" s="2">
        <f>MAX(0, MyBattery - (EVCleanedDataset[[#This Row],[Distance(km)]]/VehicleRangeKm)*100)</f>
        <v>55.731553618802877</v>
      </c>
      <c r="I174" s="2">
        <f>6371*ACOS(SIN(RADIANS(MyLat))*SIN(RADIANS(EVCleanedDataset[[#This Row],[Latitude]]))+COS(RADIANS(MyLat))*COS(RADIANS(EVCleanedDataset[[#This Row],[Latitude]]))*COS(RADIANS(EVCleanedDataset[[#This Row],[Longitude]]-MyLong)))</f>
        <v>42.805339143591368</v>
      </c>
      <c r="J174">
        <f t="shared" si="5"/>
        <v>8</v>
      </c>
      <c r="K174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59.304794956136455</v>
      </c>
      <c r="L174" t="str">
        <f>IF(EVCleanedDataset[[#This Row],[Score]]&gt;50,"Yes","No")</f>
        <v>Yes</v>
      </c>
    </row>
    <row r="175" spans="1:12" x14ac:dyDescent="0.3">
      <c r="A175" t="s">
        <v>2944</v>
      </c>
      <c r="B175" t="s">
        <v>49</v>
      </c>
      <c r="C175" t="s">
        <v>188</v>
      </c>
      <c r="D175">
        <v>11.022849000000001</v>
      </c>
      <c r="E175">
        <v>76.951634999999996</v>
      </c>
      <c r="F175">
        <f>IF(COUNTIF($C$5:C175,C175)=1,1,0)</f>
        <v>0</v>
      </c>
      <c r="G175" s="2" t="str">
        <f t="shared" si="4"/>
        <v/>
      </c>
      <c r="H175" s="2">
        <f>MAX(0, MyBattery - (EVCleanedDataset[[#This Row],[Distance(km)]]/VehicleRangeKm)*100)</f>
        <v>0</v>
      </c>
      <c r="I175" s="2">
        <f>6371*ACOS(SIN(RADIANS(MyLat))*SIN(RADIANS(EVCleanedDataset[[#This Row],[Latitude]]))+COS(RADIANS(MyLat))*COS(RADIANS(EVCleanedDataset[[#This Row],[Latitude]]))*COS(RADIANS(EVCleanedDataset[[#This Row],[Longitude]]-MyLong)))</f>
        <v>266.39087792164679</v>
      </c>
      <c r="J175">
        <f t="shared" si="5"/>
        <v>5</v>
      </c>
      <c r="K17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48.669191421993588</v>
      </c>
      <c r="L175" t="str">
        <f>IF(EVCleanedDataset[[#This Row],[Score]]&gt;50,"Yes","No")</f>
        <v>No</v>
      </c>
    </row>
    <row r="176" spans="1:12" x14ac:dyDescent="0.3">
      <c r="A176" t="s">
        <v>310</v>
      </c>
      <c r="B176" t="s">
        <v>150</v>
      </c>
      <c r="C176" t="s">
        <v>1341</v>
      </c>
      <c r="D176">
        <v>12.9970998764038</v>
      </c>
      <c r="E176">
        <v>77.696296691894503</v>
      </c>
      <c r="F176">
        <f>IF(COUNTIF($C$5:C176,C176)=1,1,0)</f>
        <v>0</v>
      </c>
      <c r="G176" s="2" t="str">
        <f t="shared" si="4"/>
        <v/>
      </c>
      <c r="H176" s="2">
        <f>MAX(0, MyBattery - (EVCleanedDataset[[#This Row],[Distance(km)]]/VehicleRangeKm)*100)</f>
        <v>55.74944447735033</v>
      </c>
      <c r="I176" s="2">
        <f>6371*ACOS(SIN(RADIANS(MyLat))*SIN(RADIANS(EVCleanedDataset[[#This Row],[Latitude]]))+COS(RADIANS(MyLat))*COS(RADIANS(EVCleanedDataset[[#This Row],[Latitude]]))*COS(RADIANS(EVCleanedDataset[[#This Row],[Longitude]]-MyLong)))</f>
        <v>42.751666567949009</v>
      </c>
      <c r="J176">
        <f t="shared" si="5"/>
        <v>2</v>
      </c>
      <c r="K176" s="5">
        <f>((1-(EVCleanedDataset[[#This Row],[Distance(km)]]/MAX($I$5:$I$1121)))*0.4 + (1-(EVCleanedDataset[[#This Row],[QueueLength]]/MAX($J$5:$J$1121)))*0.3 + (EVCleanedDataset[[#This Row],[EstimatedBatteryOnArrival]]/100)*0.3 + (ROW()/10000000))*100</f>
        <v>79.311122300082431</v>
      </c>
      <c r="L176" t="str">
        <f>IF(EVCleanedDataset[[#This Row],[Score]]&gt;50,"Yes","No")</f>
        <v>Yes</v>
      </c>
    </row>
    <row r="177" spans="1:12" x14ac:dyDescent="0.3">
      <c r="A177" t="s">
        <v>769</v>
      </c>
      <c r="B177" t="s">
        <v>386</v>
      </c>
      <c r="C177" t="s">
        <v>3378</v>
      </c>
      <c r="D177">
        <v>8.5339646298222291</v>
      </c>
      <c r="E177">
        <v>76.880734118697106</v>
      </c>
      <c r="F177">
        <f>IF(COUNTIF($C$5:C177,C177)=1,1,0)</f>
        <v>0</v>
      </c>
      <c r="G177" s="2" t="str">
        <f t="shared" si="4"/>
        <v/>
      </c>
      <c r="H177" s="2">
        <f>MAX(0, MyBattery - (EVCleanedDataset[[#This Row],[Distance(km)]]/VehicleRangeKm)*100)</f>
        <v>0</v>
      </c>
      <c r="I177" s="2">
        <f>6371*ACOS(SIN(RADIANS(MyLat))*SIN(RADIANS(EVCleanedDataset[[#This Row],[Latitude]]))+COS(RADIANS(MyLat))*COS(RADIANS(EVCleanedDataset[[#This Row],[Latitude]]))*COS(RADIANS(EVCleanedDataset[[#This Row],[Longitude]]-MyLong)))</f>
        <v>540.19729859243466</v>
      </c>
      <c r="J177">
        <f t="shared" si="5"/>
        <v>9</v>
      </c>
      <c r="K177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30.540101395974549</v>
      </c>
      <c r="L177" t="str">
        <f>IF(EVCleanedDataset[[#This Row],[Score]]&gt;50,"Yes","No")</f>
        <v>No</v>
      </c>
    </row>
    <row r="178" spans="1:12" x14ac:dyDescent="0.3">
      <c r="A178" t="s">
        <v>2836</v>
      </c>
      <c r="B178" t="s">
        <v>41</v>
      </c>
      <c r="C178" t="s">
        <v>240</v>
      </c>
      <c r="D178">
        <v>19.7592</v>
      </c>
      <c r="E178">
        <v>74.476299999999995</v>
      </c>
      <c r="F178">
        <f>IF(COUNTIF($C$5:C178,C178)=1,1,0)</f>
        <v>1</v>
      </c>
      <c r="G178" s="2">
        <f t="shared" si="4"/>
        <v>783.80887611730373</v>
      </c>
      <c r="H178" s="2">
        <f>MAX(0, MyBattery - (EVCleanedDataset[[#This Row],[Distance(km)]]/VehicleRangeKm)*100)</f>
        <v>0</v>
      </c>
      <c r="I178" s="2">
        <f>6371*ACOS(SIN(RADIANS(MyLat))*SIN(RADIANS(EVCleanedDataset[[#This Row],[Latitude]]))+COS(RADIANS(MyLat))*COS(RADIANS(EVCleanedDataset[[#This Row],[Latitude]]))*COS(RADIANS(EVCleanedDataset[[#This Row],[Longitude]]-MyLong)))</f>
        <v>783.80887611730373</v>
      </c>
      <c r="J178">
        <f t="shared" si="5"/>
        <v>6</v>
      </c>
      <c r="K178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36.273203692714802</v>
      </c>
      <c r="L178" t="str">
        <f>IF(EVCleanedDataset[[#This Row],[Score]]&gt;50,"Yes","No")</f>
        <v>No</v>
      </c>
    </row>
    <row r="179" spans="1:12" x14ac:dyDescent="0.3">
      <c r="A179" t="s">
        <v>3079</v>
      </c>
      <c r="B179" t="s">
        <v>386</v>
      </c>
      <c r="C179" t="s">
        <v>3378</v>
      </c>
      <c r="D179">
        <v>10.00552573</v>
      </c>
      <c r="E179">
        <v>76.305044800000005</v>
      </c>
      <c r="F179">
        <f>IF(COUNTIF($C$5:C179,C179)=1,1,0)</f>
        <v>0</v>
      </c>
      <c r="G179" s="2" t="str">
        <f t="shared" si="4"/>
        <v/>
      </c>
      <c r="H179" s="2">
        <f>MAX(0, MyBattery - (EVCleanedDataset[[#This Row],[Distance(km)]]/VehicleRangeKm)*100)</f>
        <v>0</v>
      </c>
      <c r="I179" s="2">
        <f>6371*ACOS(SIN(RADIANS(MyLat))*SIN(RADIANS(EVCleanedDataset[[#This Row],[Latitude]]))+COS(RADIANS(MyLat))*COS(RADIANS(EVCleanedDataset[[#This Row],[Latitude]]))*COS(RADIANS(EVCleanedDataset[[#This Row],[Longitude]]-MyLong)))</f>
        <v>395.26444963402338</v>
      </c>
      <c r="J179">
        <f t="shared" si="5"/>
        <v>3</v>
      </c>
      <c r="K179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53.078650541260743</v>
      </c>
      <c r="L179" t="str">
        <f>IF(EVCleanedDataset[[#This Row],[Score]]&gt;50,"Yes","No")</f>
        <v>Yes</v>
      </c>
    </row>
    <row r="180" spans="1:12" x14ac:dyDescent="0.3">
      <c r="A180" t="s">
        <v>953</v>
      </c>
      <c r="B180" t="s">
        <v>386</v>
      </c>
      <c r="C180" t="s">
        <v>1435</v>
      </c>
      <c r="D180">
        <v>10.002601173843701</v>
      </c>
      <c r="E180">
        <v>76.304007119704295</v>
      </c>
      <c r="F180">
        <f>IF(COUNTIF($C$5:C180,C180)=1,1,0)</f>
        <v>0</v>
      </c>
      <c r="G180" s="2" t="str">
        <f t="shared" si="4"/>
        <v/>
      </c>
      <c r="H180" s="2">
        <f>MAX(0, MyBattery - (EVCleanedDataset[[#This Row],[Distance(km)]]/VehicleRangeKm)*100)</f>
        <v>0</v>
      </c>
      <c r="I180" s="2">
        <f>6371*ACOS(SIN(RADIANS(MyLat))*SIN(RADIANS(EVCleanedDataset[[#This Row],[Latitude]]))+COS(RADIANS(MyLat))*COS(RADIANS(EVCleanedDataset[[#This Row],[Latitude]]))*COS(RADIANS(EVCleanedDataset[[#This Row],[Longitude]]-MyLong)))</f>
        <v>395.60891491750635</v>
      </c>
      <c r="J180">
        <f t="shared" si="5"/>
        <v>0</v>
      </c>
      <c r="K180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63.072627159815845</v>
      </c>
      <c r="L180" t="str">
        <f>IF(EVCleanedDataset[[#This Row],[Score]]&gt;50,"Yes","No")</f>
        <v>Yes</v>
      </c>
    </row>
    <row r="181" spans="1:12" x14ac:dyDescent="0.3">
      <c r="A181" t="s">
        <v>3085</v>
      </c>
      <c r="B181" t="s">
        <v>386</v>
      </c>
      <c r="C181" t="s">
        <v>1435</v>
      </c>
      <c r="D181">
        <v>9.9771640000000001</v>
      </c>
      <c r="E181">
        <v>76.277770000000004</v>
      </c>
      <c r="F181">
        <f>IF(COUNTIF($C$5:C181,C181)=1,1,0)</f>
        <v>0</v>
      </c>
      <c r="G181" s="2" t="str">
        <f t="shared" si="4"/>
        <v/>
      </c>
      <c r="H181" s="2">
        <f>MAX(0, MyBattery - (EVCleanedDataset[[#This Row],[Distance(km)]]/VehicleRangeKm)*100)</f>
        <v>0</v>
      </c>
      <c r="I181" s="2">
        <f>6371*ACOS(SIN(RADIANS(MyLat))*SIN(RADIANS(EVCleanedDataset[[#This Row],[Latitude]]))+COS(RADIANS(MyLat))*COS(RADIANS(EVCleanedDataset[[#This Row],[Latitude]]))*COS(RADIANS(EVCleanedDataset[[#This Row],[Longitude]]-MyLong)))</f>
        <v>399.24495663709672</v>
      </c>
      <c r="J181">
        <f t="shared" si="5"/>
        <v>7</v>
      </c>
      <c r="K181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39.675617795710394</v>
      </c>
      <c r="L181" t="str">
        <f>IF(EVCleanedDataset[[#This Row],[Score]]&gt;50,"Yes","No")</f>
        <v>No</v>
      </c>
    </row>
    <row r="182" spans="1:12" x14ac:dyDescent="0.3">
      <c r="A182" t="s">
        <v>750</v>
      </c>
      <c r="B182" t="s">
        <v>150</v>
      </c>
      <c r="C182" t="s">
        <v>3377</v>
      </c>
      <c r="D182">
        <v>12.316689</v>
      </c>
      <c r="E182">
        <v>76.603223</v>
      </c>
      <c r="F182">
        <f>IF(COUNTIF($C$5:C182,C182)=1,1,0)</f>
        <v>0</v>
      </c>
      <c r="G182" s="2" t="str">
        <f t="shared" si="4"/>
        <v/>
      </c>
      <c r="H182" s="2">
        <f>MAX(0, MyBattery - (EVCleanedDataset[[#This Row],[Distance(km)]]/VehicleRangeKm)*100)</f>
        <v>18.96716113892505</v>
      </c>
      <c r="I182" s="2">
        <f>6371*ACOS(SIN(RADIANS(MyLat))*SIN(RADIANS(EVCleanedDataset[[#This Row],[Latitude]]))+COS(RADIANS(MyLat))*COS(RADIANS(EVCleanedDataset[[#This Row],[Latitude]]))*COS(RADIANS(EVCleanedDataset[[#This Row],[Longitude]]-MyLong)))</f>
        <v>153.09851658322484</v>
      </c>
      <c r="J182">
        <f t="shared" si="5"/>
        <v>4</v>
      </c>
      <c r="K182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59.677082487713605</v>
      </c>
      <c r="L182" t="str">
        <f>IF(EVCleanedDataset[[#This Row],[Score]]&gt;50,"Yes","No")</f>
        <v>Yes</v>
      </c>
    </row>
    <row r="183" spans="1:12" x14ac:dyDescent="0.3">
      <c r="A183" t="s">
        <v>3335</v>
      </c>
      <c r="B183" t="s">
        <v>386</v>
      </c>
      <c r="C183" t="s">
        <v>1435</v>
      </c>
      <c r="D183">
        <v>9.9801400000000005</v>
      </c>
      <c r="E183">
        <v>76.317364600000005</v>
      </c>
      <c r="F183">
        <f>IF(COUNTIF($C$5:C183,C183)=1,1,0)</f>
        <v>0</v>
      </c>
      <c r="G183" s="2" t="str">
        <f t="shared" si="4"/>
        <v/>
      </c>
      <c r="H183" s="2">
        <f>MAX(0, MyBattery - (EVCleanedDataset[[#This Row],[Distance(km)]]/VehicleRangeKm)*100)</f>
        <v>0</v>
      </c>
      <c r="I183" s="2">
        <f>6371*ACOS(SIN(RADIANS(MyLat))*SIN(RADIANS(EVCleanedDataset[[#This Row],[Latitude]]))+COS(RADIANS(MyLat))*COS(RADIANS(EVCleanedDataset[[#This Row],[Latitude]]))*COS(RADIANS(EVCleanedDataset[[#This Row],[Longitude]]-MyLong)))</f>
        <v>397.47234198004213</v>
      </c>
      <c r="J183">
        <f t="shared" si="5"/>
        <v>1</v>
      </c>
      <c r="K183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59.706685511964054</v>
      </c>
      <c r="L183" t="str">
        <f>IF(EVCleanedDataset[[#This Row],[Score]]&gt;50,"Yes","No")</f>
        <v>Yes</v>
      </c>
    </row>
    <row r="184" spans="1:12" x14ac:dyDescent="0.3">
      <c r="A184" t="s">
        <v>2954</v>
      </c>
      <c r="B184" t="s">
        <v>41</v>
      </c>
      <c r="C184" t="s">
        <v>1061</v>
      </c>
      <c r="D184">
        <v>20.922586559999999</v>
      </c>
      <c r="E184">
        <v>78.999863869999999</v>
      </c>
      <c r="F184">
        <f>IF(COUNTIF($C$5:C184,C184)=1,1,0)</f>
        <v>1</v>
      </c>
      <c r="G184" s="2">
        <f t="shared" si="4"/>
        <v>856.32076590150371</v>
      </c>
      <c r="H184" s="2">
        <f>MAX(0, MyBattery - (EVCleanedDataset[[#This Row],[Distance(km)]]/VehicleRangeKm)*100)</f>
        <v>0</v>
      </c>
      <c r="I184" s="2">
        <f>6371*ACOS(SIN(RADIANS(MyLat))*SIN(RADIANS(EVCleanedDataset[[#This Row],[Latitude]]))+COS(RADIANS(MyLat))*COS(RADIANS(EVCleanedDataset[[#This Row],[Latitude]]))*COS(RADIANS(EVCleanedDataset[[#This Row],[Longitude]]-MyLong)))</f>
        <v>856.32076590150371</v>
      </c>
      <c r="J184">
        <f t="shared" si="5"/>
        <v>8</v>
      </c>
      <c r="K184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28.3365361190843</v>
      </c>
      <c r="L184" t="str">
        <f>IF(EVCleanedDataset[[#This Row],[Score]]&gt;50,"Yes","No")</f>
        <v>No</v>
      </c>
    </row>
    <row r="185" spans="1:12" x14ac:dyDescent="0.3">
      <c r="A185" t="s">
        <v>3281</v>
      </c>
      <c r="B185" t="s">
        <v>49</v>
      </c>
      <c r="C185" t="s">
        <v>2418</v>
      </c>
      <c r="D185">
        <v>12.024372700000001</v>
      </c>
      <c r="E185">
        <v>78.097911499999995</v>
      </c>
      <c r="F185">
        <f>IF(COUNTIF($C$5:C185,C185)=1,1,0)</f>
        <v>1</v>
      </c>
      <c r="G185" s="2">
        <f t="shared" si="4"/>
        <v>159.35590727716107</v>
      </c>
      <c r="H185" s="2">
        <f>MAX(0, MyBattery - (EVCleanedDataset[[#This Row],[Distance(km)]]/VehicleRangeKm)*100)</f>
        <v>16.881364240946311</v>
      </c>
      <c r="I185" s="2">
        <f>6371*ACOS(SIN(RADIANS(MyLat))*SIN(RADIANS(EVCleanedDataset[[#This Row],[Latitude]]))+COS(RADIANS(MyLat))*COS(RADIANS(EVCleanedDataset[[#This Row],[Latitude]]))*COS(RADIANS(EVCleanedDataset[[#This Row],[Longitude]]-MyLong)))</f>
        <v>159.35590727716107</v>
      </c>
      <c r="J185">
        <f t="shared" si="5"/>
        <v>5</v>
      </c>
      <c r="K185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55.608440578979867</v>
      </c>
      <c r="L185" t="str">
        <f>IF(EVCleanedDataset[[#This Row],[Score]]&gt;50,"Yes","No")</f>
        <v>Yes</v>
      </c>
    </row>
    <row r="186" spans="1:12" x14ac:dyDescent="0.3">
      <c r="A186" t="s">
        <v>3072</v>
      </c>
      <c r="B186" t="s">
        <v>49</v>
      </c>
      <c r="C186" t="s">
        <v>1008</v>
      </c>
      <c r="D186">
        <v>13.07376771</v>
      </c>
      <c r="E186">
        <v>80.194931370000006</v>
      </c>
      <c r="F186">
        <f>IF(COUNTIF($C$5:C186,C186)=1,1,0)</f>
        <v>0</v>
      </c>
      <c r="G186" s="2" t="str">
        <f t="shared" si="4"/>
        <v/>
      </c>
      <c r="H186" s="2">
        <f>MAX(0, MyBattery - (EVCleanedDataset[[#This Row],[Distance(km)]]/VehicleRangeKm)*100)</f>
        <v>0</v>
      </c>
      <c r="I186" s="2">
        <f>6371*ACOS(SIN(RADIANS(MyLat))*SIN(RADIANS(EVCleanedDataset[[#This Row],[Latitude]]))+COS(RADIANS(MyLat))*COS(RADIANS(EVCleanedDataset[[#This Row],[Latitude]]))*COS(RADIANS(EVCleanedDataset[[#This Row],[Longitude]]-MyLong)))</f>
        <v>289.29436262030646</v>
      </c>
      <c r="J186">
        <f t="shared" si="5"/>
        <v>2</v>
      </c>
      <c r="K18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58.268142099907486</v>
      </c>
      <c r="L186" t="str">
        <f>IF(EVCleanedDataset[[#This Row],[Score]]&gt;50,"Yes","No")</f>
        <v>Yes</v>
      </c>
    </row>
    <row r="187" spans="1:12" x14ac:dyDescent="0.3">
      <c r="A187" t="s">
        <v>2874</v>
      </c>
      <c r="B187" t="s">
        <v>49</v>
      </c>
      <c r="C187" t="s">
        <v>1008</v>
      </c>
      <c r="D187">
        <v>13.080546500000001</v>
      </c>
      <c r="E187">
        <v>80.197131999999996</v>
      </c>
      <c r="F187">
        <f>IF(COUNTIF($C$5:C187,C187)=1,1,0)</f>
        <v>0</v>
      </c>
      <c r="G187" s="2" t="str">
        <f t="shared" si="4"/>
        <v/>
      </c>
      <c r="H187" s="2">
        <f>MAX(0, MyBattery - (EVCleanedDataset[[#This Row],[Distance(km)]]/VehicleRangeKm)*100)</f>
        <v>0</v>
      </c>
      <c r="I187" s="2">
        <f>6371*ACOS(SIN(RADIANS(MyLat))*SIN(RADIANS(EVCleanedDataset[[#This Row],[Latitude]]))+COS(RADIANS(MyLat))*COS(RADIANS(EVCleanedDataset[[#This Row],[Latitude]]))*COS(RADIANS(EVCleanedDataset[[#This Row],[Longitude]]-MyLong)))</f>
        <v>289.44854271142896</v>
      </c>
      <c r="J187">
        <f t="shared" si="5"/>
        <v>9</v>
      </c>
      <c r="K18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34.932118270049379</v>
      </c>
      <c r="L187" t="str">
        <f>IF(EVCleanedDataset[[#This Row],[Score]]&gt;50,"Yes","No")</f>
        <v>No</v>
      </c>
    </row>
    <row r="188" spans="1:12" x14ac:dyDescent="0.3">
      <c r="A188" t="s">
        <v>1471</v>
      </c>
      <c r="B188" t="s">
        <v>41</v>
      </c>
      <c r="C188" t="s">
        <v>221</v>
      </c>
      <c r="D188">
        <v>19.962547099999998</v>
      </c>
      <c r="E188">
        <v>73.765295600000002</v>
      </c>
      <c r="F188">
        <f>IF(COUNTIF($C$5:C188,C188)=1,1,0)</f>
        <v>0</v>
      </c>
      <c r="G188" s="2" t="str">
        <f t="shared" si="4"/>
        <v/>
      </c>
      <c r="H188" s="2">
        <f>MAX(0, MyBattery - (EVCleanedDataset[[#This Row],[Distance(km)]]/VehicleRangeKm)*100)</f>
        <v>0</v>
      </c>
      <c r="I188" s="2">
        <f>6371*ACOS(SIN(RADIANS(MyLat))*SIN(RADIANS(EVCleanedDataset[[#This Row],[Latitude]]))+COS(RADIANS(MyLat))*COS(RADIANS(EVCleanedDataset[[#This Row],[Latitude]]))*COS(RADIANS(EVCleanedDataset[[#This Row],[Longitude]]-MyLong)))</f>
        <v>837.87607803166316</v>
      </c>
      <c r="J188">
        <f t="shared" si="5"/>
        <v>6</v>
      </c>
      <c r="K18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35.326305349343656</v>
      </c>
      <c r="L188" t="str">
        <f>IF(EVCleanedDataset[[#This Row],[Score]]&gt;50,"Yes","No")</f>
        <v>No</v>
      </c>
    </row>
    <row r="189" spans="1:12" x14ac:dyDescent="0.3">
      <c r="A189" t="s">
        <v>2870</v>
      </c>
      <c r="B189" t="s">
        <v>49</v>
      </c>
      <c r="C189" t="s">
        <v>1008</v>
      </c>
      <c r="D189">
        <v>12.950085899999999</v>
      </c>
      <c r="E189">
        <v>80.236562599999999</v>
      </c>
      <c r="F189">
        <f>IF(COUNTIF($C$5:C189,C189)=1,1,0)</f>
        <v>0</v>
      </c>
      <c r="G189" s="2" t="str">
        <f t="shared" si="4"/>
        <v/>
      </c>
      <c r="H189" s="2">
        <f>MAX(0, MyBattery - (EVCleanedDataset[[#This Row],[Distance(km)]]/VehicleRangeKm)*100)</f>
        <v>0</v>
      </c>
      <c r="I189" s="2">
        <f>6371*ACOS(SIN(RADIANS(MyLat))*SIN(RADIANS(EVCleanedDataset[[#This Row],[Latitude]]))+COS(RADIANS(MyLat))*COS(RADIANS(EVCleanedDataset[[#This Row],[Latitude]]))*COS(RADIANS(EVCleanedDataset[[#This Row],[Longitude]]-MyLong)))</f>
        <v>295.59873884659385</v>
      </c>
      <c r="J189">
        <f t="shared" si="5"/>
        <v>3</v>
      </c>
      <c r="K18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54.824416299146684</v>
      </c>
      <c r="L189" t="str">
        <f>IF(EVCleanedDataset[[#This Row],[Score]]&gt;50,"Yes","No")</f>
        <v>Yes</v>
      </c>
    </row>
    <row r="190" spans="1:12" x14ac:dyDescent="0.3">
      <c r="A190" t="s">
        <v>3306</v>
      </c>
      <c r="B190" t="s">
        <v>49</v>
      </c>
      <c r="C190" t="s">
        <v>1008</v>
      </c>
      <c r="D190">
        <v>13.047739999999999</v>
      </c>
      <c r="E190">
        <v>80.254180000000005</v>
      </c>
      <c r="F190">
        <f>IF(COUNTIF($C$5:C190,C190)=1,1,0)</f>
        <v>0</v>
      </c>
      <c r="G190" s="2" t="str">
        <f t="shared" si="4"/>
        <v/>
      </c>
      <c r="H190" s="2">
        <f>MAX(0, MyBattery - (EVCleanedDataset[[#This Row],[Distance(km)]]/VehicleRangeKm)*100)</f>
        <v>0</v>
      </c>
      <c r="I190" s="2">
        <f>6371*ACOS(SIN(RADIANS(MyLat))*SIN(RADIANS(EVCleanedDataset[[#This Row],[Latitude]]))+COS(RADIANS(MyLat))*COS(RADIANS(EVCleanedDataset[[#This Row],[Latitude]]))*COS(RADIANS(EVCleanedDataset[[#This Row],[Longitude]]-MyLong)))</f>
        <v>296.0020057801193</v>
      </c>
      <c r="J190">
        <f t="shared" si="5"/>
        <v>0</v>
      </c>
      <c r="K19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64.817362994509793</v>
      </c>
      <c r="L190" t="str">
        <f>IF(EVCleanedDataset[[#This Row],[Score]]&gt;50,"Yes","No")</f>
        <v>Yes</v>
      </c>
    </row>
    <row r="191" spans="1:12" x14ac:dyDescent="0.3">
      <c r="A191" t="s">
        <v>2943</v>
      </c>
      <c r="B191" t="s">
        <v>41</v>
      </c>
      <c r="C191" t="s">
        <v>1003</v>
      </c>
      <c r="D191">
        <v>18.11289</v>
      </c>
      <c r="E191">
        <v>73.989850000000004</v>
      </c>
      <c r="F191">
        <f>IF(COUNTIF($C$5:C191,C191)=1,1,0)</f>
        <v>1</v>
      </c>
      <c r="G191" s="2">
        <f t="shared" si="4"/>
        <v>608.33953113089933</v>
      </c>
      <c r="H191" s="2">
        <f>MAX(0, MyBattery - (EVCleanedDataset[[#This Row],[Distance(km)]]/VehicleRangeKm)*100)</f>
        <v>0</v>
      </c>
      <c r="I191" s="2">
        <f>6371*ACOS(SIN(RADIANS(MyLat))*SIN(RADIANS(EVCleanedDataset[[#This Row],[Latitude]]))+COS(RADIANS(MyLat))*COS(RADIANS(EVCleanedDataset[[#This Row],[Latitude]]))*COS(RADIANS(EVCleanedDataset[[#This Row],[Longitude]]-MyLong)))</f>
        <v>651.65978193352919</v>
      </c>
      <c r="J191">
        <f t="shared" si="5"/>
        <v>7</v>
      </c>
      <c r="K191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35.254619367560508</v>
      </c>
      <c r="L191" t="str">
        <f>IF(EVCleanedDataset[[#This Row],[Score]]&gt;50,"Yes","No")</f>
        <v>No</v>
      </c>
    </row>
    <row r="192" spans="1:12" x14ac:dyDescent="0.3">
      <c r="A192" t="s">
        <v>518</v>
      </c>
      <c r="B192" t="s">
        <v>41</v>
      </c>
      <c r="C192" t="s">
        <v>221</v>
      </c>
      <c r="D192">
        <v>20.0120574</v>
      </c>
      <c r="E192">
        <v>73.746188399999994</v>
      </c>
      <c r="F192">
        <f>IF(COUNTIF($C$5:C192,C192)=1,1,0)</f>
        <v>0</v>
      </c>
      <c r="G192" s="2" t="str">
        <f t="shared" si="4"/>
        <v/>
      </c>
      <c r="H192" s="2">
        <f>MAX(0, MyBattery - (EVCleanedDataset[[#This Row],[Distance(km)]]/VehicleRangeKm)*100)</f>
        <v>0</v>
      </c>
      <c r="I192" s="2">
        <f>6371*ACOS(SIN(RADIANS(MyLat))*SIN(RADIANS(EVCleanedDataset[[#This Row],[Latitude]]))+COS(RADIANS(MyLat))*COS(RADIANS(EVCleanedDataset[[#This Row],[Latitude]]))*COS(RADIANS(EVCleanedDataset[[#This Row],[Longitude]]-MyLong)))</f>
        <v>843.65602681245321</v>
      </c>
      <c r="J192">
        <f t="shared" si="5"/>
        <v>4</v>
      </c>
      <c r="K192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41.891775004913498</v>
      </c>
      <c r="L192" t="str">
        <f>IF(EVCleanedDataset[[#This Row],[Score]]&gt;50,"Yes","No")</f>
        <v>No</v>
      </c>
    </row>
    <row r="193" spans="1:12" x14ac:dyDescent="0.3">
      <c r="A193" t="s">
        <v>2052</v>
      </c>
      <c r="B193" t="s">
        <v>49</v>
      </c>
      <c r="C193" t="s">
        <v>2053</v>
      </c>
      <c r="D193">
        <v>11.492271199999999</v>
      </c>
      <c r="E193">
        <v>78.153577400000003</v>
      </c>
      <c r="F193">
        <f>IF(COUNTIF($C$5:C193,C193)=1,1,0)</f>
        <v>1</v>
      </c>
      <c r="G193" s="2">
        <f t="shared" si="4"/>
        <v>217.03889447775347</v>
      </c>
      <c r="H193" s="2">
        <f>MAX(0, MyBattery - (EVCleanedDataset[[#This Row],[Distance(km)]]/VehicleRangeKm)*100)</f>
        <v>0</v>
      </c>
      <c r="I193" s="2">
        <f>6371*ACOS(SIN(RADIANS(MyLat))*SIN(RADIANS(EVCleanedDataset[[#This Row],[Latitude]]))+COS(RADIANS(MyLat))*COS(RADIANS(EVCleanedDataset[[#This Row],[Latitude]]))*COS(RADIANS(EVCleanedDataset[[#This Row],[Longitude]]-MyLong)))</f>
        <v>217.03889447775347</v>
      </c>
      <c r="J193">
        <f t="shared" si="5"/>
        <v>1</v>
      </c>
      <c r="K193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62.867115061550571</v>
      </c>
      <c r="L193" t="str">
        <f>IF(EVCleanedDataset[[#This Row],[Score]]&gt;50,"Yes","No")</f>
        <v>Yes</v>
      </c>
    </row>
    <row r="194" spans="1:12" x14ac:dyDescent="0.3">
      <c r="A194" t="s">
        <v>2108</v>
      </c>
      <c r="B194" t="s">
        <v>502</v>
      </c>
      <c r="C194" t="s">
        <v>1985</v>
      </c>
      <c r="D194">
        <v>17.684290000000001</v>
      </c>
      <c r="E194">
        <v>83.185923000000003</v>
      </c>
      <c r="F194">
        <f>IF(COUNTIF($C$5:C194,C194)=1,1,0)</f>
        <v>1</v>
      </c>
      <c r="G194" s="2">
        <f t="shared" si="4"/>
        <v>711.90544927846963</v>
      </c>
      <c r="H194" s="2">
        <f>MAX(0, MyBattery - (EVCleanedDataset[[#This Row],[Distance(km)]]/VehicleRangeKm)*100)</f>
        <v>0</v>
      </c>
      <c r="I194" s="2">
        <f>6371*ACOS(SIN(RADIANS(MyLat))*SIN(RADIANS(EVCleanedDataset[[#This Row],[Latitude]]))+COS(RADIANS(MyLat))*COS(RADIANS(EVCleanedDataset[[#This Row],[Latitude]]))*COS(RADIANS(EVCleanedDataset[[#This Row],[Longitude]]-MyLong)))</f>
        <v>773.55136456630464</v>
      </c>
      <c r="J194">
        <f t="shared" si="5"/>
        <v>8</v>
      </c>
      <c r="K19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29.786359485024512</v>
      </c>
      <c r="L194" t="str">
        <f>IF(EVCleanedDataset[[#This Row],[Score]]&gt;50,"Yes","No")</f>
        <v>No</v>
      </c>
    </row>
    <row r="195" spans="1:12" x14ac:dyDescent="0.3">
      <c r="A195" t="s">
        <v>663</v>
      </c>
      <c r="B195" t="s">
        <v>386</v>
      </c>
      <c r="C195" t="s">
        <v>2009</v>
      </c>
      <c r="D195">
        <v>11.2648469</v>
      </c>
      <c r="E195">
        <v>75.810971300000006</v>
      </c>
      <c r="F195">
        <f>IF(COUNTIF($C$5:C195,C195)=1,1,0)</f>
        <v>0</v>
      </c>
      <c r="G195" s="2" t="str">
        <f t="shared" si="4"/>
        <v/>
      </c>
      <c r="H195" s="2">
        <f>MAX(0, MyBattery - (EVCleanedDataset[[#This Row],[Distance(km)]]/VehicleRangeKm)*100)</f>
        <v>0</v>
      </c>
      <c r="I195" s="2">
        <f>6371*ACOS(SIN(RADIANS(MyLat))*SIN(RADIANS(EVCleanedDataset[[#This Row],[Latitude]]))+COS(RADIANS(MyLat))*COS(RADIANS(EVCleanedDataset[[#This Row],[Latitude]]))*COS(RADIANS(EVCleanedDataset[[#This Row],[Longitude]]-MyLong)))</f>
        <v>298.14585214369805</v>
      </c>
      <c r="J195">
        <f t="shared" si="5"/>
        <v>5</v>
      </c>
      <c r="K19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48.113196410649955</v>
      </c>
      <c r="L195" t="str">
        <f>IF(EVCleanedDataset[[#This Row],[Score]]&gt;50,"Yes","No")</f>
        <v>No</v>
      </c>
    </row>
    <row r="196" spans="1:12" x14ac:dyDescent="0.3">
      <c r="A196" t="s">
        <v>2859</v>
      </c>
      <c r="B196" t="s">
        <v>115</v>
      </c>
      <c r="C196" t="s">
        <v>1163</v>
      </c>
      <c r="D196">
        <v>17.414199829101602</v>
      </c>
      <c r="E196">
        <v>78.407699584960895</v>
      </c>
      <c r="F196">
        <f>IF(COUNTIF($C$5:C196,C196)=1,1,0)</f>
        <v>0</v>
      </c>
      <c r="G196" s="2" t="str">
        <f t="shared" si="4"/>
        <v/>
      </c>
      <c r="H196" s="2">
        <f>MAX(0, MyBattery - (EVCleanedDataset[[#This Row],[Distance(km)]]/VehicleRangeKm)*100)</f>
        <v>0</v>
      </c>
      <c r="I196" s="2">
        <f>6371*ACOS(SIN(RADIANS(MyLat))*SIN(RADIANS(EVCleanedDataset[[#This Row],[Latitude]]))+COS(RADIANS(MyLat))*COS(RADIANS(EVCleanedDataset[[#This Row],[Latitude]]))*COS(RADIANS(EVCleanedDataset[[#This Row],[Longitude]]-MyLong)))</f>
        <v>461.5390912139905</v>
      </c>
      <c r="J196">
        <f t="shared" si="5"/>
        <v>2</v>
      </c>
      <c r="K196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55.251339673719436</v>
      </c>
      <c r="L196" t="str">
        <f>IF(EVCleanedDataset[[#This Row],[Score]]&gt;50,"Yes","No")</f>
        <v>Yes</v>
      </c>
    </row>
    <row r="197" spans="1:12" x14ac:dyDescent="0.3">
      <c r="A197" t="s">
        <v>2545</v>
      </c>
      <c r="B197" t="s">
        <v>115</v>
      </c>
      <c r="C197" t="s">
        <v>1163</v>
      </c>
      <c r="D197">
        <v>17.457774000000001</v>
      </c>
      <c r="E197">
        <v>78.363960000000006</v>
      </c>
      <c r="F197">
        <f>IF(COUNTIF($C$5:C197,C197)=1,1,0)</f>
        <v>0</v>
      </c>
      <c r="G197" s="2" t="str">
        <f t="shared" ref="G197:G260" si="6">IF(F197=1, IF(C197=MyCity, "", _xlfn.MINIFS($I$5:$I$1121,$C$5:$C$1121,C197)), "")</f>
        <v/>
      </c>
      <c r="H197" s="2">
        <f>MAX(0, MyBattery - (EVCleanedDataset[[#This Row],[Distance(km)]]/VehicleRangeKm)*100)</f>
        <v>0</v>
      </c>
      <c r="I197" s="2">
        <f>6371*ACOS(SIN(RADIANS(MyLat))*SIN(RADIANS(EVCleanedDataset[[#This Row],[Latitude]]))+COS(RADIANS(MyLat))*COS(RADIANS(EVCleanedDataset[[#This Row],[Latitude]]))*COS(RADIANS(EVCleanedDataset[[#This Row],[Longitude]]-MyLong)))</f>
        <v>465.36841051374773</v>
      </c>
      <c r="J197">
        <f t="shared" ref="J197:J260" si="7">MOD(ROW()*7,10)</f>
        <v>9</v>
      </c>
      <c r="K197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31.850945012395925</v>
      </c>
      <c r="L197" t="str">
        <f>IF(EVCleanedDataset[[#This Row],[Score]]&gt;50,"Yes","No")</f>
        <v>No</v>
      </c>
    </row>
    <row r="198" spans="1:12" x14ac:dyDescent="0.3">
      <c r="A198" t="s">
        <v>1616</v>
      </c>
      <c r="B198" t="s">
        <v>115</v>
      </c>
      <c r="C198" t="s">
        <v>1163</v>
      </c>
      <c r="D198">
        <v>17.44798402</v>
      </c>
      <c r="E198">
        <v>78.384328280000005</v>
      </c>
      <c r="F198">
        <f>IF(COUNTIF($C$5:C198,C198)=1,1,0)</f>
        <v>0</v>
      </c>
      <c r="G198" s="2" t="str">
        <f t="shared" si="6"/>
        <v/>
      </c>
      <c r="H198" s="2">
        <f>MAX(0, MyBattery - (EVCleanedDataset[[#This Row],[Distance(km)]]/VehicleRangeKm)*100)</f>
        <v>0</v>
      </c>
      <c r="I198" s="2">
        <f>6371*ACOS(SIN(RADIANS(MyLat))*SIN(RADIANS(EVCleanedDataset[[#This Row],[Latitude]]))+COS(RADIANS(MyLat))*COS(RADIANS(EVCleanedDataset[[#This Row],[Latitude]]))*COS(RADIANS(EVCleanedDataset[[#This Row],[Longitude]]-MyLong)))</f>
        <v>464.72156728723422</v>
      </c>
      <c r="J198">
        <f t="shared" si="7"/>
        <v>6</v>
      </c>
      <c r="K198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41.862284606720038</v>
      </c>
      <c r="L198" t="str">
        <f>IF(EVCleanedDataset[[#This Row],[Score]]&gt;50,"Yes","No")</f>
        <v>No</v>
      </c>
    </row>
    <row r="199" spans="1:12" x14ac:dyDescent="0.3">
      <c r="A199" t="s">
        <v>2595</v>
      </c>
      <c r="B199" t="s">
        <v>115</v>
      </c>
      <c r="C199" t="s">
        <v>1163</v>
      </c>
      <c r="D199">
        <v>17.399999999999999</v>
      </c>
      <c r="E199">
        <v>78.45</v>
      </c>
      <c r="F199">
        <f>IF(COUNTIF($C$5:C199,C199)=1,1,0)</f>
        <v>0</v>
      </c>
      <c r="G199" s="2" t="str">
        <f t="shared" si="6"/>
        <v/>
      </c>
      <c r="H199" s="2">
        <f>MAX(0, MyBattery - (EVCleanedDataset[[#This Row],[Distance(km)]]/VehicleRangeKm)*100)</f>
        <v>0</v>
      </c>
      <c r="I199" s="2">
        <f>6371*ACOS(SIN(RADIANS(MyLat))*SIN(RADIANS(EVCleanedDataset[[#This Row],[Latitude]]))+COS(RADIANS(MyLat))*COS(RADIANS(EVCleanedDataset[[#This Row],[Latitude]]))*COS(RADIANS(EVCleanedDataset[[#This Row],[Longitude]]-MyLong)))</f>
        <v>460.93428528230424</v>
      </c>
      <c r="J199">
        <f t="shared" si="7"/>
        <v>3</v>
      </c>
      <c r="K19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51.928629642704117</v>
      </c>
      <c r="L199" t="str">
        <f>IF(EVCleanedDataset[[#This Row],[Score]]&gt;50,"Yes","No")</f>
        <v>Yes</v>
      </c>
    </row>
    <row r="200" spans="1:12" x14ac:dyDescent="0.3">
      <c r="A200" t="s">
        <v>2800</v>
      </c>
      <c r="B200" t="s">
        <v>41</v>
      </c>
      <c r="C200" t="s">
        <v>42</v>
      </c>
      <c r="D200">
        <v>18.514500000000002</v>
      </c>
      <c r="E200">
        <v>73.8489</v>
      </c>
      <c r="F200">
        <f>IF(COUNTIF($C$5:C200,C200)=1,1,0)</f>
        <v>0</v>
      </c>
      <c r="G200" s="2" t="str">
        <f t="shared" si="6"/>
        <v/>
      </c>
      <c r="H200" s="2">
        <f>MAX(0, MyBattery - (EVCleanedDataset[[#This Row],[Distance(km)]]/VehicleRangeKm)*100)</f>
        <v>0</v>
      </c>
      <c r="I200" s="2">
        <f>6371*ACOS(SIN(RADIANS(MyLat))*SIN(RADIANS(EVCleanedDataset[[#This Row],[Latitude]]))+COS(RADIANS(MyLat))*COS(RADIANS(EVCleanedDataset[[#This Row],[Latitude]]))*COS(RADIANS(EVCleanedDataset[[#This Row],[Longitude]]-MyLong)))</f>
        <v>696.64234014818032</v>
      </c>
      <c r="J200">
        <f t="shared" si="7"/>
        <v>0</v>
      </c>
      <c r="K200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57.800163790915391</v>
      </c>
      <c r="L200" t="str">
        <f>IF(EVCleanedDataset[[#This Row],[Score]]&gt;50,"Yes","No")</f>
        <v>Yes</v>
      </c>
    </row>
    <row r="201" spans="1:12" x14ac:dyDescent="0.3">
      <c r="A201" t="s">
        <v>2535</v>
      </c>
      <c r="B201" t="s">
        <v>115</v>
      </c>
      <c r="C201" t="s">
        <v>1163</v>
      </c>
      <c r="D201">
        <v>17.45345</v>
      </c>
      <c r="E201">
        <v>78.383340000000004</v>
      </c>
      <c r="F201">
        <f>IF(COUNTIF($C$5:C201,C201)=1,1,0)</f>
        <v>0</v>
      </c>
      <c r="G201" s="2" t="str">
        <f t="shared" si="6"/>
        <v/>
      </c>
      <c r="H201" s="2">
        <f>MAX(0, MyBattery - (EVCleanedDataset[[#This Row],[Distance(km)]]/VehicleRangeKm)*100)</f>
        <v>0</v>
      </c>
      <c r="I201" s="2">
        <f>6371*ACOS(SIN(RADIANS(MyLat))*SIN(RADIANS(EVCleanedDataset[[#This Row],[Latitude]]))+COS(RADIANS(MyLat))*COS(RADIANS(EVCleanedDataset[[#This Row],[Latitude]]))*COS(RADIANS(EVCleanedDataset[[#This Row],[Longitude]]-MyLong)))</f>
        <v>465.2967762459113</v>
      </c>
      <c r="J201">
        <f t="shared" si="7"/>
        <v>7</v>
      </c>
      <c r="K20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38.518906368237694</v>
      </c>
      <c r="L201" t="str">
        <f>IF(EVCleanedDataset[[#This Row],[Score]]&gt;50,"Yes","No")</f>
        <v>No</v>
      </c>
    </row>
    <row r="202" spans="1:12" x14ac:dyDescent="0.3">
      <c r="A202" t="s">
        <v>2991</v>
      </c>
      <c r="B202" t="s">
        <v>502</v>
      </c>
      <c r="C202" t="s">
        <v>1233</v>
      </c>
      <c r="D202">
        <v>15.6382976</v>
      </c>
      <c r="E202">
        <v>80.0167529</v>
      </c>
      <c r="F202">
        <f>IF(COUNTIF($C$5:C202,C202)=1,1,0)</f>
        <v>1</v>
      </c>
      <c r="G202" s="2">
        <f t="shared" si="6"/>
        <v>368.80882447104284</v>
      </c>
      <c r="H202" s="2">
        <f>MAX(0, MyBattery - (EVCleanedDataset[[#This Row],[Distance(km)]]/VehicleRangeKm)*100)</f>
        <v>0</v>
      </c>
      <c r="I202" s="2">
        <f>6371*ACOS(SIN(RADIANS(MyLat))*SIN(RADIANS(EVCleanedDataset[[#This Row],[Latitude]]))+COS(RADIANS(MyLat))*COS(RADIANS(EVCleanedDataset[[#This Row],[Latitude]]))*COS(RADIANS(EVCleanedDataset[[#This Row],[Longitude]]-MyLong)))</f>
        <v>368.80882447104284</v>
      </c>
      <c r="J202">
        <f t="shared" si="7"/>
        <v>4</v>
      </c>
      <c r="K202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50.208923012761439</v>
      </c>
      <c r="L202" t="str">
        <f>IF(EVCleanedDataset[[#This Row],[Score]]&gt;50,"Yes","No")</f>
        <v>Yes</v>
      </c>
    </row>
    <row r="203" spans="1:12" x14ac:dyDescent="0.3">
      <c r="A203" t="s">
        <v>2971</v>
      </c>
      <c r="B203" t="s">
        <v>511</v>
      </c>
      <c r="C203" t="s">
        <v>1136</v>
      </c>
      <c r="D203">
        <v>22.335788999999998</v>
      </c>
      <c r="E203">
        <v>73.173794000000001</v>
      </c>
      <c r="F203">
        <f>IF(COUNTIF($C$5:C203,C203)=1,1,0)</f>
        <v>1</v>
      </c>
      <c r="G203" s="2">
        <f t="shared" si="6"/>
        <v>1050.1916192211741</v>
      </c>
      <c r="H203" s="2">
        <f>MAX(0, MyBattery - (EVCleanedDataset[[#This Row],[Distance(km)]]/VehicleRangeKm)*100)</f>
        <v>0</v>
      </c>
      <c r="I203" s="2">
        <f>6371*ACOS(SIN(RADIANS(MyLat))*SIN(RADIANS(EVCleanedDataset[[#This Row],[Latitude]]))+COS(RADIANS(MyLat))*COS(RADIANS(EVCleanedDataset[[#This Row],[Latitude]]))*COS(RADIANS(EVCleanedDataset[[#This Row],[Longitude]]-MyLong)))</f>
        <v>1100.5903572574543</v>
      </c>
      <c r="J203">
        <f t="shared" si="7"/>
        <v>1</v>
      </c>
      <c r="K203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47.391626499359738</v>
      </c>
      <c r="L203" t="str">
        <f>IF(EVCleanedDataset[[#This Row],[Score]]&gt;50,"Yes","No")</f>
        <v>No</v>
      </c>
    </row>
    <row r="204" spans="1:12" x14ac:dyDescent="0.3">
      <c r="A204" t="s">
        <v>198</v>
      </c>
      <c r="B204" t="s">
        <v>41</v>
      </c>
      <c r="C204" t="s">
        <v>199</v>
      </c>
      <c r="D204">
        <v>18.594799999999999</v>
      </c>
      <c r="E204">
        <v>73.797499999999999</v>
      </c>
      <c r="F204">
        <f>IF(COUNTIF($C$5:C204,C204)=1,1,0)</f>
        <v>1</v>
      </c>
      <c r="G204" s="2">
        <f t="shared" si="6"/>
        <v>707.06455329888081</v>
      </c>
      <c r="H204" s="2">
        <f>MAX(0, MyBattery - (EVCleanedDataset[[#This Row],[Distance(km)]]/VehicleRangeKm)*100)</f>
        <v>0</v>
      </c>
      <c r="I204" s="2">
        <f>6371*ACOS(SIN(RADIANS(MyLat))*SIN(RADIANS(EVCleanedDataset[[#This Row],[Latitude]]))+COS(RADIANS(MyLat))*COS(RADIANS(EVCleanedDataset[[#This Row],[Latitude]]))*COS(RADIANS(EVCleanedDataset[[#This Row],[Longitude]]-MyLong)))</f>
        <v>707.06455329888081</v>
      </c>
      <c r="J204">
        <f t="shared" si="7"/>
        <v>8</v>
      </c>
      <c r="K204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30.950989882325462</v>
      </c>
      <c r="L204" t="str">
        <f>IF(EVCleanedDataset[[#This Row],[Score]]&gt;50,"Yes","No")</f>
        <v>No</v>
      </c>
    </row>
    <row r="205" spans="1:12" x14ac:dyDescent="0.3">
      <c r="A205" t="s">
        <v>3278</v>
      </c>
      <c r="B205" t="s">
        <v>41</v>
      </c>
      <c r="C205" t="s">
        <v>42</v>
      </c>
      <c r="D205">
        <v>18.589877000000001</v>
      </c>
      <c r="E205">
        <v>73.738365700000003</v>
      </c>
      <c r="F205">
        <f>IF(COUNTIF($C$5:C205,C205)=1,1,0)</f>
        <v>0</v>
      </c>
      <c r="G205" s="2" t="str">
        <f t="shared" si="6"/>
        <v/>
      </c>
      <c r="H205" s="2">
        <f>MAX(0, MyBattery - (EVCleanedDataset[[#This Row],[Distance(km)]]/VehicleRangeKm)*100)</f>
        <v>0</v>
      </c>
      <c r="I205" s="2">
        <f>6371*ACOS(SIN(RADIANS(MyLat))*SIN(RADIANS(EVCleanedDataset[[#This Row],[Latitude]]))+COS(RADIANS(MyLat))*COS(RADIANS(EVCleanedDataset[[#This Row],[Latitude]]))*COS(RADIANS(EVCleanedDataset[[#This Row],[Longitude]]-MyLong)))</f>
        <v>710.20877996688307</v>
      </c>
      <c r="J205">
        <f t="shared" si="7"/>
        <v>5</v>
      </c>
      <c r="K205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40.895928094987589</v>
      </c>
      <c r="L205" t="str">
        <f>IF(EVCleanedDataset[[#This Row],[Score]]&gt;50,"Yes","No")</f>
        <v>No</v>
      </c>
    </row>
    <row r="206" spans="1:12" x14ac:dyDescent="0.3">
      <c r="A206" t="s">
        <v>2770</v>
      </c>
      <c r="B206" t="s">
        <v>68</v>
      </c>
      <c r="C206" t="s">
        <v>2658</v>
      </c>
      <c r="D206">
        <v>20.414321999999999</v>
      </c>
      <c r="E206">
        <v>72.918090000000007</v>
      </c>
      <c r="F206">
        <f>IF(COUNTIF($C$5:C206,C206)=1,1,0)</f>
        <v>1</v>
      </c>
      <c r="G206" s="2">
        <f t="shared" si="6"/>
        <v>923.46408690540386</v>
      </c>
      <c r="H206" s="2">
        <f>MAX(0, MyBattery - (EVCleanedDataset[[#This Row],[Distance(km)]]/VehicleRangeKm)*100)</f>
        <v>0</v>
      </c>
      <c r="I206" s="2">
        <f>6371*ACOS(SIN(RADIANS(MyLat))*SIN(RADIANS(EVCleanedDataset[[#This Row],[Latitude]]))+COS(RADIANS(MyLat))*COS(RADIANS(EVCleanedDataset[[#This Row],[Latitude]]))*COS(RADIANS(EVCleanedDataset[[#This Row],[Longitude]]-MyLong)))</f>
        <v>926.48858885427796</v>
      </c>
      <c r="J206">
        <f t="shared" si="7"/>
        <v>2</v>
      </c>
      <c r="K206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47.10775203266072</v>
      </c>
      <c r="L206" t="str">
        <f>IF(EVCleanedDataset[[#This Row],[Score]]&gt;50,"Yes","No")</f>
        <v>No</v>
      </c>
    </row>
    <row r="207" spans="1:12" x14ac:dyDescent="0.3">
      <c r="A207" t="s">
        <v>2353</v>
      </c>
      <c r="B207" t="s">
        <v>41</v>
      </c>
      <c r="C207" t="s">
        <v>2354</v>
      </c>
      <c r="D207">
        <v>18.778929999999999</v>
      </c>
      <c r="E207">
        <v>73.870990000000006</v>
      </c>
      <c r="F207">
        <f>IF(COUNTIF($C$5:C207,C207)=1,1,0)</f>
        <v>1</v>
      </c>
      <c r="G207" s="2">
        <f t="shared" si="6"/>
        <v>719.63769480695271</v>
      </c>
      <c r="H207" s="2">
        <f>MAX(0, MyBattery - (EVCleanedDataset[[#This Row],[Distance(km)]]/VehicleRangeKm)*100)</f>
        <v>0</v>
      </c>
      <c r="I207" s="2">
        <f>6371*ACOS(SIN(RADIANS(MyLat))*SIN(RADIANS(EVCleanedDataset[[#This Row],[Latitude]]))+COS(RADIANS(MyLat))*COS(RADIANS(EVCleanedDataset[[#This Row],[Latitude]]))*COS(RADIANS(EVCleanedDataset[[#This Row],[Longitude]]-MyLong)))</f>
        <v>719.63769480695271</v>
      </c>
      <c r="J207">
        <f t="shared" si="7"/>
        <v>9</v>
      </c>
      <c r="K20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27.397465347274043</v>
      </c>
      <c r="L207" t="str">
        <f>IF(EVCleanedDataset[[#This Row],[Score]]&gt;50,"Yes","No")</f>
        <v>No</v>
      </c>
    </row>
    <row r="208" spans="1:12" x14ac:dyDescent="0.3">
      <c r="A208" t="s">
        <v>2469</v>
      </c>
      <c r="B208" t="s">
        <v>502</v>
      </c>
      <c r="C208" t="s">
        <v>1365</v>
      </c>
      <c r="D208">
        <v>16.983329600000001</v>
      </c>
      <c r="E208">
        <v>81.798042699999996</v>
      </c>
      <c r="F208">
        <f>IF(COUNTIF($C$5:C208,C208)=1,1,0)</f>
        <v>1</v>
      </c>
      <c r="G208" s="2">
        <f t="shared" si="6"/>
        <v>608.83106740387746</v>
      </c>
      <c r="H208" s="2">
        <f>MAX(0, MyBattery - (EVCleanedDataset[[#This Row],[Distance(km)]]/VehicleRangeKm)*100)</f>
        <v>0</v>
      </c>
      <c r="I208" s="2">
        <f>6371*ACOS(SIN(RADIANS(MyLat))*SIN(RADIANS(EVCleanedDataset[[#This Row],[Latitude]]))+COS(RADIANS(MyLat))*COS(RADIANS(EVCleanedDataset[[#This Row],[Latitude]]))*COS(RADIANS(EVCleanedDataset[[#This Row],[Longitude]]-MyLong)))</f>
        <v>610.15287044056697</v>
      </c>
      <c r="J208">
        <f t="shared" si="7"/>
        <v>6</v>
      </c>
      <c r="K208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39.315124932016303</v>
      </c>
      <c r="L208" t="str">
        <f>IF(EVCleanedDataset[[#This Row],[Score]]&gt;50,"Yes","No")</f>
        <v>No</v>
      </c>
    </row>
    <row r="209" spans="1:12" x14ac:dyDescent="0.3">
      <c r="A209" t="s">
        <v>2770</v>
      </c>
      <c r="B209" t="s">
        <v>386</v>
      </c>
      <c r="C209" t="s">
        <v>2733</v>
      </c>
      <c r="D209">
        <v>9.2744022000000008</v>
      </c>
      <c r="E209">
        <v>76.763740799999994</v>
      </c>
      <c r="F209">
        <f>IF(COUNTIF($C$5:C209,C209)=1,1,0)</f>
        <v>1</v>
      </c>
      <c r="G209" s="2">
        <f t="shared" si="6"/>
        <v>460.87203710789521</v>
      </c>
      <c r="H209" s="2">
        <f>MAX(0, MyBattery - (EVCleanedDataset[[#This Row],[Distance(km)]]/VehicleRangeKm)*100)</f>
        <v>0</v>
      </c>
      <c r="I209" s="2">
        <f>6371*ACOS(SIN(RADIANS(MyLat))*SIN(RADIANS(EVCleanedDataset[[#This Row],[Latitude]]))+COS(RADIANS(MyLat))*COS(RADIANS(EVCleanedDataset[[#This Row],[Latitude]]))*COS(RADIANS(EVCleanedDataset[[#This Row],[Longitude]]-MyLong)))</f>
        <v>460.87203710789521</v>
      </c>
      <c r="J209">
        <f t="shared" si="7"/>
        <v>3</v>
      </c>
      <c r="K20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51.92981993249083</v>
      </c>
      <c r="L209" t="str">
        <f>IF(EVCleanedDataset[[#This Row],[Score]]&gt;50,"Yes","No")</f>
        <v>Yes</v>
      </c>
    </row>
    <row r="210" spans="1:12" x14ac:dyDescent="0.3">
      <c r="A210" t="s">
        <v>2383</v>
      </c>
      <c r="B210" t="s">
        <v>115</v>
      </c>
      <c r="C210" t="s">
        <v>2384</v>
      </c>
      <c r="D210">
        <v>17.212796000000001</v>
      </c>
      <c r="E210">
        <v>79.166746000000003</v>
      </c>
      <c r="F210">
        <f>IF(COUNTIF($C$5:C210,C210)=1,1,0)</f>
        <v>1</v>
      </c>
      <c r="G210" s="2">
        <f t="shared" si="6"/>
        <v>463.78935471925797</v>
      </c>
      <c r="H210" s="2">
        <f>MAX(0, MyBattery - (EVCleanedDataset[[#This Row],[Distance(km)]]/VehicleRangeKm)*100)</f>
        <v>0</v>
      </c>
      <c r="I210" s="2">
        <f>6371*ACOS(SIN(RADIANS(MyLat))*SIN(RADIANS(EVCleanedDataset[[#This Row],[Latitude]]))+COS(RADIANS(MyLat))*COS(RADIANS(EVCleanedDataset[[#This Row],[Latitude]]))*COS(RADIANS(EVCleanedDataset[[#This Row],[Longitude]]-MyLong)))</f>
        <v>463.78935471925797</v>
      </c>
      <c r="J210">
        <f t="shared" si="7"/>
        <v>0</v>
      </c>
      <c r="K210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61.878732504711529</v>
      </c>
      <c r="L210" t="str">
        <f>IF(EVCleanedDataset[[#This Row],[Score]]&gt;50,"Yes","No")</f>
        <v>Yes</v>
      </c>
    </row>
    <row r="211" spans="1:12" x14ac:dyDescent="0.3">
      <c r="A211" t="s">
        <v>2950</v>
      </c>
      <c r="B211" t="s">
        <v>150</v>
      </c>
      <c r="C211" t="s">
        <v>1028</v>
      </c>
      <c r="D211">
        <v>13.344796000000001</v>
      </c>
      <c r="E211">
        <v>77.080191999999997</v>
      </c>
      <c r="F211">
        <f>IF(COUNTIF($C$5:C211,C211)=1,1,0)</f>
        <v>0</v>
      </c>
      <c r="G211" s="2" t="str">
        <f t="shared" si="6"/>
        <v/>
      </c>
      <c r="H211" s="2">
        <f>MAX(0, MyBattery - (EVCleanedDataset[[#This Row],[Distance(km)]]/VehicleRangeKm)*100)</f>
        <v>53.506637386417935</v>
      </c>
      <c r="I211" s="2">
        <f>6371*ACOS(SIN(RADIANS(MyLat))*SIN(RADIANS(EVCleanedDataset[[#This Row],[Latitude]]))+COS(RADIANS(MyLat))*COS(RADIANS(EVCleanedDataset[[#This Row],[Latitude]]))*COS(RADIANS(EVCleanedDataset[[#This Row],[Longitude]]-MyLong)))</f>
        <v>49.480087840746208</v>
      </c>
      <c r="J211">
        <f t="shared" si="7"/>
        <v>7</v>
      </c>
      <c r="K211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61.854113801079457</v>
      </c>
      <c r="L211" t="str">
        <f>IF(EVCleanedDataset[[#This Row],[Score]]&gt;50,"Yes","No")</f>
        <v>Yes</v>
      </c>
    </row>
    <row r="212" spans="1:12" x14ac:dyDescent="0.3">
      <c r="A212" t="s">
        <v>2525</v>
      </c>
      <c r="B212" t="s">
        <v>115</v>
      </c>
      <c r="C212" t="s">
        <v>2526</v>
      </c>
      <c r="D212">
        <v>17.522470999999999</v>
      </c>
      <c r="E212">
        <v>78.924306000000001</v>
      </c>
      <c r="F212">
        <f>IF(COUNTIF($C$5:C212,C212)=1,1,0)</f>
        <v>1</v>
      </c>
      <c r="G212" s="2">
        <f t="shared" si="6"/>
        <v>487.26810176580835</v>
      </c>
      <c r="H212" s="2">
        <f>MAX(0, MyBattery - (EVCleanedDataset[[#This Row],[Distance(km)]]/VehicleRangeKm)*100)</f>
        <v>0</v>
      </c>
      <c r="I212" s="2">
        <f>6371*ACOS(SIN(RADIANS(MyLat))*SIN(RADIANS(EVCleanedDataset[[#This Row],[Latitude]]))+COS(RADIANS(MyLat))*COS(RADIANS(EVCleanedDataset[[#This Row],[Latitude]]))*COS(RADIANS(EVCleanedDataset[[#This Row],[Longitude]]-MyLong)))</f>
        <v>487.26810176580835</v>
      </c>
      <c r="J212">
        <f t="shared" si="7"/>
        <v>4</v>
      </c>
      <c r="K21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48.134184009019847</v>
      </c>
      <c r="L212" t="str">
        <f>IF(EVCleanedDataset[[#This Row],[Score]]&gt;50,"Yes","No")</f>
        <v>No</v>
      </c>
    </row>
    <row r="213" spans="1:12" x14ac:dyDescent="0.3">
      <c r="A213" t="s">
        <v>3174</v>
      </c>
      <c r="B213" t="s">
        <v>49</v>
      </c>
      <c r="C213" t="s">
        <v>1834</v>
      </c>
      <c r="D213">
        <v>12.23639376</v>
      </c>
      <c r="E213">
        <v>79.089600880000006</v>
      </c>
      <c r="F213">
        <f>IF(COUNTIF($C$5:C213,C213)=1,1,0)</f>
        <v>1</v>
      </c>
      <c r="G213" s="2">
        <f t="shared" si="6"/>
        <v>208.88511089862331</v>
      </c>
      <c r="H213" s="2">
        <f>MAX(0, MyBattery - (EVCleanedDataset[[#This Row],[Distance(km)]]/VehicleRangeKm)*100)</f>
        <v>0.37162970045889665</v>
      </c>
      <c r="I213" s="2">
        <f>6371*ACOS(SIN(RADIANS(MyLat))*SIN(RADIANS(EVCleanedDataset[[#This Row],[Latitude]]))+COS(RADIANS(MyLat))*COS(RADIANS(EVCleanedDataset[[#This Row],[Latitude]]))*COS(RADIANS(EVCleanedDataset[[#This Row],[Longitude]]-MyLong)))</f>
        <v>208.88511089862331</v>
      </c>
      <c r="J213">
        <f t="shared" si="7"/>
        <v>1</v>
      </c>
      <c r="K213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63.1216191954883</v>
      </c>
      <c r="L213" t="str">
        <f>IF(EVCleanedDataset[[#This Row],[Score]]&gt;50,"Yes","No")</f>
        <v>Yes</v>
      </c>
    </row>
    <row r="214" spans="1:12" x14ac:dyDescent="0.3">
      <c r="A214" t="s">
        <v>620</v>
      </c>
      <c r="B214" t="s">
        <v>49</v>
      </c>
      <c r="C214" t="s">
        <v>2748</v>
      </c>
      <c r="D214">
        <v>10.826708500000001</v>
      </c>
      <c r="E214">
        <v>78.695911600000002</v>
      </c>
      <c r="F214">
        <f>IF(COUNTIF($C$5:C214,C214)=1,1,0)</f>
        <v>0</v>
      </c>
      <c r="G214" s="2" t="str">
        <f t="shared" si="6"/>
        <v/>
      </c>
      <c r="H214" s="2">
        <f>MAX(0, MyBattery - (EVCleanedDataset[[#This Row],[Distance(km)]]/VehicleRangeKm)*100)</f>
        <v>0</v>
      </c>
      <c r="I214" s="2">
        <f>6371*ACOS(SIN(RADIANS(MyLat))*SIN(RADIANS(EVCleanedDataset[[#This Row],[Latitude]]))+COS(RADIANS(MyLat))*COS(RADIANS(EVCleanedDataset[[#This Row],[Latitude]]))*COS(RADIANS(EVCleanedDataset[[#This Row],[Longitude]]-MyLong)))</f>
        <v>307.45676317303901</v>
      </c>
      <c r="J214">
        <f t="shared" si="7"/>
        <v>8</v>
      </c>
      <c r="K214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37.950303857681369</v>
      </c>
      <c r="L214" t="str">
        <f>IF(EVCleanedDataset[[#This Row],[Score]]&gt;50,"Yes","No")</f>
        <v>No</v>
      </c>
    </row>
    <row r="215" spans="1:12" x14ac:dyDescent="0.3">
      <c r="A215" t="s">
        <v>2931</v>
      </c>
      <c r="B215" t="s">
        <v>386</v>
      </c>
      <c r="C215" t="s">
        <v>1831</v>
      </c>
      <c r="D215">
        <v>10.8878</v>
      </c>
      <c r="E215">
        <v>76.189668999999995</v>
      </c>
      <c r="F215">
        <f>IF(COUNTIF($C$5:C215,C215)=1,1,0)</f>
        <v>0</v>
      </c>
      <c r="G215" s="2" t="str">
        <f t="shared" si="6"/>
        <v/>
      </c>
      <c r="H215" s="2">
        <f>MAX(0, MyBattery - (EVCleanedDataset[[#This Row],[Distance(km)]]/VehicleRangeKm)*100)</f>
        <v>0</v>
      </c>
      <c r="I215" s="2">
        <f>6371*ACOS(SIN(RADIANS(MyLat))*SIN(RADIANS(EVCleanedDataset[[#This Row],[Latitude]]))+COS(RADIANS(MyLat))*COS(RADIANS(EVCleanedDataset[[#This Row],[Latitude]]))*COS(RADIANS(EVCleanedDataset[[#This Row],[Longitude]]-MyLong)))</f>
        <v>310.43874220014538</v>
      </c>
      <c r="J215">
        <f t="shared" si="7"/>
        <v>5</v>
      </c>
      <c r="K215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47.898083871688932</v>
      </c>
      <c r="L215" t="str">
        <f>IF(EVCleanedDataset[[#This Row],[Score]]&gt;50,"Yes","No")</f>
        <v>No</v>
      </c>
    </row>
    <row r="216" spans="1:12" x14ac:dyDescent="0.3">
      <c r="A216" t="s">
        <v>510</v>
      </c>
      <c r="B216" t="s">
        <v>49</v>
      </c>
      <c r="C216" t="s">
        <v>2748</v>
      </c>
      <c r="D216">
        <v>10.8024024</v>
      </c>
      <c r="E216">
        <v>78.682418100000007</v>
      </c>
      <c r="F216">
        <f>IF(COUNTIF($C$5:C216,C216)=1,1,0)</f>
        <v>0</v>
      </c>
      <c r="G216" s="2" t="str">
        <f t="shared" si="6"/>
        <v/>
      </c>
      <c r="H216" s="2">
        <f>MAX(0, MyBattery - (EVCleanedDataset[[#This Row],[Distance(km)]]/VehicleRangeKm)*100)</f>
        <v>0</v>
      </c>
      <c r="I216" s="2">
        <f>6371*ACOS(SIN(RADIANS(MyLat))*SIN(RADIANS(EVCleanedDataset[[#This Row],[Latitude]]))+COS(RADIANS(MyLat))*COS(RADIANS(EVCleanedDataset[[#This Row],[Latitude]]))*COS(RADIANS(EVCleanedDataset[[#This Row],[Longitude]]-MyLong)))</f>
        <v>309.33326645339929</v>
      </c>
      <c r="J216">
        <f t="shared" si="7"/>
        <v>2</v>
      </c>
      <c r="K216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57.917456510474331</v>
      </c>
      <c r="L216" t="str">
        <f>IF(EVCleanedDataset[[#This Row],[Score]]&gt;50,"Yes","No")</f>
        <v>Yes</v>
      </c>
    </row>
    <row r="217" spans="1:12" x14ac:dyDescent="0.3">
      <c r="A217" t="s">
        <v>3009</v>
      </c>
      <c r="B217" t="s">
        <v>49</v>
      </c>
      <c r="C217" t="s">
        <v>1338</v>
      </c>
      <c r="D217">
        <v>9.9642326000000008</v>
      </c>
      <c r="E217">
        <v>78.065010700000002</v>
      </c>
      <c r="F217">
        <f>IF(COUNTIF($C$5:C217,C217)=1,1,0)</f>
        <v>0</v>
      </c>
      <c r="G217" s="2" t="str">
        <f t="shared" si="6"/>
        <v/>
      </c>
      <c r="H217" s="2">
        <f>MAX(0, MyBattery - (EVCleanedDataset[[#This Row],[Distance(km)]]/VehicleRangeKm)*100)</f>
        <v>0</v>
      </c>
      <c r="I217" s="2">
        <f>6371*ACOS(SIN(RADIANS(MyLat))*SIN(RADIANS(EVCleanedDataset[[#This Row],[Latitude]]))+COS(RADIANS(MyLat))*COS(RADIANS(EVCleanedDataset[[#This Row],[Latitude]]))*COS(RADIANS(EVCleanedDataset[[#This Row],[Longitude]]-MyLong)))</f>
        <v>380.73931556095721</v>
      </c>
      <c r="J217">
        <f t="shared" si="7"/>
        <v>9</v>
      </c>
      <c r="K217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33.333441300785992</v>
      </c>
      <c r="L217" t="str">
        <f>IF(EVCleanedDataset[[#This Row],[Score]]&gt;50,"Yes","No")</f>
        <v>No</v>
      </c>
    </row>
    <row r="218" spans="1:12" x14ac:dyDescent="0.3">
      <c r="A218" t="s">
        <v>3304</v>
      </c>
      <c r="B218" t="s">
        <v>49</v>
      </c>
      <c r="C218" t="s">
        <v>1338</v>
      </c>
      <c r="D218">
        <v>9.8624279999999995</v>
      </c>
      <c r="E218">
        <v>78.021557000000001</v>
      </c>
      <c r="F218">
        <f>IF(COUNTIF($C$5:C218,C218)=1,1,0)</f>
        <v>0</v>
      </c>
      <c r="G218" s="2" t="str">
        <f t="shared" si="6"/>
        <v/>
      </c>
      <c r="H218" s="2">
        <f>MAX(0, MyBattery - (EVCleanedDataset[[#This Row],[Distance(km)]]/VehicleRangeKm)*100)</f>
        <v>0</v>
      </c>
      <c r="I218" s="2">
        <f>6371*ACOS(SIN(RADIANS(MyLat))*SIN(RADIANS(EVCleanedDataset[[#This Row],[Latitude]]))+COS(RADIANS(MyLat))*COS(RADIANS(EVCleanedDataset[[#This Row],[Latitude]]))*COS(RADIANS(EVCleanedDataset[[#This Row],[Longitude]]-MyLong)))</f>
        <v>391.2694949310349</v>
      </c>
      <c r="J218">
        <f t="shared" si="7"/>
        <v>6</v>
      </c>
      <c r="K218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43.14901300796182</v>
      </c>
      <c r="L218" t="str">
        <f>IF(EVCleanedDataset[[#This Row],[Score]]&gt;50,"Yes","No")</f>
        <v>No</v>
      </c>
    </row>
    <row r="219" spans="1:12" x14ac:dyDescent="0.3">
      <c r="A219" t="s">
        <v>2910</v>
      </c>
      <c r="B219" t="s">
        <v>150</v>
      </c>
      <c r="C219" t="s">
        <v>2751</v>
      </c>
      <c r="D219">
        <v>15.387874999999999</v>
      </c>
      <c r="E219">
        <v>75.101617899999994</v>
      </c>
      <c r="F219">
        <f>IF(COUNTIF($C$5:C219,C219)=1,1,0)</f>
        <v>0</v>
      </c>
      <c r="G219" s="2" t="str">
        <f t="shared" si="6"/>
        <v/>
      </c>
      <c r="H219" s="2">
        <f>MAX(0, MyBattery - (EVCleanedDataset[[#This Row],[Distance(km)]]/VehicleRangeKm)*100)</f>
        <v>0</v>
      </c>
      <c r="I219" s="2">
        <f>6371*ACOS(SIN(RADIANS(MyLat))*SIN(RADIANS(EVCleanedDataset[[#This Row],[Latitude]]))+COS(RADIANS(MyLat))*COS(RADIANS(EVCleanedDataset[[#This Row],[Latitude]]))*COS(RADIANS(EVCleanedDataset[[#This Row],[Longitude]]-MyLong)))</f>
        <v>346.7416556788923</v>
      </c>
      <c r="J219">
        <f t="shared" si="7"/>
        <v>3</v>
      </c>
      <c r="K219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53.92893742026056</v>
      </c>
      <c r="L219" t="str">
        <f>IF(EVCleanedDataset[[#This Row],[Score]]&gt;50,"Yes","No")</f>
        <v>Yes</v>
      </c>
    </row>
    <row r="220" spans="1:12" x14ac:dyDescent="0.3">
      <c r="A220" t="s">
        <v>104</v>
      </c>
      <c r="B220" t="s">
        <v>41</v>
      </c>
      <c r="C220" t="s">
        <v>42</v>
      </c>
      <c r="D220">
        <v>15.2735</v>
      </c>
      <c r="E220">
        <v>73.959000000000003</v>
      </c>
      <c r="F220">
        <f>IF(COUNTIF($C$5:C220,C220)=1,1,0)</f>
        <v>0</v>
      </c>
      <c r="G220" s="2" t="str">
        <f t="shared" si="6"/>
        <v/>
      </c>
      <c r="H220" s="2">
        <f>MAX(0, MyBattery - (EVCleanedDataset[[#This Row],[Distance(km)]]/VehicleRangeKm)*100)</f>
        <v>0</v>
      </c>
      <c r="I220" s="2">
        <f>6371*ACOS(SIN(RADIANS(MyLat))*SIN(RADIANS(EVCleanedDataset[[#This Row],[Latitude]]))+COS(RADIANS(MyLat))*COS(RADIANS(EVCleanedDataset[[#This Row],[Latitude]]))*COS(RADIANS(EVCleanedDataset[[#This Row],[Longitude]]-MyLong)))</f>
        <v>440.93953782739487</v>
      </c>
      <c r="J220">
        <f t="shared" si="7"/>
        <v>0</v>
      </c>
      <c r="K220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62.27905182394322</v>
      </c>
      <c r="L220" t="str">
        <f>IF(EVCleanedDataset[[#This Row],[Score]]&gt;50,"Yes","No")</f>
        <v>Yes</v>
      </c>
    </row>
    <row r="221" spans="1:12" x14ac:dyDescent="0.3">
      <c r="A221" t="s">
        <v>2626</v>
      </c>
      <c r="B221" t="s">
        <v>41</v>
      </c>
      <c r="C221" t="s">
        <v>2398</v>
      </c>
      <c r="D221">
        <v>17.297609399999999</v>
      </c>
      <c r="E221">
        <v>74.166333019999996</v>
      </c>
      <c r="F221">
        <f>IF(COUNTIF($C$5:C221,C221)=1,1,0)</f>
        <v>1</v>
      </c>
      <c r="G221" s="2">
        <f t="shared" si="6"/>
        <v>565.70117362684698</v>
      </c>
      <c r="H221" s="2">
        <f>MAX(0, MyBattery - (EVCleanedDataset[[#This Row],[Distance(km)]]/VehicleRangeKm)*100)</f>
        <v>0</v>
      </c>
      <c r="I221" s="2">
        <f>6371*ACOS(SIN(RADIANS(MyLat))*SIN(RADIANS(EVCleanedDataset[[#This Row],[Latitude]]))+COS(RADIANS(MyLat))*COS(RADIANS(EVCleanedDataset[[#This Row],[Latitude]]))*COS(RADIANS(EVCleanedDataset[[#This Row],[Longitude]]-MyLong)))</f>
        <v>568.68769100733277</v>
      </c>
      <c r="J221">
        <f t="shared" si="7"/>
        <v>7</v>
      </c>
      <c r="K221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36.708192884055904</v>
      </c>
      <c r="L221" t="str">
        <f>IF(EVCleanedDataset[[#This Row],[Score]]&gt;50,"Yes","No")</f>
        <v>No</v>
      </c>
    </row>
    <row r="222" spans="1:12" x14ac:dyDescent="0.3">
      <c r="A222" t="s">
        <v>2826</v>
      </c>
      <c r="B222" t="s">
        <v>150</v>
      </c>
      <c r="C222" t="s">
        <v>1341</v>
      </c>
      <c r="D222">
        <v>19.177900000000001</v>
      </c>
      <c r="E222">
        <v>76.168000000000006</v>
      </c>
      <c r="F222">
        <f>IF(COUNTIF($C$5:C222,C222)=1,1,0)</f>
        <v>0</v>
      </c>
      <c r="G222" s="2" t="str">
        <f t="shared" si="6"/>
        <v/>
      </c>
      <c r="H222" s="2">
        <f>MAX(0, MyBattery - (EVCleanedDataset[[#This Row],[Distance(km)]]/VehicleRangeKm)*100)</f>
        <v>0</v>
      </c>
      <c r="I222" s="2">
        <f>6371*ACOS(SIN(RADIANS(MyLat))*SIN(RADIANS(EVCleanedDataset[[#This Row],[Latitude]]))+COS(RADIANS(MyLat))*COS(RADIANS(EVCleanedDataset[[#This Row],[Latitude]]))*COS(RADIANS(EVCleanedDataset[[#This Row],[Longitude]]-MyLong)))</f>
        <v>664.39570237563487</v>
      </c>
      <c r="J222">
        <f t="shared" si="7"/>
        <v>4</v>
      </c>
      <c r="K222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45.031857058786606</v>
      </c>
      <c r="L222" t="str">
        <f>IF(EVCleanedDataset[[#This Row],[Score]]&gt;50,"Yes","No")</f>
        <v>No</v>
      </c>
    </row>
    <row r="223" spans="1:12" x14ac:dyDescent="0.3">
      <c r="A223" t="s">
        <v>3318</v>
      </c>
      <c r="B223" t="s">
        <v>41</v>
      </c>
      <c r="C223" t="s">
        <v>1206</v>
      </c>
      <c r="D223">
        <v>19.068578800000001</v>
      </c>
      <c r="E223">
        <v>73.022744000000003</v>
      </c>
      <c r="F223">
        <f>IF(COUNTIF($C$5:C223,C223)=1,1,0)</f>
        <v>0</v>
      </c>
      <c r="G223" s="2" t="str">
        <f t="shared" si="6"/>
        <v/>
      </c>
      <c r="H223" s="2">
        <f>MAX(0, MyBattery - (EVCleanedDataset[[#This Row],[Distance(km)]]/VehicleRangeKm)*100)</f>
        <v>0</v>
      </c>
      <c r="I223" s="2">
        <f>6371*ACOS(SIN(RADIANS(MyLat))*SIN(RADIANS(EVCleanedDataset[[#This Row],[Latitude]]))+COS(RADIANS(MyLat))*COS(RADIANS(EVCleanedDataset[[#This Row],[Latitude]]))*COS(RADIANS(EVCleanedDataset[[#This Row],[Longitude]]-MyLong)))</f>
        <v>797.87121677703226</v>
      </c>
      <c r="J223">
        <f t="shared" si="7"/>
        <v>1</v>
      </c>
      <c r="K223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52.694015523230021</v>
      </c>
      <c r="L223" t="str">
        <f>IF(EVCleanedDataset[[#This Row],[Score]]&gt;50,"Yes","No")</f>
        <v>Yes</v>
      </c>
    </row>
    <row r="224" spans="1:12" x14ac:dyDescent="0.3">
      <c r="A224" t="s">
        <v>3348</v>
      </c>
      <c r="B224" t="s">
        <v>150</v>
      </c>
      <c r="C224" t="s">
        <v>2229</v>
      </c>
      <c r="D224">
        <v>12.995207600000001</v>
      </c>
      <c r="E224">
        <v>76.079467359999995</v>
      </c>
      <c r="F224">
        <f>IF(COUNTIF($C$5:C224,C224)=1,1,0)</f>
        <v>1</v>
      </c>
      <c r="G224" s="2">
        <f t="shared" si="6"/>
        <v>149.66068577321801</v>
      </c>
      <c r="H224" s="2">
        <f>MAX(0, MyBattery - (EVCleanedDataset[[#This Row],[Distance(km)]]/VehicleRangeKm)*100)</f>
        <v>15.76937554142485</v>
      </c>
      <c r="I224" s="2">
        <f>6371*ACOS(SIN(RADIANS(MyLat))*SIN(RADIANS(EVCleanedDataset[[#This Row],[Latitude]]))+COS(RADIANS(MyLat))*COS(RADIANS(EVCleanedDataset[[#This Row],[Latitude]]))*COS(RADIANS(EVCleanedDataset[[#This Row],[Longitude]]-MyLong)))</f>
        <v>162.69187337572546</v>
      </c>
      <c r="J224">
        <f t="shared" si="7"/>
        <v>8</v>
      </c>
      <c r="K224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45.216803825579341</v>
      </c>
      <c r="L224" t="str">
        <f>IF(EVCleanedDataset[[#This Row],[Score]]&gt;50,"Yes","No")</f>
        <v>No</v>
      </c>
    </row>
    <row r="225" spans="1:12" x14ac:dyDescent="0.3">
      <c r="A225" t="s">
        <v>3179</v>
      </c>
      <c r="B225" t="s">
        <v>150</v>
      </c>
      <c r="C225" t="s">
        <v>1341</v>
      </c>
      <c r="D225">
        <v>13.024253979999999</v>
      </c>
      <c r="E225">
        <v>77.536718559999997</v>
      </c>
      <c r="F225">
        <f>IF(COUNTIF($C$5:C225,C225)=1,1,0)</f>
        <v>0</v>
      </c>
      <c r="G225" s="2" t="str">
        <f t="shared" si="6"/>
        <v/>
      </c>
      <c r="H225" s="2">
        <f>MAX(0, MyBattery - (EVCleanedDataset[[#This Row],[Distance(km)]]/VehicleRangeKm)*100)</f>
        <v>57.958885385098903</v>
      </c>
      <c r="I225" s="2">
        <f>6371*ACOS(SIN(RADIANS(MyLat))*SIN(RADIANS(EVCleanedDataset[[#This Row],[Latitude]]))+COS(RADIANS(MyLat))*COS(RADIANS(EVCleanedDataset[[#This Row],[Latitude]]))*COS(RADIANS(EVCleanedDataset[[#This Row],[Longitude]]-MyLong)))</f>
        <v>36.123343844703285</v>
      </c>
      <c r="J225">
        <f t="shared" si="7"/>
        <v>5</v>
      </c>
      <c r="K225" s="5">
        <f>((1-(EVCleanedDataset[[#This Row],[Distance(km)]]/MAX($I$5:$I$1121)))*0.4 + (1-(EVCleanedDataset[[#This Row],[QueueLength]]/MAX($J$5:$J$1121)))*0.3 + (EVCleanedDataset[[#This Row],[EstimatedBatteryOnArrival]]/100)*0.3 + (ROW()/10000000))*100</f>
        <v>70.090541030444271</v>
      </c>
      <c r="L225" t="str">
        <f>IF(EVCleanedDataset[[#This Row],[Score]]&gt;50,"Yes","No")</f>
        <v>Yes</v>
      </c>
    </row>
    <row r="226" spans="1:12" x14ac:dyDescent="0.3">
      <c r="A226" t="s">
        <v>3060</v>
      </c>
      <c r="B226" t="s">
        <v>150</v>
      </c>
      <c r="C226" t="s">
        <v>1341</v>
      </c>
      <c r="D226">
        <v>12.9499757</v>
      </c>
      <c r="E226">
        <v>77.540717999999998</v>
      </c>
      <c r="F226">
        <f>IF(COUNTIF($C$5:C226,C226)=1,1,0)</f>
        <v>0</v>
      </c>
      <c r="G226" s="2" t="str">
        <f t="shared" si="6"/>
        <v/>
      </c>
      <c r="H226" s="2">
        <f>MAX(0, MyBattery - (EVCleanedDataset[[#This Row],[Distance(km)]]/VehicleRangeKm)*100)</f>
        <v>55.205342908743106</v>
      </c>
      <c r="I226" s="2">
        <f>6371*ACOS(SIN(RADIANS(MyLat))*SIN(RADIANS(EVCleanedDataset[[#This Row],[Latitude]]))+COS(RADIANS(MyLat))*COS(RADIANS(EVCleanedDataset[[#This Row],[Latitude]]))*COS(RADIANS(EVCleanedDataset[[#This Row],[Longitude]]-MyLong)))</f>
        <v>44.383971273770669</v>
      </c>
      <c r="J226">
        <f t="shared" si="7"/>
        <v>2</v>
      </c>
      <c r="K226" s="5">
        <f>((1-(EVCleanedDataset[[#This Row],[Distance(km)]]/MAX($I$5:$I$1121)))*0.4 + (1-(EVCleanedDataset[[#This Row],[QueueLength]]/MAX($J$5:$J$1121)))*0.3 + (EVCleanedDataset[[#This Row],[EstimatedBatteryOnArrival]]/100)*0.3 + (ROW()/10000000))*100</f>
        <v>79.119801671371889</v>
      </c>
      <c r="L226" t="str">
        <f>IF(EVCleanedDataset[[#This Row],[Score]]&gt;50,"Yes","No")</f>
        <v>Yes</v>
      </c>
    </row>
    <row r="227" spans="1:12" x14ac:dyDescent="0.3">
      <c r="A227" t="s">
        <v>905</v>
      </c>
      <c r="B227" t="s">
        <v>150</v>
      </c>
      <c r="C227" t="s">
        <v>1341</v>
      </c>
      <c r="D227">
        <v>13.008305</v>
      </c>
      <c r="E227">
        <v>77.571179000000001</v>
      </c>
      <c r="F227">
        <f>IF(COUNTIF($C$5:C227,C227)=1,1,0)</f>
        <v>0</v>
      </c>
      <c r="G227" s="2" t="str">
        <f t="shared" si="6"/>
        <v/>
      </c>
      <c r="H227" s="2">
        <f>MAX(0, MyBattery - (EVCleanedDataset[[#This Row],[Distance(km)]]/VehicleRangeKm)*100)</f>
        <v>57.30946138085676</v>
      </c>
      <c r="I227" s="2">
        <f>6371*ACOS(SIN(RADIANS(MyLat))*SIN(RADIANS(EVCleanedDataset[[#This Row],[Latitude]]))+COS(RADIANS(MyLat))*COS(RADIANS(EVCleanedDataset[[#This Row],[Latitude]]))*COS(RADIANS(EVCleanedDataset[[#This Row],[Longitude]]-MyLong)))</f>
        <v>38.071615857429734</v>
      </c>
      <c r="J227">
        <f t="shared" si="7"/>
        <v>9</v>
      </c>
      <c r="K227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56.528276104281829</v>
      </c>
      <c r="L227" t="str">
        <f>IF(EVCleanedDataset[[#This Row],[Score]]&gt;50,"Yes","No")</f>
        <v>Yes</v>
      </c>
    </row>
    <row r="228" spans="1:12" x14ac:dyDescent="0.3">
      <c r="A228" t="s">
        <v>1104</v>
      </c>
      <c r="B228" t="s">
        <v>41</v>
      </c>
      <c r="C228" t="s">
        <v>119</v>
      </c>
      <c r="D228">
        <v>19.116440000000001</v>
      </c>
      <c r="E228">
        <v>72.909679999999994</v>
      </c>
      <c r="F228">
        <f>IF(COUNTIF($C$5:C228,C228)=1,1,0)</f>
        <v>0</v>
      </c>
      <c r="G228" s="2" t="str">
        <f t="shared" si="6"/>
        <v/>
      </c>
      <c r="H228" s="2">
        <f>MAX(0, MyBattery - (EVCleanedDataset[[#This Row],[Distance(km)]]/VehicleRangeKm)*100)</f>
        <v>0</v>
      </c>
      <c r="I228" s="2">
        <f>6371*ACOS(SIN(RADIANS(MyLat))*SIN(RADIANS(EVCleanedDataset[[#This Row],[Latitude]]))+COS(RADIANS(MyLat))*COS(RADIANS(EVCleanedDataset[[#This Row],[Latitude]]))*COS(RADIANS(EVCleanedDataset[[#This Row],[Longitude]]-MyLong)))</f>
        <v>809.3850300985863</v>
      </c>
      <c r="J228">
        <f t="shared" si="7"/>
        <v>6</v>
      </c>
      <c r="K22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35.82573200946689</v>
      </c>
      <c r="L228" t="str">
        <f>IF(EVCleanedDataset[[#This Row],[Score]]&gt;50,"Yes","No")</f>
        <v>No</v>
      </c>
    </row>
    <row r="229" spans="1:12" x14ac:dyDescent="0.3">
      <c r="A229" t="s">
        <v>3213</v>
      </c>
      <c r="B229" t="s">
        <v>150</v>
      </c>
      <c r="C229" t="s">
        <v>1341</v>
      </c>
      <c r="D229">
        <v>12.934801</v>
      </c>
      <c r="E229">
        <v>77.610917999999998</v>
      </c>
      <c r="F229">
        <f>IF(COUNTIF($C$5:C229,C229)=1,1,0)</f>
        <v>0</v>
      </c>
      <c r="G229" s="2" t="str">
        <f t="shared" si="6"/>
        <v/>
      </c>
      <c r="H229" s="2">
        <f>MAX(0, MyBattery - (EVCleanedDataset[[#This Row],[Distance(km)]]/VehicleRangeKm)*100)</f>
        <v>54.41643487542953</v>
      </c>
      <c r="I229" s="2">
        <f>6371*ACOS(SIN(RADIANS(MyLat))*SIN(RADIANS(EVCleanedDataset[[#This Row],[Latitude]]))+COS(RADIANS(MyLat))*COS(RADIANS(EVCleanedDataset[[#This Row],[Latitude]]))*COS(RADIANS(EVCleanedDataset[[#This Row],[Longitude]]-MyLong)))</f>
        <v>46.750695373711409</v>
      </c>
      <c r="J229">
        <f t="shared" si="7"/>
        <v>3</v>
      </c>
      <c r="K229" s="5">
        <f>((1-(EVCleanedDataset[[#This Row],[Distance(km)]]/MAX($I$5:$I$1121)))*0.4 + (1-(EVCleanedDataset[[#This Row],[QueueLength]]/MAX($J$5:$J$1121)))*0.3 + (EVCleanedDataset[[#This Row],[EstimatedBatteryOnArrival]]/100)*0.3 + (ROW()/10000000))*100</f>
        <v>75.508372260710075</v>
      </c>
      <c r="L229" t="str">
        <f>IF(EVCleanedDataset[[#This Row],[Score]]&gt;50,"Yes","No")</f>
        <v>Yes</v>
      </c>
    </row>
    <row r="230" spans="1:12" x14ac:dyDescent="0.3">
      <c r="A230" t="s">
        <v>3047</v>
      </c>
      <c r="B230" t="s">
        <v>41</v>
      </c>
      <c r="C230" t="s">
        <v>119</v>
      </c>
      <c r="D230">
        <v>19.12012455</v>
      </c>
      <c r="E230">
        <v>72.887247619999997</v>
      </c>
      <c r="F230">
        <f>IF(COUNTIF($C$5:C230,C230)=1,1,0)</f>
        <v>0</v>
      </c>
      <c r="G230" s="2" t="str">
        <f t="shared" si="6"/>
        <v/>
      </c>
      <c r="H230" s="2">
        <f>MAX(0, MyBattery - (EVCleanedDataset[[#This Row],[Distance(km)]]/VehicleRangeKm)*100)</f>
        <v>0</v>
      </c>
      <c r="I230" s="2">
        <f>6371*ACOS(SIN(RADIANS(MyLat))*SIN(RADIANS(EVCleanedDataset[[#This Row],[Latitude]]))+COS(RADIANS(MyLat))*COS(RADIANS(EVCleanedDataset[[#This Row],[Latitude]]))*COS(RADIANS(EVCleanedDataset[[#This Row],[Longitude]]-MyLong)))</f>
        <v>811.16853386958928</v>
      </c>
      <c r="J230">
        <f t="shared" si="7"/>
        <v>0</v>
      </c>
      <c r="K230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55.794513568106254</v>
      </c>
      <c r="L230" t="str">
        <f>IF(EVCleanedDataset[[#This Row],[Score]]&gt;50,"Yes","No")</f>
        <v>Yes</v>
      </c>
    </row>
    <row r="231" spans="1:12" x14ac:dyDescent="0.3">
      <c r="A231" t="s">
        <v>469</v>
      </c>
      <c r="B231" t="s">
        <v>41</v>
      </c>
      <c r="C231" t="s">
        <v>119</v>
      </c>
      <c r="D231">
        <v>19.1303012111998</v>
      </c>
      <c r="E231">
        <v>72.822297234266799</v>
      </c>
      <c r="F231">
        <f>IF(COUNTIF($C$5:C231,C231)=1,1,0)</f>
        <v>0</v>
      </c>
      <c r="G231" s="2" t="str">
        <f t="shared" si="6"/>
        <v/>
      </c>
      <c r="H231" s="2">
        <f>MAX(0, MyBattery - (EVCleanedDataset[[#This Row],[Distance(km)]]/VehicleRangeKm)*100)</f>
        <v>0</v>
      </c>
      <c r="I231" s="2">
        <f>6371*ACOS(SIN(RADIANS(MyLat))*SIN(RADIANS(EVCleanedDataset[[#This Row],[Latitude]]))+COS(RADIANS(MyLat))*COS(RADIANS(EVCleanedDataset[[#This Row],[Latitude]]))*COS(RADIANS(EVCleanedDataset[[#This Row],[Longitude]]-MyLong)))</f>
        <v>816.30826002666106</v>
      </c>
      <c r="J231">
        <f t="shared" si="7"/>
        <v>7</v>
      </c>
      <c r="K231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32.371166856758315</v>
      </c>
      <c r="L231" t="str">
        <f>IF(EVCleanedDataset[[#This Row],[Score]]&gt;50,"Yes","No")</f>
        <v>No</v>
      </c>
    </row>
    <row r="232" spans="1:12" x14ac:dyDescent="0.3">
      <c r="A232" t="s">
        <v>2320</v>
      </c>
      <c r="B232" t="s">
        <v>41</v>
      </c>
      <c r="C232" t="s">
        <v>119</v>
      </c>
      <c r="D232">
        <v>19.14207</v>
      </c>
      <c r="E232">
        <v>72.832409999999996</v>
      </c>
      <c r="F232">
        <f>IF(COUNTIF($C$5:C232,C232)=1,1,0)</f>
        <v>0</v>
      </c>
      <c r="G232" s="2" t="str">
        <f t="shared" si="6"/>
        <v/>
      </c>
      <c r="H232" s="2">
        <f>MAX(0, MyBattery - (EVCleanedDataset[[#This Row],[Distance(km)]]/VehicleRangeKm)*100)</f>
        <v>0</v>
      </c>
      <c r="I232" s="2">
        <f>6371*ACOS(SIN(RADIANS(MyLat))*SIN(RADIANS(EVCleanedDataset[[#This Row],[Latitude]]))+COS(RADIANS(MyLat))*COS(RADIANS(EVCleanedDataset[[#This Row],[Latitude]]))*COS(RADIANS(EVCleanedDataset[[#This Row],[Longitude]]-MyLong)))</f>
        <v>816.66554787334167</v>
      </c>
      <c r="J232">
        <f t="shared" si="7"/>
        <v>4</v>
      </c>
      <c r="K23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42.364918885438676</v>
      </c>
      <c r="L232" t="str">
        <f>IF(EVCleanedDataset[[#This Row],[Score]]&gt;50,"Yes","No")</f>
        <v>No</v>
      </c>
    </row>
    <row r="233" spans="1:12" x14ac:dyDescent="0.3">
      <c r="A233" t="s">
        <v>1626</v>
      </c>
      <c r="B233" t="s">
        <v>41</v>
      </c>
      <c r="C233" t="s">
        <v>119</v>
      </c>
      <c r="D233">
        <v>19.176745690000001</v>
      </c>
      <c r="E233">
        <v>72.945748010000003</v>
      </c>
      <c r="F233">
        <f>IF(COUNTIF($C$5:C233,C233)=1,1,0)</f>
        <v>0</v>
      </c>
      <c r="G233" s="2" t="str">
        <f t="shared" si="6"/>
        <v/>
      </c>
      <c r="H233" s="2">
        <f>MAX(0, MyBattery - (EVCleanedDataset[[#This Row],[Distance(km)]]/VehicleRangeKm)*100)</f>
        <v>0</v>
      </c>
      <c r="I233" s="2">
        <f>6371*ACOS(SIN(RADIANS(MyLat))*SIN(RADIANS(EVCleanedDataset[[#This Row],[Latitude]]))+COS(RADIANS(MyLat))*COS(RADIANS(EVCleanedDataset[[#This Row],[Latitude]]))*COS(RADIANS(EVCleanedDataset[[#This Row],[Longitude]]-MyLong)))</f>
        <v>812.33283610642309</v>
      </c>
      <c r="J233">
        <f t="shared" si="7"/>
        <v>1</v>
      </c>
      <c r="K233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52.440817237716928</v>
      </c>
      <c r="L233" t="str">
        <f>IF(EVCleanedDataset[[#This Row],[Score]]&gt;50,"Yes","No")</f>
        <v>Yes</v>
      </c>
    </row>
    <row r="234" spans="1:12" x14ac:dyDescent="0.3">
      <c r="A234" t="s">
        <v>3193</v>
      </c>
      <c r="B234" t="s">
        <v>68</v>
      </c>
      <c r="C234" t="s">
        <v>69</v>
      </c>
      <c r="D234">
        <v>22.996680999999999</v>
      </c>
      <c r="E234">
        <v>72.498226000000003</v>
      </c>
      <c r="F234">
        <f>IF(COUNTIF($C$5:C234,C234)=1,1,0)</f>
        <v>1</v>
      </c>
      <c r="G234" s="2">
        <f t="shared" si="6"/>
        <v>1190.0285237407275</v>
      </c>
      <c r="H234" s="2">
        <f>MAX(0, MyBattery - (EVCleanedDataset[[#This Row],[Distance(km)]]/VehicleRangeKm)*100)</f>
        <v>0</v>
      </c>
      <c r="I234" s="2">
        <f>6371*ACOS(SIN(RADIANS(MyLat))*SIN(RADIANS(EVCleanedDataset[[#This Row],[Latitude]]))+COS(RADIANS(MyLat))*COS(RADIANS(EVCleanedDataset[[#This Row],[Latitude]]))*COS(RADIANS(EVCleanedDataset[[#This Row],[Longitude]]-MyLong)))</f>
        <v>1197.2263852086669</v>
      </c>
      <c r="J234">
        <f t="shared" si="7"/>
        <v>8</v>
      </c>
      <c r="K234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22.366002936321156</v>
      </c>
      <c r="L234" t="str">
        <f>IF(EVCleanedDataset[[#This Row],[Score]]&gt;50,"Yes","No")</f>
        <v>No</v>
      </c>
    </row>
    <row r="235" spans="1:12" x14ac:dyDescent="0.3">
      <c r="A235" t="s">
        <v>3057</v>
      </c>
      <c r="B235" t="s">
        <v>150</v>
      </c>
      <c r="C235" t="s">
        <v>1341</v>
      </c>
      <c r="D235">
        <v>12.95903244</v>
      </c>
      <c r="E235">
        <v>77.663555819999999</v>
      </c>
      <c r="F235">
        <f>IF(COUNTIF($C$5:C235,C235)=1,1,0)</f>
        <v>0</v>
      </c>
      <c r="G235" s="2" t="str">
        <f t="shared" si="6"/>
        <v/>
      </c>
      <c r="H235" s="2">
        <f>MAX(0, MyBattery - (EVCleanedDataset[[#This Row],[Distance(km)]]/VehicleRangeKm)*100)</f>
        <v>54.842648881628179</v>
      </c>
      <c r="I235" s="2">
        <f>6371*ACOS(SIN(RADIANS(MyLat))*SIN(RADIANS(EVCleanedDataset[[#This Row],[Latitude]]))+COS(RADIANS(MyLat))*COS(RADIANS(EVCleanedDataset[[#This Row],[Latitude]]))*COS(RADIANS(EVCleanedDataset[[#This Row],[Longitude]]-MyLong)))</f>
        <v>45.47205335511547</v>
      </c>
      <c r="J235">
        <f t="shared" si="7"/>
        <v>5</v>
      </c>
      <c r="K235" s="5">
        <f>((1-(EVCleanedDataset[[#This Row],[Distance(km)]]/MAX($I$5:$I$1121)))*0.4 + (1-(EVCleanedDataset[[#This Row],[QueueLength]]/MAX($J$5:$J$1121)))*0.3 + (EVCleanedDataset[[#This Row],[EstimatedBatteryOnArrival]]/100)*0.3 + (ROW()/10000000))*100</f>
        <v>68.992025478137364</v>
      </c>
      <c r="L235" t="str">
        <f>IF(EVCleanedDataset[[#This Row],[Score]]&gt;50,"Yes","No")</f>
        <v>Yes</v>
      </c>
    </row>
    <row r="236" spans="1:12" x14ac:dyDescent="0.3">
      <c r="A236" t="s">
        <v>2191</v>
      </c>
      <c r="B236" t="s">
        <v>68</v>
      </c>
      <c r="C236" t="s">
        <v>69</v>
      </c>
      <c r="D236">
        <v>23.02938</v>
      </c>
      <c r="E236">
        <v>72.561419999999998</v>
      </c>
      <c r="F236">
        <f>IF(COUNTIF($C$5:C236,C236)=1,1,0)</f>
        <v>0</v>
      </c>
      <c r="G236" s="2" t="str">
        <f t="shared" si="6"/>
        <v/>
      </c>
      <c r="H236" s="2">
        <f>MAX(0, MyBattery - (EVCleanedDataset[[#This Row],[Distance(km)]]/VehicleRangeKm)*100)</f>
        <v>0</v>
      </c>
      <c r="I236" s="2">
        <f>6371*ACOS(SIN(RADIANS(MyLat))*SIN(RADIANS(EVCleanedDataset[[#This Row],[Latitude]]))+COS(RADIANS(MyLat))*COS(RADIANS(EVCleanedDataset[[#This Row],[Latitude]]))*COS(RADIANS(EVCleanedDataset[[#This Row],[Longitude]]-MyLong)))</f>
        <v>1197.5249496344452</v>
      </c>
      <c r="J236">
        <f t="shared" si="7"/>
        <v>2</v>
      </c>
      <c r="K236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42.36079351799377</v>
      </c>
      <c r="L236" t="str">
        <f>IF(EVCleanedDataset[[#This Row],[Score]]&gt;50,"Yes","No")</f>
        <v>No</v>
      </c>
    </row>
    <row r="237" spans="1:12" x14ac:dyDescent="0.3">
      <c r="A237" t="s">
        <v>1243</v>
      </c>
      <c r="B237" t="s">
        <v>506</v>
      </c>
      <c r="C237" t="s">
        <v>1244</v>
      </c>
      <c r="D237">
        <v>21.206036000000001</v>
      </c>
      <c r="E237">
        <v>81.341860600000004</v>
      </c>
      <c r="F237">
        <f>IF(COUNTIF($C$5:C237,C237)=1,1,0)</f>
        <v>1</v>
      </c>
      <c r="G237" s="2">
        <f t="shared" si="6"/>
        <v>962.33707089839743</v>
      </c>
      <c r="H237" s="2">
        <f>MAX(0, MyBattery - (EVCleanedDataset[[#This Row],[Distance(km)]]/VehicleRangeKm)*100)</f>
        <v>0</v>
      </c>
      <c r="I237" s="2">
        <f>6371*ACOS(SIN(RADIANS(MyLat))*SIN(RADIANS(EVCleanedDataset[[#This Row],[Latitude]]))+COS(RADIANS(MyLat))*COS(RADIANS(EVCleanedDataset[[#This Row],[Latitude]]))*COS(RADIANS(EVCleanedDataset[[#This Row],[Longitude]]-MyLong)))</f>
        <v>962.33707089839743</v>
      </c>
      <c r="J237">
        <f t="shared" si="7"/>
        <v>9</v>
      </c>
      <c r="K237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23.146835042801118</v>
      </c>
      <c r="L237" t="str">
        <f>IF(EVCleanedDataset[[#This Row],[Score]]&gt;50,"Yes","No")</f>
        <v>No</v>
      </c>
    </row>
    <row r="238" spans="1:12" x14ac:dyDescent="0.3">
      <c r="A238" t="s">
        <v>1546</v>
      </c>
      <c r="B238" t="s">
        <v>68</v>
      </c>
      <c r="C238" t="s">
        <v>69</v>
      </c>
      <c r="D238">
        <v>23.044304239999999</v>
      </c>
      <c r="E238">
        <v>72.51767735</v>
      </c>
      <c r="F238">
        <f>IF(COUNTIF($C$5:C238,C238)=1,1,0)</f>
        <v>0</v>
      </c>
      <c r="G238" s="2" t="str">
        <f t="shared" si="6"/>
        <v/>
      </c>
      <c r="H238" s="2">
        <f>MAX(0, MyBattery - (EVCleanedDataset[[#This Row],[Distance(km)]]/VehicleRangeKm)*100)</f>
        <v>0</v>
      </c>
      <c r="I238" s="2">
        <f>6371*ACOS(SIN(RADIANS(MyLat))*SIN(RADIANS(EVCleanedDataset[[#This Row],[Latitude]]))+COS(RADIANS(MyLat))*COS(RADIANS(EVCleanedDataset[[#This Row],[Latitude]]))*COS(RADIANS(EVCleanedDataset[[#This Row],[Longitude]]-MyLong)))</f>
        <v>1201.031999411812</v>
      </c>
      <c r="J238">
        <f t="shared" si="7"/>
        <v>6</v>
      </c>
      <c r="K238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28.96605347471996</v>
      </c>
      <c r="L238" t="str">
        <f>IF(EVCleanedDataset[[#This Row],[Score]]&gt;50,"Yes","No")</f>
        <v>No</v>
      </c>
    </row>
    <row r="239" spans="1:12" x14ac:dyDescent="0.3">
      <c r="A239" t="s">
        <v>3186</v>
      </c>
      <c r="B239" t="s">
        <v>105</v>
      </c>
      <c r="C239" t="s">
        <v>105</v>
      </c>
      <c r="D239">
        <v>15.51047222</v>
      </c>
      <c r="E239">
        <v>73.837222220000001</v>
      </c>
      <c r="F239">
        <f>IF(COUNTIF($C$5:C239,C239)=1,1,0)</f>
        <v>0</v>
      </c>
      <c r="G239" s="2" t="str">
        <f t="shared" si="6"/>
        <v/>
      </c>
      <c r="H239" s="2">
        <f>MAX(0, MyBattery - (EVCleanedDataset[[#This Row],[Distance(km)]]/VehicleRangeKm)*100)</f>
        <v>0</v>
      </c>
      <c r="I239" s="2">
        <f>6371*ACOS(SIN(RADIANS(MyLat))*SIN(RADIANS(EVCleanedDataset[[#This Row],[Latitude]]))+COS(RADIANS(MyLat))*COS(RADIANS(EVCleanedDataset[[#This Row],[Latitude]]))*COS(RADIANS(EVCleanedDataset[[#This Row],[Longitude]]-MyLong)))</f>
        <v>465.31085478474785</v>
      </c>
      <c r="J239">
        <f t="shared" si="7"/>
        <v>3</v>
      </c>
      <c r="K23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51.85237311302042</v>
      </c>
      <c r="L239" t="str">
        <f>IF(EVCleanedDataset[[#This Row],[Score]]&gt;50,"Yes","No")</f>
        <v>Yes</v>
      </c>
    </row>
    <row r="240" spans="1:12" x14ac:dyDescent="0.3">
      <c r="A240" t="s">
        <v>3248</v>
      </c>
      <c r="B240" t="s">
        <v>105</v>
      </c>
      <c r="C240" t="s">
        <v>105</v>
      </c>
      <c r="D240">
        <v>15.506360000000001</v>
      </c>
      <c r="E240">
        <v>73.824879999999993</v>
      </c>
      <c r="F240">
        <f>IF(COUNTIF($C$5:C240,C240)=1,1,0)</f>
        <v>0</v>
      </c>
      <c r="G240" s="2" t="str">
        <f t="shared" si="6"/>
        <v/>
      </c>
      <c r="H240" s="2">
        <f>MAX(0, MyBattery - (EVCleanedDataset[[#This Row],[Distance(km)]]/VehicleRangeKm)*100)</f>
        <v>0</v>
      </c>
      <c r="I240" s="2">
        <f>6371*ACOS(SIN(RADIANS(MyLat))*SIN(RADIANS(EVCleanedDataset[[#This Row],[Latitude]]))+COS(RADIANS(MyLat))*COS(RADIANS(EVCleanedDataset[[#This Row],[Latitude]]))*COS(RADIANS(EVCleanedDataset[[#This Row],[Longitude]]-MyLong)))</f>
        <v>466.21716308137241</v>
      </c>
      <c r="J240">
        <f t="shared" si="7"/>
        <v>0</v>
      </c>
      <c r="K240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61.836508933756498</v>
      </c>
      <c r="L240" t="str">
        <f>IF(EVCleanedDataset[[#This Row],[Score]]&gt;50,"Yes","No")</f>
        <v>Yes</v>
      </c>
    </row>
    <row r="241" spans="1:12" x14ac:dyDescent="0.3">
      <c r="A241" t="s">
        <v>1827</v>
      </c>
      <c r="B241" t="s">
        <v>49</v>
      </c>
      <c r="C241" t="s">
        <v>1828</v>
      </c>
      <c r="D241">
        <v>12.24034498</v>
      </c>
      <c r="E241">
        <v>79.662281590000006</v>
      </c>
      <c r="F241">
        <f>IF(COUNTIF($C$5:C241,C241)=1,1,0)</f>
        <v>0</v>
      </c>
      <c r="G241" s="2" t="str">
        <f t="shared" si="6"/>
        <v/>
      </c>
      <c r="H241" s="2">
        <f>MAX(0, MyBattery - (EVCleanedDataset[[#This Row],[Distance(km)]]/VehicleRangeKm)*100)</f>
        <v>0</v>
      </c>
      <c r="I241" s="2">
        <f>6371*ACOS(SIN(RADIANS(MyLat))*SIN(RADIANS(EVCleanedDataset[[#This Row],[Latitude]]))+COS(RADIANS(MyLat))*COS(RADIANS(EVCleanedDataset[[#This Row],[Latitude]]))*COS(RADIANS(EVCleanedDataset[[#This Row],[Longitude]]-MyLong)))</f>
        <v>261.30673844799833</v>
      </c>
      <c r="J241">
        <f t="shared" si="7"/>
        <v>7</v>
      </c>
      <c r="K241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42.09223452096191</v>
      </c>
      <c r="L241" t="str">
        <f>IF(EVCleanedDataset[[#This Row],[Score]]&gt;50,"Yes","No")</f>
        <v>No</v>
      </c>
    </row>
    <row r="242" spans="1:12" x14ac:dyDescent="0.3">
      <c r="A242" t="s">
        <v>722</v>
      </c>
      <c r="B242" t="s">
        <v>502</v>
      </c>
      <c r="C242" t="s">
        <v>1250</v>
      </c>
      <c r="D242">
        <v>16.4992397</v>
      </c>
      <c r="E242">
        <v>80.648196299999995</v>
      </c>
      <c r="F242">
        <f>IF(COUNTIF($C$5:C242,C242)=1,1,0)</f>
        <v>1</v>
      </c>
      <c r="G242" s="2">
        <f t="shared" si="6"/>
        <v>481.89150379401059</v>
      </c>
      <c r="H242" s="2">
        <f>MAX(0, MyBattery - (EVCleanedDataset[[#This Row],[Distance(km)]]/VehicleRangeKm)*100)</f>
        <v>0</v>
      </c>
      <c r="I242" s="2">
        <f>6371*ACOS(SIN(RADIANS(MyLat))*SIN(RADIANS(EVCleanedDataset[[#This Row],[Latitude]]))+COS(RADIANS(MyLat))*COS(RADIANS(EVCleanedDataset[[#This Row],[Latitude]]))*COS(RADIANS(EVCleanedDataset[[#This Row],[Longitude]]-MyLong)))</f>
        <v>484.11225107882939</v>
      </c>
      <c r="J242">
        <f t="shared" si="7"/>
        <v>4</v>
      </c>
      <c r="K24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48.189759393479896</v>
      </c>
      <c r="L242" t="str">
        <f>IF(EVCleanedDataset[[#This Row],[Score]]&gt;50,"Yes","No")</f>
        <v>No</v>
      </c>
    </row>
    <row r="243" spans="1:12" x14ac:dyDescent="0.3">
      <c r="A243" t="s">
        <v>3344</v>
      </c>
      <c r="B243" t="s">
        <v>386</v>
      </c>
      <c r="C243" t="s">
        <v>3378</v>
      </c>
      <c r="D243">
        <v>8.5145049000000004</v>
      </c>
      <c r="E243">
        <v>76.943717300000003</v>
      </c>
      <c r="F243">
        <f>IF(COUNTIF($C$5:C243,C243)=1,1,0)</f>
        <v>0</v>
      </c>
      <c r="G243" s="2" t="str">
        <f t="shared" si="6"/>
        <v/>
      </c>
      <c r="H243" s="2">
        <f>MAX(0, MyBattery - (EVCleanedDataset[[#This Row],[Distance(km)]]/VehicleRangeKm)*100)</f>
        <v>0</v>
      </c>
      <c r="I243" s="2">
        <f>6371*ACOS(SIN(RADIANS(MyLat))*SIN(RADIANS(EVCleanedDataset[[#This Row],[Latitude]]))+COS(RADIANS(MyLat))*COS(RADIANS(EVCleanedDataset[[#This Row],[Latitude]]))*COS(RADIANS(EVCleanedDataset[[#This Row],[Longitude]]-MyLong)))</f>
        <v>541.47668424196149</v>
      </c>
      <c r="J243">
        <f t="shared" si="7"/>
        <v>1</v>
      </c>
      <c r="K243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57.185019355555646</v>
      </c>
      <c r="L243" t="str">
        <f>IF(EVCleanedDataset[[#This Row],[Score]]&gt;50,"Yes","No")</f>
        <v>Yes</v>
      </c>
    </row>
    <row r="244" spans="1:12" x14ac:dyDescent="0.3">
      <c r="A244" t="s">
        <v>692</v>
      </c>
      <c r="B244" t="s">
        <v>506</v>
      </c>
      <c r="C244" t="s">
        <v>1236</v>
      </c>
      <c r="D244">
        <v>21.188934199999998</v>
      </c>
      <c r="E244">
        <v>81.701523199999997</v>
      </c>
      <c r="F244">
        <f>IF(COUNTIF($C$5:C244,C244)=1,1,0)</f>
        <v>1</v>
      </c>
      <c r="G244" s="2">
        <f t="shared" si="6"/>
        <v>975.30586297573893</v>
      </c>
      <c r="H244" s="2">
        <f>MAX(0, MyBattery - (EVCleanedDataset[[#This Row],[Distance(km)]]/VehicleRangeKm)*100)</f>
        <v>0</v>
      </c>
      <c r="I244" s="2">
        <f>6371*ACOS(SIN(RADIANS(MyLat))*SIN(RADIANS(EVCleanedDataset[[#This Row],[Latitude]]))+COS(RADIANS(MyLat))*COS(RADIANS(EVCleanedDataset[[#This Row],[Latitude]]))*COS(RADIANS(EVCleanedDataset[[#This Row],[Longitude]]-MyLong)))</f>
        <v>977.25903806440317</v>
      </c>
      <c r="J244">
        <f t="shared" si="7"/>
        <v>8</v>
      </c>
      <c r="K244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26.218877002035068</v>
      </c>
      <c r="L244" t="str">
        <f>IF(EVCleanedDataset[[#This Row],[Score]]&gt;50,"Yes","No")</f>
        <v>No</v>
      </c>
    </row>
    <row r="245" spans="1:12" x14ac:dyDescent="0.3">
      <c r="A245" t="s">
        <v>3289</v>
      </c>
      <c r="B245" t="s">
        <v>842</v>
      </c>
      <c r="C245" t="s">
        <v>842</v>
      </c>
      <c r="D245">
        <v>11.8945141</v>
      </c>
      <c r="E245">
        <v>79.802681899999996</v>
      </c>
      <c r="F245">
        <f>IF(COUNTIF($C$5:C245,C245)=1,1,0)</f>
        <v>1</v>
      </c>
      <c r="G245" s="2">
        <f t="shared" si="6"/>
        <v>291.43639142370841</v>
      </c>
      <c r="H245" s="2">
        <f>MAX(0, MyBattery - (EVCleanedDataset[[#This Row],[Distance(km)]]/VehicleRangeKm)*100)</f>
        <v>0</v>
      </c>
      <c r="I245" s="2">
        <f>6371*ACOS(SIN(RADIANS(MyLat))*SIN(RADIANS(EVCleanedDataset[[#This Row],[Latitude]]))+COS(RADIANS(MyLat))*COS(RADIANS(EVCleanedDataset[[#This Row],[Latitude]]))*COS(RADIANS(EVCleanedDataset[[#This Row],[Longitude]]-MyLong)))</f>
        <v>294.22674864085349</v>
      </c>
      <c r="J245">
        <f t="shared" si="7"/>
        <v>5</v>
      </c>
      <c r="K24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48.182340327725079</v>
      </c>
      <c r="L245" t="str">
        <f>IF(EVCleanedDataset[[#This Row],[Score]]&gt;50,"Yes","No")</f>
        <v>No</v>
      </c>
    </row>
    <row r="246" spans="1:12" x14ac:dyDescent="0.3">
      <c r="A246" t="s">
        <v>983</v>
      </c>
      <c r="B246" t="s">
        <v>511</v>
      </c>
      <c r="C246" t="s">
        <v>984</v>
      </c>
      <c r="D246">
        <v>23.259005999999999</v>
      </c>
      <c r="E246">
        <v>77.456768999999994</v>
      </c>
      <c r="F246">
        <f>IF(COUNTIF($C$5:C246,C246)=1,1,0)</f>
        <v>1</v>
      </c>
      <c r="G246" s="2">
        <f t="shared" si="6"/>
        <v>1093.4675439922296</v>
      </c>
      <c r="H246" s="2">
        <f>MAX(0, MyBattery - (EVCleanedDataset[[#This Row],[Distance(km)]]/VehicleRangeKm)*100)</f>
        <v>0</v>
      </c>
      <c r="I246" s="2">
        <f>6371*ACOS(SIN(RADIANS(MyLat))*SIN(RADIANS(EVCleanedDataset[[#This Row],[Latitude]]))+COS(RADIANS(MyLat))*COS(RADIANS(EVCleanedDataset[[#This Row],[Latitude]]))*COS(RADIANS(EVCleanedDataset[[#This Row],[Longitude]]-MyLong)))</f>
        <v>1101.962113015649</v>
      </c>
      <c r="J246">
        <f t="shared" si="7"/>
        <v>2</v>
      </c>
      <c r="K246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44.034696577179112</v>
      </c>
      <c r="L246" t="str">
        <f>IF(EVCleanedDataset[[#This Row],[Score]]&gt;50,"Yes","No")</f>
        <v>No</v>
      </c>
    </row>
    <row r="247" spans="1:12" x14ac:dyDescent="0.3">
      <c r="A247" t="s">
        <v>3208</v>
      </c>
      <c r="B247" t="s">
        <v>502</v>
      </c>
      <c r="C247" t="s">
        <v>1985</v>
      </c>
      <c r="D247">
        <v>17.399572970000001</v>
      </c>
      <c r="E247">
        <v>82.681138020000006</v>
      </c>
      <c r="F247">
        <f>IF(COUNTIF($C$5:C247,C247)=1,1,0)</f>
        <v>0</v>
      </c>
      <c r="G247" s="2" t="str">
        <f t="shared" si="6"/>
        <v/>
      </c>
      <c r="H247" s="2">
        <f>MAX(0, MyBattery - (EVCleanedDataset[[#This Row],[Distance(km)]]/VehicleRangeKm)*100)</f>
        <v>0</v>
      </c>
      <c r="I247" s="2">
        <f>6371*ACOS(SIN(RADIANS(MyLat))*SIN(RADIANS(EVCleanedDataset[[#This Row],[Latitude]]))+COS(RADIANS(MyLat))*COS(RADIANS(EVCleanedDataset[[#This Row],[Latitude]]))*COS(RADIANS(EVCleanedDataset[[#This Row],[Longitude]]-MyLong)))</f>
        <v>711.90544927846963</v>
      </c>
      <c r="J247">
        <f t="shared" si="7"/>
        <v>9</v>
      </c>
      <c r="K24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27.533297244001574</v>
      </c>
      <c r="L247" t="str">
        <f>IF(EVCleanedDataset[[#This Row],[Score]]&gt;50,"Yes","No")</f>
        <v>No</v>
      </c>
    </row>
    <row r="248" spans="1:12" x14ac:dyDescent="0.3">
      <c r="A248" t="s">
        <v>2608</v>
      </c>
      <c r="B248" t="s">
        <v>502</v>
      </c>
      <c r="C248" t="s">
        <v>1410</v>
      </c>
      <c r="D248">
        <v>14.65</v>
      </c>
      <c r="E248">
        <v>77.58</v>
      </c>
      <c r="F248">
        <f>IF(COUNTIF($C$5:C248,C248)=1,1,0)</f>
        <v>1</v>
      </c>
      <c r="G248" s="2">
        <f t="shared" si="6"/>
        <v>144.72409476391277</v>
      </c>
      <c r="H248" s="2">
        <f>MAX(0, MyBattery - (EVCleanedDataset[[#This Row],[Distance(km)]]/VehicleRangeKm)*100)</f>
        <v>21.75863507869574</v>
      </c>
      <c r="I248" s="2">
        <f>6371*ACOS(SIN(RADIANS(MyLat))*SIN(RADIANS(EVCleanedDataset[[#This Row],[Latitude]]))+COS(RADIANS(MyLat))*COS(RADIANS(EVCleanedDataset[[#This Row],[Latitude]]))*COS(RADIANS(EVCleanedDataset[[#This Row],[Longitude]]-MyLong)))</f>
        <v>144.72409476391277</v>
      </c>
      <c r="J248">
        <f t="shared" si="7"/>
        <v>6</v>
      </c>
      <c r="K248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53.995197751675725</v>
      </c>
      <c r="L248" t="str">
        <f>IF(EVCleanedDataset[[#This Row],[Score]]&gt;50,"Yes","No")</f>
        <v>Yes</v>
      </c>
    </row>
    <row r="249" spans="1:12" x14ac:dyDescent="0.3">
      <c r="A249" t="s">
        <v>2628</v>
      </c>
      <c r="B249" t="s">
        <v>49</v>
      </c>
      <c r="C249" t="s">
        <v>1008</v>
      </c>
      <c r="D249">
        <v>13.04691388</v>
      </c>
      <c r="E249">
        <v>80.079324099999994</v>
      </c>
      <c r="F249">
        <f>IF(COUNTIF($C$5:C249,C249)=1,1,0)</f>
        <v>0</v>
      </c>
      <c r="G249" s="2" t="str">
        <f t="shared" si="6"/>
        <v/>
      </c>
      <c r="H249" s="2">
        <f>MAX(0, MyBattery - (EVCleanedDataset[[#This Row],[Distance(km)]]/VehicleRangeKm)*100)</f>
        <v>0</v>
      </c>
      <c r="I249" s="2">
        <f>6371*ACOS(SIN(RADIANS(MyLat))*SIN(RADIANS(EVCleanedDataset[[#This Row],[Latitude]]))+COS(RADIANS(MyLat))*COS(RADIANS(EVCleanedDataset[[#This Row],[Latitude]]))*COS(RADIANS(EVCleanedDataset[[#This Row],[Longitude]]-MyLong)))</f>
        <v>277.21435648480423</v>
      </c>
      <c r="J249">
        <f t="shared" si="7"/>
        <v>3</v>
      </c>
      <c r="K249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55.14702259916001</v>
      </c>
      <c r="L249" t="str">
        <f>IF(EVCleanedDataset[[#This Row],[Score]]&gt;50,"Yes","No")</f>
        <v>Yes</v>
      </c>
    </row>
    <row r="250" spans="1:12" x14ac:dyDescent="0.3">
      <c r="A250" t="s">
        <v>417</v>
      </c>
      <c r="B250" t="s">
        <v>386</v>
      </c>
      <c r="C250" t="s">
        <v>1435</v>
      </c>
      <c r="D250">
        <v>9.9878415999999994</v>
      </c>
      <c r="E250">
        <v>76.282733300000004</v>
      </c>
      <c r="F250">
        <f>IF(COUNTIF($C$5:C250,C250)=1,1,0)</f>
        <v>0</v>
      </c>
      <c r="G250" s="2" t="str">
        <f t="shared" si="6"/>
        <v/>
      </c>
      <c r="H250" s="2">
        <f>MAX(0, MyBattery - (EVCleanedDataset[[#This Row],[Distance(km)]]/VehicleRangeKm)*100)</f>
        <v>0</v>
      </c>
      <c r="I250" s="2">
        <f>6371*ACOS(SIN(RADIANS(MyLat))*SIN(RADIANS(EVCleanedDataset[[#This Row],[Latitude]]))+COS(RADIANS(MyLat))*COS(RADIANS(EVCleanedDataset[[#This Row],[Latitude]]))*COS(RADIANS(EVCleanedDataset[[#This Row],[Longitude]]-MyLong)))</f>
        <v>397.94342663224387</v>
      </c>
      <c r="J250">
        <f t="shared" si="7"/>
        <v>0</v>
      </c>
      <c r="K250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63.032437699141738</v>
      </c>
      <c r="L250" t="str">
        <f>IF(EVCleanedDataset[[#This Row],[Score]]&gt;50,"Yes","No")</f>
        <v>Yes</v>
      </c>
    </row>
    <row r="251" spans="1:12" x14ac:dyDescent="0.3">
      <c r="A251" t="s">
        <v>1119</v>
      </c>
      <c r="B251" t="s">
        <v>41</v>
      </c>
      <c r="C251" t="s">
        <v>1120</v>
      </c>
      <c r="D251">
        <v>19.911982999999999</v>
      </c>
      <c r="E251">
        <v>75.232932000000005</v>
      </c>
      <c r="F251">
        <f>IF(COUNTIF($C$5:C251,C251)=1,1,0)</f>
        <v>0</v>
      </c>
      <c r="G251" s="2" t="str">
        <f t="shared" si="6"/>
        <v/>
      </c>
      <c r="H251" s="2">
        <f>MAX(0, MyBattery - (EVCleanedDataset[[#This Row],[Distance(km)]]/VehicleRangeKm)*100)</f>
        <v>0</v>
      </c>
      <c r="I251" s="2">
        <f>6371*ACOS(SIN(RADIANS(MyLat))*SIN(RADIANS(EVCleanedDataset[[#This Row],[Latitude]]))+COS(RADIANS(MyLat))*COS(RADIANS(EVCleanedDataset[[#This Row],[Latitude]]))*COS(RADIANS(EVCleanedDataset[[#This Row],[Longitude]]-MyLong)))</f>
        <v>769.90280327837229</v>
      </c>
      <c r="J251">
        <f t="shared" si="7"/>
        <v>7</v>
      </c>
      <c r="K251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33.184168131986489</v>
      </c>
      <c r="L251" t="str">
        <f>IF(EVCleanedDataset[[#This Row],[Score]]&gt;50,"Yes","No")</f>
        <v>No</v>
      </c>
    </row>
    <row r="252" spans="1:12" x14ac:dyDescent="0.3">
      <c r="A252" t="s">
        <v>1475</v>
      </c>
      <c r="B252" t="s">
        <v>41</v>
      </c>
      <c r="C252" t="s">
        <v>1120</v>
      </c>
      <c r="D252">
        <v>19.9116134</v>
      </c>
      <c r="E252">
        <v>75.348291000000003</v>
      </c>
      <c r="F252">
        <f>IF(COUNTIF($C$5:C252,C252)=1,1,0)</f>
        <v>0</v>
      </c>
      <c r="G252" s="2" t="str">
        <f t="shared" si="6"/>
        <v/>
      </c>
      <c r="H252" s="2">
        <f>MAX(0, MyBattery - (EVCleanedDataset[[#This Row],[Distance(km)]]/VehicleRangeKm)*100)</f>
        <v>0</v>
      </c>
      <c r="I252" s="2">
        <f>6371*ACOS(SIN(RADIANS(MyLat))*SIN(RADIANS(EVCleanedDataset[[#This Row],[Latitude]]))+COS(RADIANS(MyLat))*COS(RADIANS(EVCleanedDataset[[#This Row],[Latitude]]))*COS(RADIANS(EVCleanedDataset[[#This Row],[Longitude]]-MyLong)))</f>
        <v>766.03792610931532</v>
      </c>
      <c r="J252">
        <f t="shared" si="7"/>
        <v>4</v>
      </c>
      <c r="K252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43.251872263490228</v>
      </c>
      <c r="L252" t="str">
        <f>IF(EVCleanedDataset[[#This Row],[Score]]&gt;50,"Yes","No")</f>
        <v>No</v>
      </c>
    </row>
    <row r="253" spans="1:12" x14ac:dyDescent="0.3">
      <c r="A253" t="s">
        <v>2902</v>
      </c>
      <c r="B253" t="s">
        <v>49</v>
      </c>
      <c r="C253" t="s">
        <v>1008</v>
      </c>
      <c r="D253">
        <v>13.041662131357301</v>
      </c>
      <c r="E253">
        <v>80.126447402814094</v>
      </c>
      <c r="F253">
        <f>IF(COUNTIF($C$5:C253,C253)=1,1,0)</f>
        <v>0</v>
      </c>
      <c r="G253" s="2" t="str">
        <f t="shared" si="6"/>
        <v/>
      </c>
      <c r="H253" s="2">
        <f>MAX(0, MyBattery - (EVCleanedDataset[[#This Row],[Distance(km)]]/VehicleRangeKm)*100)</f>
        <v>0</v>
      </c>
      <c r="I253" s="2">
        <f>6371*ACOS(SIN(RADIANS(MyLat))*SIN(RADIANS(EVCleanedDataset[[#This Row],[Latitude]]))+COS(RADIANS(MyLat))*COS(RADIANS(EVCleanedDataset[[#This Row],[Latitude]]))*COS(RADIANS(EVCleanedDataset[[#This Row],[Longitude]]-MyLong)))</f>
        <v>282.35190241182517</v>
      </c>
      <c r="J253">
        <f t="shared" si="7"/>
        <v>1</v>
      </c>
      <c r="K25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61.723744074997157</v>
      </c>
      <c r="L253" t="str">
        <f>IF(EVCleanedDataset[[#This Row],[Score]]&gt;50,"Yes","No")</f>
        <v>Yes</v>
      </c>
    </row>
    <row r="254" spans="1:12" x14ac:dyDescent="0.3">
      <c r="A254" t="s">
        <v>435</v>
      </c>
      <c r="B254" t="s">
        <v>386</v>
      </c>
      <c r="C254" t="s">
        <v>1435</v>
      </c>
      <c r="D254">
        <v>9.9447030999999999</v>
      </c>
      <c r="E254">
        <v>76.292509899999999</v>
      </c>
      <c r="F254">
        <f>IF(COUNTIF($C$5:C254,C254)=1,1,0)</f>
        <v>0</v>
      </c>
      <c r="G254" s="2" t="str">
        <f t="shared" si="6"/>
        <v/>
      </c>
      <c r="H254" s="2">
        <f>MAX(0, MyBattery - (EVCleanedDataset[[#This Row],[Distance(km)]]/VehicleRangeKm)*100)</f>
        <v>0</v>
      </c>
      <c r="I254" s="2">
        <f>6371*ACOS(SIN(RADIANS(MyLat))*SIN(RADIANS(EVCleanedDataset[[#This Row],[Latitude]]))+COS(RADIANS(MyLat))*COS(RADIANS(EVCleanedDataset[[#This Row],[Latitude]]))*COS(RADIANS(EVCleanedDataset[[#This Row],[Longitude]]-MyLong)))</f>
        <v>402.0952929691822</v>
      </c>
      <c r="J254">
        <f t="shared" si="7"/>
        <v>8</v>
      </c>
      <c r="K254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36.293090225705612</v>
      </c>
      <c r="L254" t="str">
        <f>IF(EVCleanedDataset[[#This Row],[Score]]&gt;50,"Yes","No")</f>
        <v>No</v>
      </c>
    </row>
    <row r="255" spans="1:12" x14ac:dyDescent="0.3">
      <c r="A255" t="s">
        <v>2908</v>
      </c>
      <c r="B255" t="s">
        <v>150</v>
      </c>
      <c r="C255" t="s">
        <v>3377</v>
      </c>
      <c r="D255">
        <v>12.325053</v>
      </c>
      <c r="E255">
        <v>76.611337000000006</v>
      </c>
      <c r="F255">
        <f>IF(COUNTIF($C$5:C255,C255)=1,1,0)</f>
        <v>0</v>
      </c>
      <c r="G255" s="2" t="str">
        <f t="shared" si="6"/>
        <v/>
      </c>
      <c r="H255" s="2">
        <f>MAX(0, MyBattery - (EVCleanedDataset[[#This Row],[Distance(km)]]/VehicleRangeKm)*100)</f>
        <v>19.393985697270317</v>
      </c>
      <c r="I255" s="2">
        <f>6371*ACOS(SIN(RADIANS(MyLat))*SIN(RADIANS(EVCleanedDataset[[#This Row],[Latitude]]))+COS(RADIANS(MyLat))*COS(RADIANS(EVCleanedDataset[[#This Row],[Latitude]]))*COS(RADIANS(EVCleanedDataset[[#This Row],[Longitude]]-MyLong)))</f>
        <v>151.81804290818906</v>
      </c>
      <c r="J255">
        <f t="shared" si="7"/>
        <v>5</v>
      </c>
      <c r="K255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56.494954285963637</v>
      </c>
      <c r="L255" t="str">
        <f>IF(EVCleanedDataset[[#This Row],[Score]]&gt;50,"Yes","No")</f>
        <v>Yes</v>
      </c>
    </row>
    <row r="256" spans="1:12" x14ac:dyDescent="0.3">
      <c r="A256" t="s">
        <v>2878</v>
      </c>
      <c r="B256" t="s">
        <v>49</v>
      </c>
      <c r="C256" t="s">
        <v>1008</v>
      </c>
      <c r="D256">
        <v>13.0223</v>
      </c>
      <c r="E256">
        <v>80.174899999999994</v>
      </c>
      <c r="F256">
        <f>IF(COUNTIF($C$5:C256,C256)=1,1,0)</f>
        <v>0</v>
      </c>
      <c r="G256" s="2" t="str">
        <f t="shared" si="6"/>
        <v/>
      </c>
      <c r="H256" s="2">
        <f>MAX(0, MyBattery - (EVCleanedDataset[[#This Row],[Distance(km)]]/VehicleRangeKm)*100)</f>
        <v>0</v>
      </c>
      <c r="I256" s="2">
        <f>6371*ACOS(SIN(RADIANS(MyLat))*SIN(RADIANS(EVCleanedDataset[[#This Row],[Latitude]]))+COS(RADIANS(MyLat))*COS(RADIANS(EVCleanedDataset[[#This Row],[Latitude]]))*COS(RADIANS(EVCleanedDataset[[#This Row],[Longitude]]-MyLong)))</f>
        <v>287.83443621969786</v>
      </c>
      <c r="J256">
        <f t="shared" si="7"/>
        <v>2</v>
      </c>
      <c r="K25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58.29441301598726</v>
      </c>
      <c r="L256" t="str">
        <f>IF(EVCleanedDataset[[#This Row],[Score]]&gt;50,"Yes","No")</f>
        <v>Yes</v>
      </c>
    </row>
    <row r="257" spans="1:12" x14ac:dyDescent="0.3">
      <c r="A257" t="s">
        <v>2753</v>
      </c>
      <c r="B257" t="s">
        <v>41</v>
      </c>
      <c r="C257" t="s">
        <v>221</v>
      </c>
      <c r="D257">
        <v>19.961511900000001</v>
      </c>
      <c r="E257">
        <v>73.827291200000005</v>
      </c>
      <c r="F257">
        <f>IF(COUNTIF($C$5:C257,C257)=1,1,0)</f>
        <v>0</v>
      </c>
      <c r="G257" s="2" t="str">
        <f t="shared" si="6"/>
        <v/>
      </c>
      <c r="H257" s="2">
        <f>MAX(0, MyBattery - (EVCleanedDataset[[#This Row],[Distance(km)]]/VehicleRangeKm)*100)</f>
        <v>0</v>
      </c>
      <c r="I257" s="2">
        <f>6371*ACOS(SIN(RADIANS(MyLat))*SIN(RADIANS(EVCleanedDataset[[#This Row],[Latitude]]))+COS(RADIANS(MyLat))*COS(RADIANS(EVCleanedDataset[[#This Row],[Latitude]]))*COS(RADIANS(EVCleanedDataset[[#This Row],[Longitude]]-MyLong)))</f>
        <v>834.63245623894716</v>
      </c>
      <c r="J257">
        <f t="shared" si="7"/>
        <v>9</v>
      </c>
      <c r="K257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25.383808063067775</v>
      </c>
      <c r="L257" t="str">
        <f>IF(EVCleanedDataset[[#This Row],[Score]]&gt;50,"Yes","No")</f>
        <v>No</v>
      </c>
    </row>
    <row r="258" spans="1:12" x14ac:dyDescent="0.3">
      <c r="A258" t="s">
        <v>3301</v>
      </c>
      <c r="B258" t="s">
        <v>49</v>
      </c>
      <c r="C258" t="s">
        <v>1008</v>
      </c>
      <c r="D258">
        <v>13.056469999999999</v>
      </c>
      <c r="E258">
        <v>80.211160000000007</v>
      </c>
      <c r="F258">
        <f>IF(COUNTIF($C$5:C258,C258)=1,1,0)</f>
        <v>0</v>
      </c>
      <c r="G258" s="2" t="str">
        <f t="shared" si="6"/>
        <v/>
      </c>
      <c r="H258" s="2">
        <f>MAX(0, MyBattery - (EVCleanedDataset[[#This Row],[Distance(km)]]/VehicleRangeKm)*100)</f>
        <v>0</v>
      </c>
      <c r="I258" s="2">
        <f>6371*ACOS(SIN(RADIANS(MyLat))*SIN(RADIANS(EVCleanedDataset[[#This Row],[Latitude]]))+COS(RADIANS(MyLat))*COS(RADIANS(EVCleanedDataset[[#This Row],[Latitude]]))*COS(RADIANS(EVCleanedDataset[[#This Row],[Longitude]]-MyLong)))</f>
        <v>291.26008324941716</v>
      </c>
      <c r="J258">
        <f t="shared" si="7"/>
        <v>6</v>
      </c>
      <c r="K25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44.901098758854367</v>
      </c>
      <c r="L258" t="str">
        <f>IF(EVCleanedDataset[[#This Row],[Score]]&gt;50,"Yes","No")</f>
        <v>No</v>
      </c>
    </row>
    <row r="259" spans="1:12" x14ac:dyDescent="0.3">
      <c r="A259" t="s">
        <v>2363</v>
      </c>
      <c r="B259" t="s">
        <v>41</v>
      </c>
      <c r="C259" t="s">
        <v>221</v>
      </c>
      <c r="D259">
        <v>19.950077</v>
      </c>
      <c r="E259">
        <v>73.749174999999994</v>
      </c>
      <c r="F259">
        <f>IF(COUNTIF($C$5:C259,C259)=1,1,0)</f>
        <v>0</v>
      </c>
      <c r="G259" s="2" t="str">
        <f t="shared" si="6"/>
        <v/>
      </c>
      <c r="H259" s="2">
        <f>MAX(0, MyBattery - (EVCleanedDataset[[#This Row],[Distance(km)]]/VehicleRangeKm)*100)</f>
        <v>0</v>
      </c>
      <c r="I259" s="2">
        <f>6371*ACOS(SIN(RADIANS(MyLat))*SIN(RADIANS(EVCleanedDataset[[#This Row],[Latitude]]))+COS(RADIANS(MyLat))*COS(RADIANS(EVCleanedDataset[[#This Row],[Latitude]]))*COS(RADIANS(EVCleanedDataset[[#This Row],[Longitude]]-MyLong)))</f>
        <v>837.49119614576841</v>
      </c>
      <c r="J259">
        <f t="shared" si="7"/>
        <v>3</v>
      </c>
      <c r="K259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45.333756636028212</v>
      </c>
      <c r="L259" t="str">
        <f>IF(EVCleanedDataset[[#This Row],[Score]]&gt;50,"Yes","No")</f>
        <v>No</v>
      </c>
    </row>
    <row r="260" spans="1:12" x14ac:dyDescent="0.3">
      <c r="A260" t="s">
        <v>3021</v>
      </c>
      <c r="B260" t="s">
        <v>502</v>
      </c>
      <c r="C260" t="s">
        <v>1410</v>
      </c>
      <c r="D260">
        <v>15.146297199999999</v>
      </c>
      <c r="E260">
        <v>77.377456100000003</v>
      </c>
      <c r="F260">
        <f>IF(COUNTIF($C$5:C260,C260)=1,1,0)</f>
        <v>0</v>
      </c>
      <c r="G260" s="2" t="str">
        <f t="shared" si="6"/>
        <v/>
      </c>
      <c r="H260" s="2">
        <f>MAX(0, MyBattery - (EVCleanedDataset[[#This Row],[Distance(km)]]/VehicleRangeKm)*100)</f>
        <v>3.1399271409234757</v>
      </c>
      <c r="I260" s="2">
        <f>6371*ACOS(SIN(RADIANS(MyLat))*SIN(RADIANS(EVCleanedDataset[[#This Row],[Latitude]]))+COS(RADIANS(MyLat))*COS(RADIANS(EVCleanedDataset[[#This Row],[Latitude]]))*COS(RADIANS(EVCleanedDataset[[#This Row],[Longitude]]-MyLong)))</f>
        <v>200.58021857722957</v>
      </c>
      <c r="J260">
        <f t="shared" si="7"/>
        <v>0</v>
      </c>
      <c r="K260" s="5">
        <f>((1-(EVCleanedDataset[[#This Row],[Distance(km)]]/MAX($I$5:$I$1121)))*0.4 + (1-(EVCleanedDataset[[#This Row],[QueueLength]]/MAX($J$5:$J$1121)))*0.3 + (EVCleanedDataset[[#This Row],[EstimatedBatteryOnArrival]]/100)*0.3 + (ROW()/10000000))*100</f>
        <v>67.431373685968595</v>
      </c>
      <c r="L260" t="str">
        <f>IF(EVCleanedDataset[[#This Row],[Score]]&gt;50,"Yes","No")</f>
        <v>Yes</v>
      </c>
    </row>
    <row r="261" spans="1:12" x14ac:dyDescent="0.3">
      <c r="A261" t="s">
        <v>3074</v>
      </c>
      <c r="B261" t="s">
        <v>49</v>
      </c>
      <c r="C261" t="s">
        <v>1008</v>
      </c>
      <c r="D261">
        <v>13.084781449999999</v>
      </c>
      <c r="E261">
        <v>80.219720069999994</v>
      </c>
      <c r="F261">
        <f>IF(COUNTIF($C$5:C261,C261)=1,1,0)</f>
        <v>0</v>
      </c>
      <c r="G261" s="2" t="str">
        <f t="shared" ref="G261:G324" si="8">IF(F261=1, IF(C261=MyCity, "", _xlfn.MINIFS($I$5:$I$1121,$C$5:$C$1121,C261)), "")</f>
        <v/>
      </c>
      <c r="H261" s="2">
        <f>MAX(0, MyBattery - (EVCleanedDataset[[#This Row],[Distance(km)]]/VehicleRangeKm)*100)</f>
        <v>0</v>
      </c>
      <c r="I261" s="2">
        <f>6371*ACOS(SIN(RADIANS(MyLat))*SIN(RADIANS(EVCleanedDataset[[#This Row],[Latitude]]))+COS(RADIANS(MyLat))*COS(RADIANS(EVCleanedDataset[[#This Row],[Latitude]]))*COS(RADIANS(EVCleanedDataset[[#This Row],[Longitude]]-MyLong)))</f>
        <v>291.83043160114192</v>
      </c>
      <c r="J261">
        <f t="shared" ref="J261:J324" si="9">MOD(ROW()*7,10)</f>
        <v>7</v>
      </c>
      <c r="K26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41.55780565491883</v>
      </c>
      <c r="L261" t="str">
        <f>IF(EVCleanedDataset[[#This Row],[Score]]&gt;50,"Yes","No")</f>
        <v>No</v>
      </c>
    </row>
    <row r="262" spans="1:12" x14ac:dyDescent="0.3">
      <c r="A262" t="s">
        <v>2900</v>
      </c>
      <c r="B262" t="s">
        <v>49</v>
      </c>
      <c r="C262" t="s">
        <v>1008</v>
      </c>
      <c r="D262">
        <v>12.8291702</v>
      </c>
      <c r="E262">
        <v>80.2298531</v>
      </c>
      <c r="F262">
        <f>IF(COUNTIF($C$5:C262,C262)=1,1,0)</f>
        <v>0</v>
      </c>
      <c r="G262" s="2" t="str">
        <f t="shared" si="8"/>
        <v/>
      </c>
      <c r="H262" s="2">
        <f>MAX(0, MyBattery - (EVCleanedDataset[[#This Row],[Distance(km)]]/VehicleRangeKm)*100)</f>
        <v>0</v>
      </c>
      <c r="I262" s="2">
        <f>6371*ACOS(SIN(RADIANS(MyLat))*SIN(RADIANS(EVCleanedDataset[[#This Row],[Latitude]]))+COS(RADIANS(MyLat))*COS(RADIANS(EVCleanedDataset[[#This Row],[Latitude]]))*COS(RADIANS(EVCleanedDataset[[#This Row],[Longitude]]-MyLong)))</f>
        <v>297.27085576054685</v>
      </c>
      <c r="J262">
        <f t="shared" si="9"/>
        <v>4</v>
      </c>
      <c r="K26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51.46252548853748</v>
      </c>
      <c r="L262" t="str">
        <f>IF(EVCleanedDataset[[#This Row],[Score]]&gt;50,"Yes","No")</f>
        <v>Yes</v>
      </c>
    </row>
    <row r="263" spans="1:12" x14ac:dyDescent="0.3">
      <c r="A263" t="s">
        <v>2894</v>
      </c>
      <c r="B263" t="s">
        <v>41</v>
      </c>
      <c r="C263" t="s">
        <v>221</v>
      </c>
      <c r="D263">
        <v>19.971448873709701</v>
      </c>
      <c r="E263">
        <v>73.755905410840896</v>
      </c>
      <c r="F263">
        <f>IF(COUNTIF($C$5:C263,C263)=1,1,0)</f>
        <v>0</v>
      </c>
      <c r="G263" s="2" t="str">
        <f t="shared" si="8"/>
        <v/>
      </c>
      <c r="H263" s="2">
        <f>MAX(0, MyBattery - (EVCleanedDataset[[#This Row],[Distance(km)]]/VehicleRangeKm)*100)</f>
        <v>0</v>
      </c>
      <c r="I263" s="2">
        <f>6371*ACOS(SIN(RADIANS(MyLat))*SIN(RADIANS(EVCleanedDataset[[#This Row],[Latitude]]))+COS(RADIANS(MyLat))*COS(RADIANS(EVCleanedDataset[[#This Row],[Latitude]]))*COS(RADIANS(EVCleanedDataset[[#This Row],[Longitude]]-MyLong)))</f>
        <v>839.21911190752598</v>
      </c>
      <c r="J263">
        <f t="shared" si="9"/>
        <v>1</v>
      </c>
      <c r="K263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51.970198496935893</v>
      </c>
      <c r="L263" t="str">
        <f>IF(EVCleanedDataset[[#This Row],[Score]]&gt;50,"Yes","No")</f>
        <v>Yes</v>
      </c>
    </row>
    <row r="264" spans="1:12" x14ac:dyDescent="0.3">
      <c r="A264" t="s">
        <v>2883</v>
      </c>
      <c r="B264" t="s">
        <v>49</v>
      </c>
      <c r="C264" t="s">
        <v>1008</v>
      </c>
      <c r="D264">
        <v>12.9917014</v>
      </c>
      <c r="E264">
        <v>80.232101999999998</v>
      </c>
      <c r="F264">
        <f>IF(COUNTIF($C$5:C264,C264)=1,1,0)</f>
        <v>0</v>
      </c>
      <c r="G264" s="2" t="str">
        <f t="shared" si="8"/>
        <v/>
      </c>
      <c r="H264" s="2">
        <f>MAX(0, MyBattery - (EVCleanedDataset[[#This Row],[Distance(km)]]/VehicleRangeKm)*100)</f>
        <v>0</v>
      </c>
      <c r="I264" s="2">
        <f>6371*ACOS(SIN(RADIANS(MyLat))*SIN(RADIANS(EVCleanedDataset[[#This Row],[Latitude]]))+COS(RADIANS(MyLat))*COS(RADIANS(EVCleanedDataset[[#This Row],[Latitude]]))*COS(RADIANS(EVCleanedDataset[[#This Row],[Longitude]]-MyLong)))</f>
        <v>294.43664349520088</v>
      </c>
      <c r="J264">
        <f t="shared" si="9"/>
        <v>8</v>
      </c>
      <c r="K26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38.178853975476194</v>
      </c>
      <c r="L264" t="str">
        <f>IF(EVCleanedDataset[[#This Row],[Score]]&gt;50,"Yes","No")</f>
        <v>No</v>
      </c>
    </row>
    <row r="265" spans="1:12" x14ac:dyDescent="0.3">
      <c r="A265" t="s">
        <v>444</v>
      </c>
      <c r="B265" t="s">
        <v>49</v>
      </c>
      <c r="C265" t="s">
        <v>1008</v>
      </c>
      <c r="D265">
        <v>13.0406526</v>
      </c>
      <c r="E265">
        <v>80.232646000000003</v>
      </c>
      <c r="F265">
        <f>IF(COUNTIF($C$5:C265,C265)=1,1,0)</f>
        <v>0</v>
      </c>
      <c r="G265" s="2" t="str">
        <f t="shared" si="8"/>
        <v/>
      </c>
      <c r="H265" s="2">
        <f>MAX(0, MyBattery - (EVCleanedDataset[[#This Row],[Distance(km)]]/VehicleRangeKm)*100)</f>
        <v>0</v>
      </c>
      <c r="I265" s="2">
        <f>6371*ACOS(SIN(RADIANS(MyLat))*SIN(RADIANS(EVCleanedDataset[[#This Row],[Latitude]]))+COS(RADIANS(MyLat))*COS(RADIANS(EVCleanedDataset[[#This Row],[Latitude]]))*COS(RADIANS(EVCleanedDataset[[#This Row],[Longitude]]-MyLong)))</f>
        <v>293.7810817201451</v>
      </c>
      <c r="J265">
        <f t="shared" si="9"/>
        <v>5</v>
      </c>
      <c r="K26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48.190346277000479</v>
      </c>
      <c r="L265" t="str">
        <f>IF(EVCleanedDataset[[#This Row],[Score]]&gt;50,"Yes","No")</f>
        <v>No</v>
      </c>
    </row>
    <row r="266" spans="1:12" x14ac:dyDescent="0.3">
      <c r="A266" t="s">
        <v>2920</v>
      </c>
      <c r="B266" t="s">
        <v>41</v>
      </c>
      <c r="C266" t="s">
        <v>221</v>
      </c>
      <c r="D266">
        <v>19.996279038995901</v>
      </c>
      <c r="E266">
        <v>73.803359184254305</v>
      </c>
      <c r="F266">
        <f>IF(COUNTIF($C$5:C266,C266)=1,1,0)</f>
        <v>0</v>
      </c>
      <c r="G266" s="2" t="str">
        <f t="shared" si="8"/>
        <v/>
      </c>
      <c r="H266" s="2">
        <f>MAX(0, MyBattery - (EVCleanedDataset[[#This Row],[Distance(km)]]/VehicleRangeKm)*100)</f>
        <v>0</v>
      </c>
      <c r="I266" s="2">
        <f>6371*ACOS(SIN(RADIANS(MyLat))*SIN(RADIANS(EVCleanedDataset[[#This Row],[Latitude]]))+COS(RADIANS(MyLat))*COS(RADIANS(EVCleanedDataset[[#This Row],[Latitude]]))*COS(RADIANS(EVCleanedDataset[[#This Row],[Longitude]]-MyLong)))</f>
        <v>839.22522037456656</v>
      </c>
      <c r="J266">
        <f t="shared" si="9"/>
        <v>2</v>
      </c>
      <c r="K266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48.636788172525478</v>
      </c>
      <c r="L266" t="str">
        <f>IF(EVCleanedDataset[[#This Row],[Score]]&gt;50,"Yes","No")</f>
        <v>No</v>
      </c>
    </row>
    <row r="267" spans="1:12" x14ac:dyDescent="0.3">
      <c r="A267" t="s">
        <v>521</v>
      </c>
      <c r="B267" t="s">
        <v>41</v>
      </c>
      <c r="C267" t="s">
        <v>221</v>
      </c>
      <c r="D267">
        <v>20.0144062</v>
      </c>
      <c r="E267">
        <v>73.698344800000001</v>
      </c>
      <c r="F267">
        <f>IF(COUNTIF($C$5:C267,C267)=1,1,0)</f>
        <v>0</v>
      </c>
      <c r="G267" s="2" t="str">
        <f t="shared" si="8"/>
        <v/>
      </c>
      <c r="H267" s="2">
        <f>MAX(0, MyBattery - (EVCleanedDataset[[#This Row],[Distance(km)]]/VehicleRangeKm)*100)</f>
        <v>0</v>
      </c>
      <c r="I267" s="2">
        <f>6371*ACOS(SIN(RADIANS(MyLat))*SIN(RADIANS(EVCleanedDataset[[#This Row],[Latitude]]))+COS(RADIANS(MyLat))*COS(RADIANS(EVCleanedDataset[[#This Row],[Latitude]]))*COS(RADIANS(EVCleanedDataset[[#This Row],[Longitude]]-MyLong)))</f>
        <v>846.33096037259509</v>
      </c>
      <c r="J267">
        <f t="shared" si="9"/>
        <v>9</v>
      </c>
      <c r="K267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25.179006317790986</v>
      </c>
      <c r="L267" t="str">
        <f>IF(EVCleanedDataset[[#This Row],[Score]]&gt;50,"Yes","No")</f>
        <v>No</v>
      </c>
    </row>
    <row r="268" spans="1:12" x14ac:dyDescent="0.3">
      <c r="A268" t="s">
        <v>2105</v>
      </c>
      <c r="B268" t="s">
        <v>502</v>
      </c>
      <c r="C268" t="s">
        <v>2106</v>
      </c>
      <c r="D268">
        <v>16.778579000000001</v>
      </c>
      <c r="E268">
        <v>81.221053999999995</v>
      </c>
      <c r="F268">
        <f>IF(COUNTIF($C$5:C268,C268)=1,1,0)</f>
        <v>1</v>
      </c>
      <c r="G268" s="2">
        <f t="shared" si="8"/>
        <v>549.35611172020106</v>
      </c>
      <c r="H268" s="2">
        <f>MAX(0, MyBattery - (EVCleanedDataset[[#This Row],[Distance(km)]]/VehicleRangeKm)*100)</f>
        <v>0</v>
      </c>
      <c r="I268" s="2">
        <f>6371*ACOS(SIN(RADIANS(MyLat))*SIN(RADIANS(EVCleanedDataset[[#This Row],[Latitude]]))+COS(RADIANS(MyLat))*COS(RADIANS(EVCleanedDataset[[#This Row],[Latitude]]))*COS(RADIANS(EVCleanedDataset[[#This Row],[Longitude]]-MyLong)))</f>
        <v>549.35611172020106</v>
      </c>
      <c r="J268">
        <f t="shared" si="9"/>
        <v>6</v>
      </c>
      <c r="K268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40.380592869545552</v>
      </c>
      <c r="L268" t="str">
        <f>IF(EVCleanedDataset[[#This Row],[Score]]&gt;50,"Yes","No")</f>
        <v>No</v>
      </c>
    </row>
    <row r="269" spans="1:12" x14ac:dyDescent="0.3">
      <c r="A269" t="s">
        <v>986</v>
      </c>
      <c r="B269" t="s">
        <v>41</v>
      </c>
      <c r="C269" t="s">
        <v>987</v>
      </c>
      <c r="D269">
        <v>21.155667000000001</v>
      </c>
      <c r="E269">
        <v>79.078708000000006</v>
      </c>
      <c r="F269">
        <f>IF(COUNTIF($C$5:C269,C269)=1,1,0)</f>
        <v>1</v>
      </c>
      <c r="G269" s="2">
        <f t="shared" si="8"/>
        <v>857.01758607116358</v>
      </c>
      <c r="H269" s="2">
        <f>MAX(0, MyBattery - (EVCleanedDataset[[#This Row],[Distance(km)]]/VehicleRangeKm)*100)</f>
        <v>0</v>
      </c>
      <c r="I269" s="2">
        <f>6371*ACOS(SIN(RADIANS(MyLat))*SIN(RADIANS(EVCleanedDataset[[#This Row],[Latitude]]))+COS(RADIANS(MyLat))*COS(RADIANS(EVCleanedDataset[[#This Row],[Latitude]]))*COS(RADIANS(EVCleanedDataset[[#This Row],[Longitude]]-MyLong)))</f>
        <v>883.31219107949471</v>
      </c>
      <c r="J269">
        <f t="shared" si="9"/>
        <v>3</v>
      </c>
      <c r="K269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44.531292331654029</v>
      </c>
      <c r="L269" t="str">
        <f>IF(EVCleanedDataset[[#This Row],[Score]]&gt;50,"Yes","No")</f>
        <v>No</v>
      </c>
    </row>
    <row r="270" spans="1:12" x14ac:dyDescent="0.3">
      <c r="A270" t="s">
        <v>3255</v>
      </c>
      <c r="B270" t="s">
        <v>150</v>
      </c>
      <c r="C270" t="s">
        <v>2229</v>
      </c>
      <c r="D270">
        <v>12.9873093</v>
      </c>
      <c r="E270">
        <v>76.206106700000007</v>
      </c>
      <c r="F270">
        <f>IF(COUNTIF($C$5:C270,C270)=1,1,0)</f>
        <v>0</v>
      </c>
      <c r="G270" s="2" t="str">
        <f t="shared" si="8"/>
        <v/>
      </c>
      <c r="H270" s="2">
        <f>MAX(0, MyBattery - (EVCleanedDataset[[#This Row],[Distance(km)]]/VehicleRangeKm)*100)</f>
        <v>20.113104742260667</v>
      </c>
      <c r="I270" s="2">
        <f>6371*ACOS(SIN(RADIANS(MyLat))*SIN(RADIANS(EVCleanedDataset[[#This Row],[Latitude]]))+COS(RADIANS(MyLat))*COS(RADIANS(EVCleanedDataset[[#This Row],[Latitude]]))*COS(RADIANS(EVCleanedDataset[[#This Row],[Longitude]]-MyLong)))</f>
        <v>149.66068577321801</v>
      </c>
      <c r="J270">
        <f t="shared" si="9"/>
        <v>0</v>
      </c>
      <c r="K270" s="5">
        <f>((1-(EVCleanedDataset[[#This Row],[Distance(km)]]/MAX($I$5:$I$1121)))*0.4 + (1-(EVCleanedDataset[[#This Row],[QueueLength]]/MAX($J$5:$J$1121)))*0.3 + (EVCleanedDataset[[#This Row],[EstimatedBatteryOnArrival]]/100)*0.3 + (ROW()/10000000))*100</f>
        <v>73.415293227305725</v>
      </c>
      <c r="L270" t="str">
        <f>IF(EVCleanedDataset[[#This Row],[Score]]&gt;50,"Yes","No")</f>
        <v>Yes</v>
      </c>
    </row>
    <row r="271" spans="1:12" x14ac:dyDescent="0.3">
      <c r="A271" t="s">
        <v>233</v>
      </c>
      <c r="B271" t="s">
        <v>41</v>
      </c>
      <c r="C271" t="s">
        <v>221</v>
      </c>
      <c r="D271">
        <v>20.213699999999999</v>
      </c>
      <c r="E271">
        <v>74.040999999999997</v>
      </c>
      <c r="F271">
        <f>IF(COUNTIF($C$5:C271,C271)=1,1,0)</f>
        <v>0</v>
      </c>
      <c r="G271" s="2" t="str">
        <f t="shared" si="8"/>
        <v/>
      </c>
      <c r="H271" s="2">
        <f>MAX(0, MyBattery - (EVCleanedDataset[[#This Row],[Distance(km)]]/VehicleRangeKm)*100)</f>
        <v>0</v>
      </c>
      <c r="I271" s="2">
        <f>6371*ACOS(SIN(RADIANS(MyLat))*SIN(RADIANS(EVCleanedDataset[[#This Row],[Latitude]]))+COS(RADIANS(MyLat))*COS(RADIANS(EVCleanedDataset[[#This Row],[Latitude]]))*COS(RADIANS(EVCleanedDataset[[#This Row],[Longitude]]-MyLong)))</f>
        <v>849.10685028719035</v>
      </c>
      <c r="J271">
        <f t="shared" si="9"/>
        <v>7</v>
      </c>
      <c r="K271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31.797092692350315</v>
      </c>
      <c r="L271" t="str">
        <f>IF(EVCleanedDataset[[#This Row],[Score]]&gt;50,"Yes","No")</f>
        <v>No</v>
      </c>
    </row>
    <row r="272" spans="1:12" x14ac:dyDescent="0.3">
      <c r="A272" t="s">
        <v>2838</v>
      </c>
      <c r="B272" t="s">
        <v>41</v>
      </c>
      <c r="C272" t="s">
        <v>245</v>
      </c>
      <c r="D272">
        <v>19.988299999999999</v>
      </c>
      <c r="E272">
        <v>72.748800000000003</v>
      </c>
      <c r="F272">
        <f>IF(COUNTIF($C$5:C272,C272)=1,1,0)</f>
        <v>1</v>
      </c>
      <c r="G272" s="2">
        <f t="shared" si="8"/>
        <v>897.12211055127989</v>
      </c>
      <c r="H272" s="2">
        <f>MAX(0, MyBattery - (EVCleanedDataset[[#This Row],[Distance(km)]]/VehicleRangeKm)*100)</f>
        <v>0</v>
      </c>
      <c r="I272" s="2">
        <f>6371*ACOS(SIN(RADIANS(MyLat))*SIN(RADIANS(EVCleanedDataset[[#This Row],[Latitude]]))+COS(RADIANS(MyLat))*COS(RADIANS(EVCleanedDataset[[#This Row],[Latitude]]))*COS(RADIANS(EVCleanedDataset[[#This Row],[Longitude]]-MyLong)))</f>
        <v>897.12211055127989</v>
      </c>
      <c r="J272">
        <f t="shared" si="9"/>
        <v>4</v>
      </c>
      <c r="K272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40.956105372040483</v>
      </c>
      <c r="L272" t="str">
        <f>IF(EVCleanedDataset[[#This Row],[Score]]&gt;50,"Yes","No")</f>
        <v>No</v>
      </c>
    </row>
    <row r="273" spans="1:12" x14ac:dyDescent="0.3">
      <c r="A273" t="s">
        <v>2055</v>
      </c>
      <c r="B273" t="s">
        <v>49</v>
      </c>
      <c r="C273" t="s">
        <v>2056</v>
      </c>
      <c r="D273">
        <v>10.4425816</v>
      </c>
      <c r="E273">
        <v>77.520390300000003</v>
      </c>
      <c r="F273">
        <f>IF(COUNTIF($C$5:C273,C273)=1,1,0)</f>
        <v>1</v>
      </c>
      <c r="G273" s="2">
        <f t="shared" si="8"/>
        <v>323.19747918537485</v>
      </c>
      <c r="H273" s="2">
        <f>MAX(0, MyBattery - (EVCleanedDataset[[#This Row],[Distance(km)]]/VehicleRangeKm)*100)</f>
        <v>0</v>
      </c>
      <c r="I273" s="2">
        <f>6371*ACOS(SIN(RADIANS(MyLat))*SIN(RADIANS(EVCleanedDataset[[#This Row],[Latitude]]))+COS(RADIANS(MyLat))*COS(RADIANS(EVCleanedDataset[[#This Row],[Latitude]]))*COS(RADIANS(EVCleanedDataset[[#This Row],[Longitude]]-MyLong)))</f>
        <v>323.19747918537485</v>
      </c>
      <c r="J273">
        <f t="shared" si="9"/>
        <v>1</v>
      </c>
      <c r="K27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61.008525259726134</v>
      </c>
      <c r="L273" t="str">
        <f>IF(EVCleanedDataset[[#This Row],[Score]]&gt;50,"Yes","No")</f>
        <v>Yes</v>
      </c>
    </row>
    <row r="274" spans="1:12" x14ac:dyDescent="0.3">
      <c r="A274" t="s">
        <v>437</v>
      </c>
      <c r="B274" t="s">
        <v>386</v>
      </c>
      <c r="C274" t="s">
        <v>2009</v>
      </c>
      <c r="D274">
        <v>11.2582475</v>
      </c>
      <c r="E274">
        <v>75.774777099999994</v>
      </c>
      <c r="F274">
        <f>IF(COUNTIF($C$5:C274,C274)=1,1,0)</f>
        <v>0</v>
      </c>
      <c r="G274" s="2" t="str">
        <f t="shared" si="8"/>
        <v/>
      </c>
      <c r="H274" s="2">
        <f>MAX(0, MyBattery - (EVCleanedDataset[[#This Row],[Distance(km)]]/VehicleRangeKm)*100)</f>
        <v>0</v>
      </c>
      <c r="I274" s="2">
        <f>6371*ACOS(SIN(RADIANS(MyLat))*SIN(RADIANS(EVCleanedDataset[[#This Row],[Latitude]]))+COS(RADIANS(MyLat))*COS(RADIANS(EVCleanedDataset[[#This Row],[Latitude]]))*COS(RADIANS(EVCleanedDataset[[#This Row],[Longitude]]-MyLong)))</f>
        <v>301.20239656390015</v>
      </c>
      <c r="J274">
        <f t="shared" si="9"/>
        <v>8</v>
      </c>
      <c r="K27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38.060450396210804</v>
      </c>
      <c r="L274" t="str">
        <f>IF(EVCleanedDataset[[#This Row],[Score]]&gt;50,"Yes","No")</f>
        <v>No</v>
      </c>
    </row>
    <row r="275" spans="1:12" x14ac:dyDescent="0.3">
      <c r="A275" t="s">
        <v>2922</v>
      </c>
      <c r="B275" t="s">
        <v>386</v>
      </c>
      <c r="C275" t="s">
        <v>2009</v>
      </c>
      <c r="D275">
        <v>11.318516300000001</v>
      </c>
      <c r="E275">
        <v>75.884281400000006</v>
      </c>
      <c r="F275">
        <f>IF(COUNTIF($C$5:C275,C275)=1,1,0)</f>
        <v>0</v>
      </c>
      <c r="G275" s="2" t="str">
        <f t="shared" si="8"/>
        <v/>
      </c>
      <c r="H275" s="2">
        <f>MAX(0, MyBattery - (EVCleanedDataset[[#This Row],[Distance(km)]]/VehicleRangeKm)*100)</f>
        <v>0</v>
      </c>
      <c r="I275" s="2">
        <f>6371*ACOS(SIN(RADIANS(MyLat))*SIN(RADIANS(EVCleanedDataset[[#This Row],[Latitude]]))+COS(RADIANS(MyLat))*COS(RADIANS(EVCleanedDataset[[#This Row],[Latitude]]))*COS(RADIANS(EVCleanedDataset[[#This Row],[Longitude]]-MyLong)))</f>
        <v>288.49617359300663</v>
      </c>
      <c r="J275">
        <f t="shared" si="9"/>
        <v>5</v>
      </c>
      <c r="K27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48.283012547568667</v>
      </c>
      <c r="L275" t="str">
        <f>IF(EVCleanedDataset[[#This Row],[Score]]&gt;50,"Yes","No")</f>
        <v>No</v>
      </c>
    </row>
    <row r="276" spans="1:12" x14ac:dyDescent="0.3">
      <c r="A276" t="s">
        <v>2602</v>
      </c>
      <c r="B276" t="s">
        <v>115</v>
      </c>
      <c r="C276" t="s">
        <v>1163</v>
      </c>
      <c r="D276">
        <v>17.420000000000002</v>
      </c>
      <c r="E276">
        <v>78.349999999999994</v>
      </c>
      <c r="F276">
        <f>IF(COUNTIF($C$5:C276,C276)=1,1,0)</f>
        <v>0</v>
      </c>
      <c r="G276" s="2" t="str">
        <f t="shared" si="8"/>
        <v/>
      </c>
      <c r="H276" s="2">
        <f>MAX(0, MyBattery - (EVCleanedDataset[[#This Row],[Distance(km)]]/VehicleRangeKm)*100)</f>
        <v>0</v>
      </c>
      <c r="I276" s="2">
        <f>6371*ACOS(SIN(RADIANS(MyLat))*SIN(RADIANS(EVCleanedDataset[[#This Row],[Latitude]]))+COS(RADIANS(MyLat))*COS(RADIANS(EVCleanedDataset[[#This Row],[Latitude]]))*COS(RADIANS(EVCleanedDataset[[#This Row],[Longitude]]-MyLong)))</f>
        <v>460.96221745767332</v>
      </c>
      <c r="J276">
        <f t="shared" si="9"/>
        <v>2</v>
      </c>
      <c r="K276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55.262243738147113</v>
      </c>
      <c r="L276" t="str">
        <f>IF(EVCleanedDataset[[#This Row],[Score]]&gt;50,"Yes","No")</f>
        <v>Yes</v>
      </c>
    </row>
    <row r="277" spans="1:12" x14ac:dyDescent="0.3">
      <c r="A277" t="s">
        <v>3345</v>
      </c>
      <c r="B277" t="s">
        <v>502</v>
      </c>
      <c r="C277" t="s">
        <v>1985</v>
      </c>
      <c r="D277">
        <v>17.727626999999998</v>
      </c>
      <c r="E277">
        <v>83.295731200000006</v>
      </c>
      <c r="F277">
        <f>IF(COUNTIF($C$5:C277,C277)=1,1,0)</f>
        <v>0</v>
      </c>
      <c r="G277" s="2" t="str">
        <f t="shared" si="8"/>
        <v/>
      </c>
      <c r="H277" s="2">
        <f>MAX(0, MyBattery - (EVCleanedDataset[[#This Row],[Distance(km)]]/VehicleRangeKm)*100)</f>
        <v>0</v>
      </c>
      <c r="I277" s="2">
        <f>6371*ACOS(SIN(RADIANS(MyLat))*SIN(RADIANS(EVCleanedDataset[[#This Row],[Latitude]]))+COS(RADIANS(MyLat))*COS(RADIANS(EVCleanedDataset[[#This Row],[Latitude]]))*COS(RADIANS(EVCleanedDataset[[#This Row],[Longitude]]-MyLong)))</f>
        <v>785.70637330754971</v>
      </c>
      <c r="J277">
        <f t="shared" si="9"/>
        <v>9</v>
      </c>
      <c r="K277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26.240958632787702</v>
      </c>
      <c r="L277" t="str">
        <f>IF(EVCleanedDataset[[#This Row],[Score]]&gt;50,"Yes","No")</f>
        <v>No</v>
      </c>
    </row>
    <row r="278" spans="1:12" x14ac:dyDescent="0.3">
      <c r="A278" t="s">
        <v>993</v>
      </c>
      <c r="B278" t="s">
        <v>150</v>
      </c>
      <c r="C278" t="s">
        <v>2757</v>
      </c>
      <c r="D278">
        <v>14.441957</v>
      </c>
      <c r="E278">
        <v>75.952060000000003</v>
      </c>
      <c r="F278">
        <f>IF(COUNTIF($C$5:C278,C278)=1,1,0)</f>
        <v>1</v>
      </c>
      <c r="G278" s="2">
        <f t="shared" si="8"/>
        <v>209.88699822108907</v>
      </c>
      <c r="H278" s="2">
        <f>MAX(0, MyBattery - (EVCleanedDataset[[#This Row],[Distance(km)]]/VehicleRangeKm)*100)</f>
        <v>3.7667259636975814E-2</v>
      </c>
      <c r="I278" s="2">
        <f>6371*ACOS(SIN(RADIANS(MyLat))*SIN(RADIANS(EVCleanedDataset[[#This Row],[Latitude]]))+COS(RADIANS(MyLat))*COS(RADIANS(EVCleanedDataset[[#This Row],[Latitude]]))*COS(RADIANS(EVCleanedDataset[[#This Row],[Longitude]]-MyLong)))</f>
        <v>209.88699822108907</v>
      </c>
      <c r="J278">
        <f t="shared" si="9"/>
        <v>6</v>
      </c>
      <c r="K278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46.337865530694344</v>
      </c>
      <c r="L278" t="str">
        <f>IF(EVCleanedDataset[[#This Row],[Score]]&gt;50,"Yes","No")</f>
        <v>No</v>
      </c>
    </row>
    <row r="279" spans="1:12" x14ac:dyDescent="0.3">
      <c r="A279" t="s">
        <v>2956</v>
      </c>
      <c r="B279" t="s">
        <v>68</v>
      </c>
      <c r="C279" t="s">
        <v>185</v>
      </c>
      <c r="D279">
        <v>22.271792999999999</v>
      </c>
      <c r="E279">
        <v>73.190794999999994</v>
      </c>
      <c r="F279">
        <f>IF(COUNTIF($C$5:C279,C279)=1,1,0)</f>
        <v>1</v>
      </c>
      <c r="G279" s="2">
        <f t="shared" si="8"/>
        <v>1093.4157787791853</v>
      </c>
      <c r="H279" s="2">
        <f>MAX(0, MyBattery - (EVCleanedDataset[[#This Row],[Distance(km)]]/VehicleRangeKm)*100)</f>
        <v>0</v>
      </c>
      <c r="I279" s="2">
        <f>6371*ACOS(SIN(RADIANS(MyLat))*SIN(RADIANS(EVCleanedDataset[[#This Row],[Latitude]]))+COS(RADIANS(MyLat))*COS(RADIANS(EVCleanedDataset[[#This Row],[Latitude]]))*COS(RADIANS(EVCleanedDataset[[#This Row],[Longitude]]-MyLong)))</f>
        <v>1093.4157787791853</v>
      </c>
      <c r="J279">
        <f t="shared" si="9"/>
        <v>3</v>
      </c>
      <c r="K279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40.85138407446518</v>
      </c>
      <c r="L279" t="str">
        <f>IF(EVCleanedDataset[[#This Row],[Score]]&gt;50,"Yes","No")</f>
        <v>No</v>
      </c>
    </row>
    <row r="280" spans="1:12" x14ac:dyDescent="0.3">
      <c r="A280" t="s">
        <v>731</v>
      </c>
      <c r="B280" t="s">
        <v>41</v>
      </c>
      <c r="C280" t="s">
        <v>42</v>
      </c>
      <c r="D280">
        <v>18.5105106</v>
      </c>
      <c r="E280">
        <v>73.781902200000005</v>
      </c>
      <c r="F280">
        <f>IF(COUNTIF($C$5:C280,C280)=1,1,0)</f>
        <v>0</v>
      </c>
      <c r="G280" s="2" t="str">
        <f t="shared" si="8"/>
        <v/>
      </c>
      <c r="H280" s="2">
        <f>MAX(0, MyBattery - (EVCleanedDataset[[#This Row],[Distance(km)]]/VehicleRangeKm)*100)</f>
        <v>0</v>
      </c>
      <c r="I280" s="2">
        <f>6371*ACOS(SIN(RADIANS(MyLat))*SIN(RADIANS(EVCleanedDataset[[#This Row],[Latitude]]))+COS(RADIANS(MyLat))*COS(RADIANS(EVCleanedDataset[[#This Row],[Latitude]]))*COS(RADIANS(EVCleanedDataset[[#This Row],[Longitude]]-MyLong)))</f>
        <v>700.35811906405172</v>
      </c>
      <c r="J280">
        <f t="shared" si="9"/>
        <v>0</v>
      </c>
      <c r="K280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57.73588114648269</v>
      </c>
      <c r="L280" t="str">
        <f>IF(EVCleanedDataset[[#This Row],[Score]]&gt;50,"Yes","No")</f>
        <v>Yes</v>
      </c>
    </row>
    <row r="281" spans="1:12" x14ac:dyDescent="0.3">
      <c r="A281" t="s">
        <v>2937</v>
      </c>
      <c r="B281" t="s">
        <v>115</v>
      </c>
      <c r="C281" t="s">
        <v>1163</v>
      </c>
      <c r="D281">
        <v>17.517319199999999</v>
      </c>
      <c r="E281">
        <v>78.318829300000004</v>
      </c>
      <c r="F281">
        <f>IF(COUNTIF($C$5:C281,C281)=1,1,0)</f>
        <v>0</v>
      </c>
      <c r="G281" s="2" t="str">
        <f t="shared" si="8"/>
        <v/>
      </c>
      <c r="H281" s="2">
        <f>MAX(0, MyBattery - (EVCleanedDataset[[#This Row],[Distance(km)]]/VehicleRangeKm)*100)</f>
        <v>0</v>
      </c>
      <c r="I281" s="2">
        <f>6371*ACOS(SIN(RADIANS(MyLat))*SIN(RADIANS(EVCleanedDataset[[#This Row],[Latitude]]))+COS(RADIANS(MyLat))*COS(RADIANS(EVCleanedDataset[[#This Row],[Latitude]]))*COS(RADIANS(EVCleanedDataset[[#This Row],[Longitude]]-MyLong)))</f>
        <v>470.98400716144289</v>
      </c>
      <c r="J281">
        <f t="shared" si="9"/>
        <v>7</v>
      </c>
      <c r="K28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38.420093329931973</v>
      </c>
      <c r="L281" t="str">
        <f>IF(EVCleanedDataset[[#This Row],[Score]]&gt;50,"Yes","No")</f>
        <v>No</v>
      </c>
    </row>
    <row r="282" spans="1:12" x14ac:dyDescent="0.3">
      <c r="A282" t="s">
        <v>2539</v>
      </c>
      <c r="B282" t="s">
        <v>115</v>
      </c>
      <c r="C282" t="s">
        <v>1163</v>
      </c>
      <c r="D282">
        <v>17.422599999999999</v>
      </c>
      <c r="E282">
        <v>78.461359999999999</v>
      </c>
      <c r="F282">
        <f>IF(COUNTIF($C$5:C282,C282)=1,1,0)</f>
        <v>0</v>
      </c>
      <c r="G282" s="2" t="str">
        <f t="shared" si="8"/>
        <v/>
      </c>
      <c r="H282" s="2">
        <f>MAX(0, MyBattery - (EVCleanedDataset[[#This Row],[Distance(km)]]/VehicleRangeKm)*100)</f>
        <v>0</v>
      </c>
      <c r="I282" s="2">
        <f>6371*ACOS(SIN(RADIANS(MyLat))*SIN(RADIANS(EVCleanedDataset[[#This Row],[Latitude]]))+COS(RADIANS(MyLat))*COS(RADIANS(EVCleanedDataset[[#This Row],[Latitude]]))*COS(RADIANS(EVCleanedDataset[[#This Row],[Longitude]]-MyLong)))</f>
        <v>463.64769928617631</v>
      </c>
      <c r="J282">
        <f t="shared" si="9"/>
        <v>4</v>
      </c>
      <c r="K28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48.548600295899305</v>
      </c>
      <c r="L282" t="str">
        <f>IF(EVCleanedDataset[[#This Row],[Score]]&gt;50,"Yes","No")</f>
        <v>No</v>
      </c>
    </row>
    <row r="283" spans="1:12" x14ac:dyDescent="0.3">
      <c r="A283" t="s">
        <v>1162</v>
      </c>
      <c r="B283" t="s">
        <v>115</v>
      </c>
      <c r="C283" t="s">
        <v>1163</v>
      </c>
      <c r="D283">
        <v>17.454398000000001</v>
      </c>
      <c r="E283">
        <v>78.434574999999995</v>
      </c>
      <c r="F283">
        <f>IF(COUNTIF($C$5:C283,C283)=1,1,0)</f>
        <v>0</v>
      </c>
      <c r="G283" s="2" t="str">
        <f t="shared" si="8"/>
        <v/>
      </c>
      <c r="H283" s="2">
        <f>MAX(0, MyBattery - (EVCleanedDataset[[#This Row],[Distance(km)]]/VehicleRangeKm)*100)</f>
        <v>0</v>
      </c>
      <c r="I283" s="2">
        <f>6371*ACOS(SIN(RADIANS(MyLat))*SIN(RADIANS(EVCleanedDataset[[#This Row],[Latitude]]))+COS(RADIANS(MyLat))*COS(RADIANS(EVCleanedDataset[[#This Row],[Latitude]]))*COS(RADIANS(EVCleanedDataset[[#This Row],[Longitude]]-MyLong)))</f>
        <v>466.50075966803939</v>
      </c>
      <c r="J283">
        <f t="shared" si="9"/>
        <v>1</v>
      </c>
      <c r="K28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58.498638346926576</v>
      </c>
      <c r="L283" t="str">
        <f>IF(EVCleanedDataset[[#This Row],[Score]]&gt;50,"Yes","No")</f>
        <v>Yes</v>
      </c>
    </row>
    <row r="284" spans="1:12" x14ac:dyDescent="0.3">
      <c r="A284" t="s">
        <v>1181</v>
      </c>
      <c r="B284" t="s">
        <v>41</v>
      </c>
      <c r="C284" t="s">
        <v>42</v>
      </c>
      <c r="D284">
        <v>18.562826000000001</v>
      </c>
      <c r="E284">
        <v>73.922392000000002</v>
      </c>
      <c r="F284">
        <f>IF(COUNTIF($C$5:C284,C284)=1,1,0)</f>
        <v>0</v>
      </c>
      <c r="G284" s="2" t="str">
        <f t="shared" si="8"/>
        <v/>
      </c>
      <c r="H284" s="2">
        <f>MAX(0, MyBattery - (EVCleanedDataset[[#This Row],[Distance(km)]]/VehicleRangeKm)*100)</f>
        <v>0</v>
      </c>
      <c r="I284" s="2">
        <f>6371*ACOS(SIN(RADIANS(MyLat))*SIN(RADIANS(EVCleanedDataset[[#This Row],[Latitude]]))+COS(RADIANS(MyLat))*COS(RADIANS(EVCleanedDataset[[#This Row],[Latitude]]))*COS(RADIANS(EVCleanedDataset[[#This Row],[Longitude]]-MyLong)))</f>
        <v>696.66535805450394</v>
      </c>
      <c r="J284">
        <f t="shared" si="9"/>
        <v>8</v>
      </c>
      <c r="K284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31.133933960807958</v>
      </c>
      <c r="L284" t="str">
        <f>IF(EVCleanedDataset[[#This Row],[Score]]&gt;50,"Yes","No")</f>
        <v>No</v>
      </c>
    </row>
    <row r="285" spans="1:12" x14ac:dyDescent="0.3">
      <c r="A285" t="s">
        <v>887</v>
      </c>
      <c r="B285" t="s">
        <v>41</v>
      </c>
      <c r="C285" t="s">
        <v>1956</v>
      </c>
      <c r="D285">
        <v>16.707579432168298</v>
      </c>
      <c r="E285">
        <v>74.251069384460607</v>
      </c>
      <c r="F285">
        <f>IF(COUNTIF($C$5:C285,C285)=1,1,0)</f>
        <v>0</v>
      </c>
      <c r="G285" s="2" t="str">
        <f t="shared" si="8"/>
        <v/>
      </c>
      <c r="H285" s="2">
        <f>MAX(0, MyBattery - (EVCleanedDataset[[#This Row],[Distance(km)]]/VehicleRangeKm)*100)</f>
        <v>0</v>
      </c>
      <c r="I285" s="2">
        <f>6371*ACOS(SIN(RADIANS(MyLat))*SIN(RADIANS(EVCleanedDataset[[#This Row],[Latitude]]))+COS(RADIANS(MyLat))*COS(RADIANS(EVCleanedDataset[[#This Row],[Latitude]]))*COS(RADIANS(EVCleanedDataset[[#This Row],[Longitude]]-MyLong)))</f>
        <v>513.78874034008777</v>
      </c>
      <c r="J285">
        <f t="shared" si="9"/>
        <v>5</v>
      </c>
      <c r="K285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44.337066147363615</v>
      </c>
      <c r="L285" t="str">
        <f>IF(EVCleanedDataset[[#This Row],[Score]]&gt;50,"Yes","No")</f>
        <v>No</v>
      </c>
    </row>
    <row r="286" spans="1:12" x14ac:dyDescent="0.3">
      <c r="A286" t="s">
        <v>2850</v>
      </c>
      <c r="B286" t="s">
        <v>41</v>
      </c>
      <c r="C286" t="s">
        <v>42</v>
      </c>
      <c r="D286">
        <v>18.599599999999999</v>
      </c>
      <c r="E286">
        <v>73.780900000000003</v>
      </c>
      <c r="F286">
        <f>IF(COUNTIF($C$5:C286,C286)=1,1,0)</f>
        <v>0</v>
      </c>
      <c r="G286" s="2" t="str">
        <f t="shared" si="8"/>
        <v/>
      </c>
      <c r="H286" s="2">
        <f>MAX(0, MyBattery - (EVCleanedDataset[[#This Row],[Distance(km)]]/VehicleRangeKm)*100)</f>
        <v>0</v>
      </c>
      <c r="I286" s="2">
        <f>6371*ACOS(SIN(RADIANS(MyLat))*SIN(RADIANS(EVCleanedDataset[[#This Row],[Latitude]]))+COS(RADIANS(MyLat))*COS(RADIANS(EVCleanedDataset[[#This Row],[Latitude]]))*COS(RADIANS(EVCleanedDataset[[#This Row],[Longitude]]-MyLong)))</f>
        <v>708.50541988667328</v>
      </c>
      <c r="J286">
        <f t="shared" si="9"/>
        <v>2</v>
      </c>
      <c r="K286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50.926572802851311</v>
      </c>
      <c r="L286" t="str">
        <f>IF(EVCleanedDataset[[#This Row],[Score]]&gt;50,"Yes","No")</f>
        <v>Yes</v>
      </c>
    </row>
    <row r="287" spans="1:12" x14ac:dyDescent="0.3">
      <c r="A287" t="s">
        <v>2990</v>
      </c>
      <c r="B287" t="s">
        <v>41</v>
      </c>
      <c r="C287" t="s">
        <v>42</v>
      </c>
      <c r="D287">
        <v>18.620957400000002</v>
      </c>
      <c r="E287">
        <v>73.829984199999998</v>
      </c>
      <c r="F287">
        <f>IF(COUNTIF($C$5:C287,C287)=1,1,0)</f>
        <v>0</v>
      </c>
      <c r="G287" s="2" t="str">
        <f t="shared" si="8"/>
        <v/>
      </c>
      <c r="H287" s="2">
        <f>MAX(0, MyBattery - (EVCleanedDataset[[#This Row],[Distance(km)]]/VehicleRangeKm)*100)</f>
        <v>0</v>
      </c>
      <c r="I287" s="2">
        <f>6371*ACOS(SIN(RADIANS(MyLat))*SIN(RADIANS(EVCleanedDataset[[#This Row],[Latitude]]))+COS(RADIANS(MyLat))*COS(RADIANS(EVCleanedDataset[[#This Row],[Latitude]]))*COS(RADIANS(EVCleanedDataset[[#This Row],[Longitude]]-MyLong)))</f>
        <v>707.50101432398731</v>
      </c>
      <c r="J287">
        <f t="shared" si="9"/>
        <v>9</v>
      </c>
      <c r="K28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27.610841842902545</v>
      </c>
      <c r="L287" t="str">
        <f>IF(EVCleanedDataset[[#This Row],[Score]]&gt;50,"Yes","No")</f>
        <v>No</v>
      </c>
    </row>
    <row r="288" spans="1:12" x14ac:dyDescent="0.3">
      <c r="A288" t="s">
        <v>3350</v>
      </c>
      <c r="B288" t="s">
        <v>41</v>
      </c>
      <c r="C288" t="s">
        <v>42</v>
      </c>
      <c r="D288">
        <v>18.623429999999999</v>
      </c>
      <c r="E288">
        <v>73.745679999999993</v>
      </c>
      <c r="F288">
        <f>IF(COUNTIF($C$5:C288,C288)=1,1,0)</f>
        <v>0</v>
      </c>
      <c r="G288" s="2" t="str">
        <f t="shared" si="8"/>
        <v/>
      </c>
      <c r="H288" s="2">
        <f>MAX(0, MyBattery - (EVCleanedDataset[[#This Row],[Distance(km)]]/VehicleRangeKm)*100)</f>
        <v>0</v>
      </c>
      <c r="I288" s="2">
        <f>6371*ACOS(SIN(RADIANS(MyLat))*SIN(RADIANS(EVCleanedDataset[[#This Row],[Latitude]]))+COS(RADIANS(MyLat))*COS(RADIANS(EVCleanedDataset[[#This Row],[Latitude]]))*COS(RADIANS(EVCleanedDataset[[#This Row],[Longitude]]-MyLong)))</f>
        <v>712.80811611856302</v>
      </c>
      <c r="J288">
        <f t="shared" si="9"/>
        <v>6</v>
      </c>
      <c r="K288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37.517896845609997</v>
      </c>
      <c r="L288" t="str">
        <f>IF(EVCleanedDataset[[#This Row],[Score]]&gt;50,"Yes","No")</f>
        <v>No</v>
      </c>
    </row>
    <row r="289" spans="1:12" x14ac:dyDescent="0.3">
      <c r="A289" t="s">
        <v>1334</v>
      </c>
      <c r="B289" t="s">
        <v>49</v>
      </c>
      <c r="C289" t="s">
        <v>1335</v>
      </c>
      <c r="D289">
        <v>10.381127299999999</v>
      </c>
      <c r="E289">
        <v>77.99681425</v>
      </c>
      <c r="F289">
        <f>IF(COUNTIF($C$5:C289,C289)=1,1,0)</f>
        <v>1</v>
      </c>
      <c r="G289" s="2">
        <f t="shared" si="8"/>
        <v>333.78786715505419</v>
      </c>
      <c r="H289" s="2">
        <f>MAX(0, MyBattery - (EVCleanedDataset[[#This Row],[Distance(km)]]/VehicleRangeKm)*100)</f>
        <v>0</v>
      </c>
      <c r="I289" s="2">
        <f>6371*ACOS(SIN(RADIANS(MyLat))*SIN(RADIANS(EVCleanedDataset[[#This Row],[Latitude]]))+COS(RADIANS(MyLat))*COS(RADIANS(EVCleanedDataset[[#This Row],[Latitude]]))*COS(RADIANS(EVCleanedDataset[[#This Row],[Longitude]]-MyLong)))</f>
        <v>333.78786715505419</v>
      </c>
      <c r="J289">
        <f t="shared" si="9"/>
        <v>3</v>
      </c>
      <c r="K28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54.156525734027674</v>
      </c>
      <c r="L289" t="str">
        <f>IF(EVCleanedDataset[[#This Row],[Score]]&gt;50,"Yes","No")</f>
        <v>Yes</v>
      </c>
    </row>
    <row r="290" spans="1:12" x14ac:dyDescent="0.3">
      <c r="A290" t="s">
        <v>2840</v>
      </c>
      <c r="B290" t="s">
        <v>41</v>
      </c>
      <c r="C290" t="s">
        <v>249</v>
      </c>
      <c r="D290">
        <v>18.700500000000002</v>
      </c>
      <c r="E290">
        <v>73.693299999999994</v>
      </c>
      <c r="F290">
        <f>IF(COUNTIF($C$5:C290,C290)=1,1,0)</f>
        <v>1</v>
      </c>
      <c r="G290" s="2">
        <f t="shared" si="8"/>
        <v>722.99185475321303</v>
      </c>
      <c r="H290" s="2">
        <f>MAX(0, MyBattery - (EVCleanedDataset[[#This Row],[Distance(km)]]/VehicleRangeKm)*100)</f>
        <v>0</v>
      </c>
      <c r="I290" s="2">
        <f>6371*ACOS(SIN(RADIANS(MyLat))*SIN(RADIANS(EVCleanedDataset[[#This Row],[Latitude]]))+COS(RADIANS(MyLat))*COS(RADIANS(EVCleanedDataset[[#This Row],[Latitude]]))*COS(RADIANS(EVCleanedDataset[[#This Row],[Longitude]]-MyLong)))</f>
        <v>722.99185475321303</v>
      </c>
      <c r="J290">
        <f t="shared" si="9"/>
        <v>0</v>
      </c>
      <c r="K290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57.339546534684438</v>
      </c>
      <c r="L290" t="str">
        <f>IF(EVCleanedDataset[[#This Row],[Score]]&gt;50,"Yes","No")</f>
        <v>Yes</v>
      </c>
    </row>
    <row r="291" spans="1:12" x14ac:dyDescent="0.3">
      <c r="A291" t="s">
        <v>3028</v>
      </c>
      <c r="B291" t="s">
        <v>502</v>
      </c>
      <c r="C291" t="s">
        <v>1441</v>
      </c>
      <c r="D291">
        <v>14.7529922</v>
      </c>
      <c r="E291">
        <v>78.555076799999995</v>
      </c>
      <c r="F291">
        <f>IF(COUNTIF($C$5:C291,C291)=1,1,0)</f>
        <v>1</v>
      </c>
      <c r="G291" s="2">
        <f t="shared" si="8"/>
        <v>190.82857549880868</v>
      </c>
      <c r="H291" s="2">
        <f>MAX(0, MyBattery - (EVCleanedDataset[[#This Row],[Distance(km)]]/VehicleRangeKm)*100)</f>
        <v>6.390474833730444</v>
      </c>
      <c r="I291" s="2">
        <f>6371*ACOS(SIN(RADIANS(MyLat))*SIN(RADIANS(EVCleanedDataset[[#This Row],[Latitude]]))+COS(RADIANS(MyLat))*COS(RADIANS(EVCleanedDataset[[#This Row],[Latitude]]))*COS(RADIANS(EVCleanedDataset[[#This Row],[Longitude]]-MyLong)))</f>
        <v>190.82857549880868</v>
      </c>
      <c r="J291">
        <f t="shared" si="9"/>
        <v>7</v>
      </c>
      <c r="K291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45.244316727413207</v>
      </c>
      <c r="L291" t="str">
        <f>IF(EVCleanedDataset[[#This Row],[Score]]&gt;50,"Yes","No")</f>
        <v>No</v>
      </c>
    </row>
    <row r="292" spans="1:12" x14ac:dyDescent="0.3">
      <c r="A292" t="s">
        <v>2989</v>
      </c>
      <c r="B292" t="s">
        <v>511</v>
      </c>
      <c r="C292" t="s">
        <v>1136</v>
      </c>
      <c r="D292">
        <v>22.652030199999999</v>
      </c>
      <c r="E292">
        <v>75.821320999999998</v>
      </c>
      <c r="F292">
        <f>IF(COUNTIF($C$5:C292,C292)=1,1,0)</f>
        <v>0</v>
      </c>
      <c r="G292" s="2" t="str">
        <f t="shared" si="8"/>
        <v/>
      </c>
      <c r="H292" s="2">
        <f>MAX(0, MyBattery - (EVCleanedDataset[[#This Row],[Distance(km)]]/VehicleRangeKm)*100)</f>
        <v>0</v>
      </c>
      <c r="I292" s="2">
        <f>6371*ACOS(SIN(RADIANS(MyLat))*SIN(RADIANS(EVCleanedDataset[[#This Row],[Latitude]]))+COS(RADIANS(MyLat))*COS(RADIANS(EVCleanedDataset[[#This Row],[Latitude]]))*COS(RADIANS(EVCleanedDataset[[#This Row],[Longitude]]-MyLong)))</f>
        <v>1050.1916192211741</v>
      </c>
      <c r="J292">
        <f t="shared" si="9"/>
        <v>4</v>
      </c>
      <c r="K292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38.275260931075522</v>
      </c>
      <c r="L292" t="str">
        <f>IF(EVCleanedDataset[[#This Row],[Score]]&gt;50,"Yes","No")</f>
        <v>No</v>
      </c>
    </row>
    <row r="293" spans="1:12" x14ac:dyDescent="0.3">
      <c r="A293" t="s">
        <v>2832</v>
      </c>
      <c r="B293" t="s">
        <v>41</v>
      </c>
      <c r="C293" t="s">
        <v>221</v>
      </c>
      <c r="D293">
        <v>12.3847</v>
      </c>
      <c r="E293">
        <v>77.053200000000004</v>
      </c>
      <c r="F293">
        <f>IF(COUNTIF($C$5:C293,C293)=1,1,0)</f>
        <v>0</v>
      </c>
      <c r="G293" s="2" t="str">
        <f t="shared" si="8"/>
        <v/>
      </c>
      <c r="H293" s="2">
        <f>MAX(0, MyBattery - (EVCleanedDataset[[#This Row],[Distance(km)]]/VehicleRangeKm)*100)</f>
        <v>30.200099233070873</v>
      </c>
      <c r="I293" s="2">
        <f>6371*ACOS(SIN(RADIANS(MyLat))*SIN(RADIANS(EVCleanedDataset[[#This Row],[Latitude]]))+COS(RADIANS(MyLat))*COS(RADIANS(EVCleanedDataset[[#This Row],[Latitude]]))*COS(RADIANS(EVCleanedDataset[[#This Row],[Longitude]]-MyLong)))</f>
        <v>119.3997023007874</v>
      </c>
      <c r="J293">
        <f t="shared" si="9"/>
        <v>1</v>
      </c>
      <c r="K293" s="5">
        <f>((1-(EVCleanedDataset[[#This Row],[Distance(km)]]/MAX($I$5:$I$1121)))*0.4 + (1-(EVCleanedDataset[[#This Row],[QueueLength]]/MAX($J$5:$J$1121)))*0.3 + (EVCleanedDataset[[#This Row],[EstimatedBatteryOnArrival]]/100)*0.3 + (ROW()/10000000))*100</f>
        <v>73.638315692285801</v>
      </c>
      <c r="L293" t="str">
        <f>IF(EVCleanedDataset[[#This Row],[Score]]&gt;50,"Yes","No")</f>
        <v>Yes</v>
      </c>
    </row>
    <row r="294" spans="1:12" x14ac:dyDescent="0.3">
      <c r="A294" t="s">
        <v>2646</v>
      </c>
      <c r="B294" t="s">
        <v>386</v>
      </c>
      <c r="C294" t="s">
        <v>2648</v>
      </c>
      <c r="D294">
        <v>9.1621728000000004</v>
      </c>
      <c r="E294">
        <v>76.721936499999998</v>
      </c>
      <c r="F294">
        <f>IF(COUNTIF($C$5:C294,C294)=1,1,0)</f>
        <v>1</v>
      </c>
      <c r="G294" s="2">
        <f t="shared" si="8"/>
        <v>473.98274805697491</v>
      </c>
      <c r="H294" s="2">
        <f>MAX(0, MyBattery - (EVCleanedDataset[[#This Row],[Distance(km)]]/VehicleRangeKm)*100)</f>
        <v>0</v>
      </c>
      <c r="I294" s="2">
        <f>6371*ACOS(SIN(RADIANS(MyLat))*SIN(RADIANS(EVCleanedDataset[[#This Row],[Latitude]]))+COS(RADIANS(MyLat))*COS(RADIANS(EVCleanedDataset[[#This Row],[Latitude]]))*COS(RADIANS(EVCleanedDataset[[#This Row],[Longitude]]-MyLong)))</f>
        <v>473.98274805697491</v>
      </c>
      <c r="J294">
        <f t="shared" si="9"/>
        <v>8</v>
      </c>
      <c r="K294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35.034366422976952</v>
      </c>
      <c r="L294" t="str">
        <f>IF(EVCleanedDataset[[#This Row],[Score]]&gt;50,"Yes","No")</f>
        <v>No</v>
      </c>
    </row>
    <row r="295" spans="1:12" x14ac:dyDescent="0.3">
      <c r="A295" t="s">
        <v>2786</v>
      </c>
      <c r="B295" t="s">
        <v>41</v>
      </c>
      <c r="C295" t="s">
        <v>61</v>
      </c>
      <c r="D295">
        <v>18.787600000000001</v>
      </c>
      <c r="E295">
        <v>73.347499999999997</v>
      </c>
      <c r="F295">
        <f>IF(COUNTIF($C$5:C295,C295)=1,1,0)</f>
        <v>1</v>
      </c>
      <c r="G295" s="2">
        <f t="shared" si="8"/>
        <v>752.29368508357152</v>
      </c>
      <c r="H295" s="2">
        <f>MAX(0, MyBattery - (EVCleanedDataset[[#This Row],[Distance(km)]]/VehicleRangeKm)*100)</f>
        <v>0</v>
      </c>
      <c r="I295" s="2">
        <f>6371*ACOS(SIN(RADIANS(MyLat))*SIN(RADIANS(EVCleanedDataset[[#This Row],[Latitude]]))+COS(RADIANS(MyLat))*COS(RADIANS(EVCleanedDataset[[#This Row],[Latitude]]))*COS(RADIANS(EVCleanedDataset[[#This Row],[Longitude]]-MyLong)))</f>
        <v>752.29368508357152</v>
      </c>
      <c r="J295">
        <f t="shared" si="9"/>
        <v>5</v>
      </c>
      <c r="K295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40.15970218472571</v>
      </c>
      <c r="L295" t="str">
        <f>IF(EVCleanedDataset[[#This Row],[Score]]&gt;50,"Yes","No")</f>
        <v>No</v>
      </c>
    </row>
    <row r="296" spans="1:12" x14ac:dyDescent="0.3">
      <c r="A296" t="s">
        <v>3319</v>
      </c>
      <c r="B296" t="s">
        <v>41</v>
      </c>
      <c r="C296" t="s">
        <v>1845</v>
      </c>
      <c r="D296">
        <v>18.79344</v>
      </c>
      <c r="E296">
        <v>73.297239000000005</v>
      </c>
      <c r="F296">
        <f>IF(COUNTIF($C$5:C296,C296)=1,1,0)</f>
        <v>1</v>
      </c>
      <c r="G296" s="2">
        <f t="shared" si="8"/>
        <v>756.01446198432654</v>
      </c>
      <c r="H296" s="2">
        <f>MAX(0, MyBattery - (EVCleanedDataset[[#This Row],[Distance(km)]]/VehicleRangeKm)*100)</f>
        <v>0</v>
      </c>
      <c r="I296" s="2">
        <f>6371*ACOS(SIN(RADIANS(MyLat))*SIN(RADIANS(EVCleanedDataset[[#This Row],[Latitude]]))+COS(RADIANS(MyLat))*COS(RADIANS(EVCleanedDataset[[#This Row],[Latitude]]))*COS(RADIANS(EVCleanedDataset[[#This Row],[Longitude]]-MyLong)))</f>
        <v>756.01446198432654</v>
      </c>
      <c r="J296">
        <f t="shared" si="9"/>
        <v>2</v>
      </c>
      <c r="K296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50.094541999543019</v>
      </c>
      <c r="L296" t="str">
        <f>IF(EVCleanedDataset[[#This Row],[Score]]&gt;50,"Yes","No")</f>
        <v>Yes</v>
      </c>
    </row>
    <row r="297" spans="1:12" x14ac:dyDescent="0.3">
      <c r="A297" t="s">
        <v>2798</v>
      </c>
      <c r="B297" t="s">
        <v>41</v>
      </c>
      <c r="C297" t="s">
        <v>42</v>
      </c>
      <c r="D297">
        <v>17.0749</v>
      </c>
      <c r="E297">
        <v>74.222700000000003</v>
      </c>
      <c r="F297">
        <f>IF(COUNTIF($C$5:C297,C297)=1,1,0)</f>
        <v>0</v>
      </c>
      <c r="G297" s="2" t="str">
        <f t="shared" si="8"/>
        <v/>
      </c>
      <c r="H297" s="2">
        <f>MAX(0, MyBattery - (EVCleanedDataset[[#This Row],[Distance(km)]]/VehicleRangeKm)*100)</f>
        <v>0</v>
      </c>
      <c r="I297" s="2">
        <f>6371*ACOS(SIN(RADIANS(MyLat))*SIN(RADIANS(EVCleanedDataset[[#This Row],[Latitude]]))+COS(RADIANS(MyLat))*COS(RADIANS(EVCleanedDataset[[#This Row],[Latitude]]))*COS(RADIANS(EVCleanedDataset[[#This Row],[Longitude]]-MyLong)))</f>
        <v>545.96923864434461</v>
      </c>
      <c r="J297">
        <f t="shared" si="9"/>
        <v>9</v>
      </c>
      <c r="K297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30.440204659438152</v>
      </c>
      <c r="L297" t="str">
        <f>IF(EVCleanedDataset[[#This Row],[Score]]&gt;50,"Yes","No")</f>
        <v>No</v>
      </c>
    </row>
    <row r="298" spans="1:12" x14ac:dyDescent="0.3">
      <c r="A298" t="s">
        <v>1269</v>
      </c>
      <c r="B298" t="s">
        <v>41</v>
      </c>
      <c r="C298" t="s">
        <v>42</v>
      </c>
      <c r="D298">
        <v>18.991327290000001</v>
      </c>
      <c r="E298">
        <v>73.942779540000004</v>
      </c>
      <c r="F298">
        <f>IF(COUNTIF($C$5:C298,C298)=1,1,0)</f>
        <v>0</v>
      </c>
      <c r="G298" s="2" t="str">
        <f t="shared" si="8"/>
        <v/>
      </c>
      <c r="H298" s="2">
        <f>MAX(0, MyBattery - (EVCleanedDataset[[#This Row],[Distance(km)]]/VehicleRangeKm)*100)</f>
        <v>0</v>
      </c>
      <c r="I298" s="2">
        <f>6371*ACOS(SIN(RADIANS(MyLat))*SIN(RADIANS(EVCleanedDataset[[#This Row],[Latitude]]))+COS(RADIANS(MyLat))*COS(RADIANS(EVCleanedDataset[[#This Row],[Latitude]]))*COS(RADIANS(EVCleanedDataset[[#This Row],[Longitude]]-MyLong)))</f>
        <v>735.41824161623128</v>
      </c>
      <c r="J298">
        <f t="shared" si="9"/>
        <v>6</v>
      </c>
      <c r="K298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37.121975771251073</v>
      </c>
      <c r="L298" t="str">
        <f>IF(EVCleanedDataset[[#This Row],[Score]]&gt;50,"Yes","No")</f>
        <v>No</v>
      </c>
    </row>
    <row r="299" spans="1:12" x14ac:dyDescent="0.3">
      <c r="A299" t="s">
        <v>3010</v>
      </c>
      <c r="B299" t="s">
        <v>502</v>
      </c>
      <c r="C299" t="s">
        <v>1351</v>
      </c>
      <c r="D299">
        <v>13.479943799999999</v>
      </c>
      <c r="E299">
        <v>79.189790299999999</v>
      </c>
      <c r="F299">
        <f>IF(COUNTIF($C$5:C299,C299)=1,1,0)</f>
        <v>1</v>
      </c>
      <c r="G299" s="2">
        <f t="shared" si="8"/>
        <v>179.30352069471439</v>
      </c>
      <c r="H299" s="2">
        <f>MAX(0, MyBattery - (EVCleanedDataset[[#This Row],[Distance(km)]]/VehicleRangeKm)*100)</f>
        <v>10.232159768428531</v>
      </c>
      <c r="I299" s="2">
        <f>6371*ACOS(SIN(RADIANS(MyLat))*SIN(RADIANS(EVCleanedDataset[[#This Row],[Latitude]]))+COS(RADIANS(MyLat))*COS(RADIANS(EVCleanedDataset[[#This Row],[Latitude]]))*COS(RADIANS(EVCleanedDataset[[#This Row],[Longitude]]-MyLong)))</f>
        <v>179.30352069471439</v>
      </c>
      <c r="J299">
        <f t="shared" si="9"/>
        <v>3</v>
      </c>
      <c r="K299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59.93209928516896</v>
      </c>
      <c r="L299" t="str">
        <f>IF(EVCleanedDataset[[#This Row],[Score]]&gt;50,"Yes","No")</f>
        <v>Yes</v>
      </c>
    </row>
    <row r="300" spans="1:12" x14ac:dyDescent="0.3">
      <c r="A300" t="s">
        <v>3228</v>
      </c>
      <c r="B300" t="s">
        <v>49</v>
      </c>
      <c r="C300" t="s">
        <v>2748</v>
      </c>
      <c r="D300">
        <v>11.03248</v>
      </c>
      <c r="E300">
        <v>78.808009999999996</v>
      </c>
      <c r="F300">
        <f>IF(COUNTIF($C$5:C300,C300)=1,1,0)</f>
        <v>0</v>
      </c>
      <c r="G300" s="2" t="str">
        <f t="shared" si="8"/>
        <v/>
      </c>
      <c r="H300" s="2">
        <f>MAX(0, MyBattery - (EVCleanedDataset[[#This Row],[Distance(km)]]/VehicleRangeKm)*100)</f>
        <v>0</v>
      </c>
      <c r="I300" s="2">
        <f>6371*ACOS(SIN(RADIANS(MyLat))*SIN(RADIANS(EVCleanedDataset[[#This Row],[Latitude]]))+COS(RADIANS(MyLat))*COS(RADIANS(EVCleanedDataset[[#This Row],[Latitude]]))*COS(RADIANS(EVCleanedDataset[[#This Row],[Longitude]]-MyLong)))</f>
        <v>292.27064099874707</v>
      </c>
      <c r="J300">
        <f t="shared" si="9"/>
        <v>0</v>
      </c>
      <c r="K30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64.883818628634728</v>
      </c>
      <c r="L300" t="str">
        <f>IF(EVCleanedDataset[[#This Row],[Score]]&gt;50,"Yes","No")</f>
        <v>Yes</v>
      </c>
    </row>
    <row r="301" spans="1:12" x14ac:dyDescent="0.3">
      <c r="A301" t="s">
        <v>920</v>
      </c>
      <c r="B301" t="s">
        <v>41</v>
      </c>
      <c r="C301" t="s">
        <v>119</v>
      </c>
      <c r="D301">
        <v>18.9014249045997</v>
      </c>
      <c r="E301">
        <v>73.236578853307904</v>
      </c>
      <c r="F301">
        <f>IF(COUNTIF($C$5:C301,C301)=1,1,0)</f>
        <v>0</v>
      </c>
      <c r="G301" s="2" t="str">
        <f t="shared" si="8"/>
        <v/>
      </c>
      <c r="H301" s="2">
        <f>MAX(0, MyBattery - (EVCleanedDataset[[#This Row],[Distance(km)]]/VehicleRangeKm)*100)</f>
        <v>0</v>
      </c>
      <c r="I301" s="2">
        <f>6371*ACOS(SIN(RADIANS(MyLat))*SIN(RADIANS(EVCleanedDataset[[#This Row],[Latitude]]))+COS(RADIANS(MyLat))*COS(RADIANS(EVCleanedDataset[[#This Row],[Latitude]]))*COS(RADIANS(EVCleanedDataset[[#This Row],[Longitude]]-MyLong)))</f>
        <v>769.43242101132819</v>
      </c>
      <c r="J301">
        <f t="shared" si="9"/>
        <v>7</v>
      </c>
      <c r="K301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33.192906975719275</v>
      </c>
      <c r="L301" t="str">
        <f>IF(EVCleanedDataset[[#This Row],[Score]]&gt;50,"Yes","No")</f>
        <v>No</v>
      </c>
    </row>
    <row r="302" spans="1:12" x14ac:dyDescent="0.3">
      <c r="A302" t="s">
        <v>1331</v>
      </c>
      <c r="B302" t="s">
        <v>14</v>
      </c>
      <c r="C302" t="s">
        <v>1332</v>
      </c>
      <c r="D302">
        <v>24.827664500000001</v>
      </c>
      <c r="E302">
        <v>74.627293499999993</v>
      </c>
      <c r="F302">
        <f>IF(COUNTIF($C$5:C302,C302)=1,1,0)</f>
        <v>1</v>
      </c>
      <c r="G302" s="2">
        <f t="shared" si="8"/>
        <v>1312.3168661749596</v>
      </c>
      <c r="H302" s="2">
        <f>MAX(0, MyBattery - (EVCleanedDataset[[#This Row],[Distance(km)]]/VehicleRangeKm)*100)</f>
        <v>0</v>
      </c>
      <c r="I302" s="2">
        <f>6371*ACOS(SIN(RADIANS(MyLat))*SIN(RADIANS(EVCleanedDataset[[#This Row],[Latitude]]))+COS(RADIANS(MyLat))*COS(RADIANS(EVCleanedDataset[[#This Row],[Latitude]]))*COS(RADIANS(EVCleanedDataset[[#This Row],[Longitude]]-MyLong)))</f>
        <v>1312.3168661749596</v>
      </c>
      <c r="J302">
        <f t="shared" si="9"/>
        <v>4</v>
      </c>
      <c r="K302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33.684182437796423</v>
      </c>
      <c r="L302" t="str">
        <f>IF(EVCleanedDataset[[#This Row],[Score]]&gt;50,"Yes","No")</f>
        <v>No</v>
      </c>
    </row>
    <row r="303" spans="1:12" x14ac:dyDescent="0.3">
      <c r="A303" t="s">
        <v>3095</v>
      </c>
      <c r="B303" t="s">
        <v>386</v>
      </c>
      <c r="C303" t="s">
        <v>1647</v>
      </c>
      <c r="D303">
        <v>8.8929991430000008</v>
      </c>
      <c r="E303">
        <v>76.579392179999999</v>
      </c>
      <c r="F303">
        <f>IF(COUNTIF($C$5:C303,C303)=1,1,0)</f>
        <v>1</v>
      </c>
      <c r="G303" s="2">
        <f t="shared" si="8"/>
        <v>504.97787871704816</v>
      </c>
      <c r="H303" s="2">
        <f>MAX(0, MyBattery - (EVCleanedDataset[[#This Row],[Distance(km)]]/VehicleRangeKm)*100)</f>
        <v>0</v>
      </c>
      <c r="I303" s="2">
        <f>6371*ACOS(SIN(RADIANS(MyLat))*SIN(RADIANS(EVCleanedDataset[[#This Row],[Latitude]]))+COS(RADIANS(MyLat))*COS(RADIANS(EVCleanedDataset[[#This Row],[Latitude]]))*COS(RADIANS(EVCleanedDataset[[#This Row],[Longitude]]-MyLong)))</f>
        <v>506.39898558414865</v>
      </c>
      <c r="J303">
        <f t="shared" si="9"/>
        <v>1</v>
      </c>
      <c r="K303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57.800012579951435</v>
      </c>
      <c r="L303" t="str">
        <f>IF(EVCleanedDataset[[#This Row],[Score]]&gt;50,"Yes","No")</f>
        <v>Yes</v>
      </c>
    </row>
    <row r="304" spans="1:12" x14ac:dyDescent="0.3">
      <c r="A304" t="s">
        <v>560</v>
      </c>
      <c r="B304" t="s">
        <v>150</v>
      </c>
      <c r="C304" t="s">
        <v>2751</v>
      </c>
      <c r="D304">
        <v>15.351171000000001</v>
      </c>
      <c r="E304">
        <v>75.126191000000006</v>
      </c>
      <c r="F304">
        <f>IF(COUNTIF($C$5:C304,C304)=1,1,0)</f>
        <v>0</v>
      </c>
      <c r="G304" s="2" t="str">
        <f t="shared" si="8"/>
        <v/>
      </c>
      <c r="H304" s="2">
        <f>MAX(0, MyBattery - (EVCleanedDataset[[#This Row],[Distance(km)]]/VehicleRangeKm)*100)</f>
        <v>0</v>
      </c>
      <c r="I304" s="2">
        <f>6371*ACOS(SIN(RADIANS(MyLat))*SIN(RADIANS(EVCleanedDataset[[#This Row],[Latitude]]))+COS(RADIANS(MyLat))*COS(RADIANS(EVCleanedDataset[[#This Row],[Latitude]]))*COS(RADIANS(EVCleanedDataset[[#This Row],[Longitude]]-MyLong)))</f>
        <v>342.0899266769012</v>
      </c>
      <c r="J304">
        <f t="shared" si="9"/>
        <v>8</v>
      </c>
      <c r="K304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37.344596759429642</v>
      </c>
      <c r="L304" t="str">
        <f>IF(EVCleanedDataset[[#This Row],[Score]]&gt;50,"Yes","No")</f>
        <v>No</v>
      </c>
    </row>
    <row r="305" spans="1:12" x14ac:dyDescent="0.3">
      <c r="A305" t="s">
        <v>2200</v>
      </c>
      <c r="B305" t="s">
        <v>68</v>
      </c>
      <c r="C305" t="s">
        <v>1288</v>
      </c>
      <c r="D305">
        <v>22.227526000000001</v>
      </c>
      <c r="E305">
        <v>70.801091999999997</v>
      </c>
      <c r="F305">
        <f>IF(COUNTIF($C$5:C305,C305)=1,1,0)</f>
        <v>1</v>
      </c>
      <c r="G305" s="2">
        <f t="shared" si="8"/>
        <v>1217.1501321214173</v>
      </c>
      <c r="H305" s="2">
        <f>MAX(0, MyBattery - (EVCleanedDataset[[#This Row],[Distance(km)]]/VehicleRangeKm)*100)</f>
        <v>0</v>
      </c>
      <c r="I305" s="2">
        <f>6371*ACOS(SIN(RADIANS(MyLat))*SIN(RADIANS(EVCleanedDataset[[#This Row],[Latitude]]))+COS(RADIANS(MyLat))*COS(RADIANS(EVCleanedDataset[[#This Row],[Latitude]]))*COS(RADIANS(EVCleanedDataset[[#This Row],[Longitude]]-MyLong)))</f>
        <v>1217.3576561918226</v>
      </c>
      <c r="J305">
        <f t="shared" si="9"/>
        <v>5</v>
      </c>
      <c r="K305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32.014109516946846</v>
      </c>
      <c r="L305" t="str">
        <f>IF(EVCleanedDataset[[#This Row],[Score]]&gt;50,"Yes","No")</f>
        <v>No</v>
      </c>
    </row>
    <row r="306" spans="1:12" x14ac:dyDescent="0.3">
      <c r="A306" t="s">
        <v>3180</v>
      </c>
      <c r="B306" t="s">
        <v>150</v>
      </c>
      <c r="C306" t="s">
        <v>1341</v>
      </c>
      <c r="D306">
        <v>13.06689523</v>
      </c>
      <c r="E306">
        <v>77.444309739999994</v>
      </c>
      <c r="F306">
        <f>IF(COUNTIF($C$5:C306,C306)=1,1,0)</f>
        <v>0</v>
      </c>
      <c r="G306" s="2" t="str">
        <f t="shared" si="8"/>
        <v/>
      </c>
      <c r="H306" s="2">
        <f>MAX(0, MyBattery - (EVCleanedDataset[[#This Row],[Distance(km)]]/VehicleRangeKm)*100)</f>
        <v>59.012110525415871</v>
      </c>
      <c r="I306" s="2">
        <f>6371*ACOS(SIN(RADIANS(MyLat))*SIN(RADIANS(EVCleanedDataset[[#This Row],[Latitude]]))+COS(RADIANS(MyLat))*COS(RADIANS(EVCleanedDataset[[#This Row],[Latitude]]))*COS(RADIANS(EVCleanedDataset[[#This Row],[Longitude]]-MyLong)))</f>
        <v>32.963668423752381</v>
      </c>
      <c r="J306">
        <f t="shared" si="9"/>
        <v>2</v>
      </c>
      <c r="K306" s="5">
        <f>((1-(EVCleanedDataset[[#This Row],[Distance(km)]]/MAX($I$5:$I$1121)))*0.4 + (1-(EVCleanedDataset[[#This Row],[QueueLength]]/MAX($J$5:$J$1121)))*0.3 + (EVCleanedDataset[[#This Row],[EstimatedBatteryOnArrival]]/100)*0.3 + (ROW()/10000000))*100</f>
        <v>80.462660948014445</v>
      </c>
      <c r="L306" t="str">
        <f>IF(EVCleanedDataset[[#This Row],[Score]]&gt;50,"Yes","No")</f>
        <v>Yes</v>
      </c>
    </row>
    <row r="307" spans="1:12" x14ac:dyDescent="0.3">
      <c r="A307" t="s">
        <v>2766</v>
      </c>
      <c r="B307" t="s">
        <v>150</v>
      </c>
      <c r="C307" t="s">
        <v>1341</v>
      </c>
      <c r="D307">
        <v>12.9019627</v>
      </c>
      <c r="E307">
        <v>77.468995000000007</v>
      </c>
      <c r="F307">
        <f>IF(COUNTIF($C$5:C307,C307)=1,1,0)</f>
        <v>0</v>
      </c>
      <c r="G307" s="2" t="str">
        <f t="shared" si="8"/>
        <v/>
      </c>
      <c r="H307" s="2">
        <f>MAX(0, MyBattery - (EVCleanedDataset[[#This Row],[Distance(km)]]/VehicleRangeKm)*100)</f>
        <v>53.242697850610845</v>
      </c>
      <c r="I307" s="2">
        <f>6371*ACOS(SIN(RADIANS(MyLat))*SIN(RADIANS(EVCleanedDataset[[#This Row],[Latitude]]))+COS(RADIANS(MyLat))*COS(RADIANS(EVCleanedDataset[[#This Row],[Latitude]]))*COS(RADIANS(EVCleanedDataset[[#This Row],[Longitude]]-MyLong)))</f>
        <v>50.271906448167471</v>
      </c>
      <c r="J307">
        <f t="shared" si="9"/>
        <v>9</v>
      </c>
      <c r="K307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55.09535640524529</v>
      </c>
      <c r="L307" t="str">
        <f>IF(EVCleanedDataset[[#This Row],[Score]]&gt;50,"Yes","No")</f>
        <v>Yes</v>
      </c>
    </row>
    <row r="308" spans="1:12" x14ac:dyDescent="0.3">
      <c r="A308" t="s">
        <v>3270</v>
      </c>
      <c r="B308" t="s">
        <v>41</v>
      </c>
      <c r="C308" t="s">
        <v>119</v>
      </c>
      <c r="D308">
        <v>18.96555</v>
      </c>
      <c r="E308">
        <v>72.803460000000001</v>
      </c>
      <c r="F308">
        <f>IF(COUNTIF($C$5:C308,C308)=1,1,0)</f>
        <v>0</v>
      </c>
      <c r="G308" s="2" t="str">
        <f t="shared" si="8"/>
        <v/>
      </c>
      <c r="H308" s="2">
        <f>MAX(0, MyBattery - (EVCleanedDataset[[#This Row],[Distance(km)]]/VehicleRangeKm)*100)</f>
        <v>0</v>
      </c>
      <c r="I308" s="2">
        <f>6371*ACOS(SIN(RADIANS(MyLat))*SIN(RADIANS(EVCleanedDataset[[#This Row],[Latitude]]))+COS(RADIANS(MyLat))*COS(RADIANS(EVCleanedDataset[[#This Row],[Latitude]]))*COS(RADIANS(EVCleanedDataset[[#This Row],[Longitude]]-MyLong)))</f>
        <v>803.36627598211828</v>
      </c>
      <c r="J308">
        <f t="shared" si="9"/>
        <v>6</v>
      </c>
      <c r="K30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35.931951745936367</v>
      </c>
      <c r="L308" t="str">
        <f>IF(EVCleanedDataset[[#This Row],[Score]]&gt;50,"Yes","No")</f>
        <v>No</v>
      </c>
    </row>
    <row r="309" spans="1:12" x14ac:dyDescent="0.3">
      <c r="A309" t="s">
        <v>3384</v>
      </c>
      <c r="B309" t="s">
        <v>502</v>
      </c>
      <c r="C309" t="s">
        <v>1346</v>
      </c>
      <c r="D309">
        <v>13.625373099999999</v>
      </c>
      <c r="E309">
        <v>79.432233299999993</v>
      </c>
      <c r="F309">
        <f>IF(COUNTIF($C$5:C309,C309)=1,1,0)</f>
        <v>0</v>
      </c>
      <c r="G309" s="2" t="str">
        <f t="shared" si="8"/>
        <v/>
      </c>
      <c r="H309" s="2">
        <f>MAX(0, MyBattery - (EVCleanedDataset[[#This Row],[Distance(km)]]/VehicleRangeKm)*100)</f>
        <v>0.94569852464427129</v>
      </c>
      <c r="I309" s="2">
        <f>6371*ACOS(SIN(RADIANS(MyLat))*SIN(RADIANS(EVCleanedDataset[[#This Row],[Latitude]]))+COS(RADIANS(MyLat))*COS(RADIANS(EVCleanedDataset[[#This Row],[Latitude]]))*COS(RADIANS(EVCleanedDataset[[#This Row],[Longitude]]-MyLong)))</f>
        <v>207.16290442606717</v>
      </c>
      <c r="J309">
        <f t="shared" si="9"/>
        <v>3</v>
      </c>
      <c r="K309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56.658297982442427</v>
      </c>
      <c r="L309" t="str">
        <f>IF(EVCleanedDataset[[#This Row],[Score]]&gt;50,"Yes","No")</f>
        <v>Yes</v>
      </c>
    </row>
    <row r="310" spans="1:12" x14ac:dyDescent="0.3">
      <c r="A310" t="s">
        <v>2919</v>
      </c>
      <c r="B310" t="s">
        <v>41</v>
      </c>
      <c r="C310" t="s">
        <v>119</v>
      </c>
      <c r="D310">
        <v>19.04527839</v>
      </c>
      <c r="E310">
        <v>72.841681589999993</v>
      </c>
      <c r="F310">
        <f>IF(COUNTIF($C$5:C310,C310)=1,1,0)</f>
        <v>0</v>
      </c>
      <c r="G310" s="2" t="str">
        <f t="shared" si="8"/>
        <v/>
      </c>
      <c r="H310" s="2">
        <f>MAX(0, MyBattery - (EVCleanedDataset[[#This Row],[Distance(km)]]/VehicleRangeKm)*100)</f>
        <v>0</v>
      </c>
      <c r="I310" s="2">
        <f>6371*ACOS(SIN(RADIANS(MyLat))*SIN(RADIANS(EVCleanedDataset[[#This Row],[Latitude]]))+COS(RADIANS(MyLat))*COS(RADIANS(EVCleanedDataset[[#This Row],[Latitude]]))*COS(RADIANS(EVCleanedDataset[[#This Row],[Longitude]]-MyLong)))</f>
        <v>807.67159237709461</v>
      </c>
      <c r="J310">
        <f t="shared" si="9"/>
        <v>0</v>
      </c>
      <c r="K310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55.85656322932423</v>
      </c>
      <c r="L310" t="str">
        <f>IF(EVCleanedDataset[[#This Row],[Score]]&gt;50,"Yes","No")</f>
        <v>Yes</v>
      </c>
    </row>
    <row r="311" spans="1:12" x14ac:dyDescent="0.3">
      <c r="A311" t="s">
        <v>930</v>
      </c>
      <c r="B311" t="s">
        <v>502</v>
      </c>
      <c r="C311" t="s">
        <v>1346</v>
      </c>
      <c r="D311">
        <v>13.6292765</v>
      </c>
      <c r="E311">
        <v>79.461988300000002</v>
      </c>
      <c r="F311">
        <f>IF(COUNTIF($C$5:C311,C311)=1,1,0)</f>
        <v>0</v>
      </c>
      <c r="G311" s="2" t="str">
        <f t="shared" si="8"/>
        <v/>
      </c>
      <c r="H311" s="2">
        <f>MAX(0, MyBattery - (EVCleanedDataset[[#This Row],[Distance(km)]]/VehicleRangeKm)*100)</f>
        <v>0</v>
      </c>
      <c r="I311" s="2">
        <f>6371*ACOS(SIN(RADIANS(MyLat))*SIN(RADIANS(EVCleanedDataset[[#This Row],[Latitude]]))+COS(RADIANS(MyLat))*COS(RADIANS(EVCleanedDataset[[#This Row],[Latitude]]))*COS(RADIANS(EVCleanedDataset[[#This Row],[Longitude]]-MyLong)))</f>
        <v>210.40734643408615</v>
      </c>
      <c r="J311">
        <f t="shared" si="9"/>
        <v>7</v>
      </c>
      <c r="K311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42.984448011749215</v>
      </c>
      <c r="L311" t="str">
        <f>IF(EVCleanedDataset[[#This Row],[Score]]&gt;50,"Yes","No")</f>
        <v>No</v>
      </c>
    </row>
    <row r="312" spans="1:12" x14ac:dyDescent="0.3">
      <c r="A312" t="s">
        <v>2865</v>
      </c>
      <c r="B312" t="s">
        <v>150</v>
      </c>
      <c r="C312" t="s">
        <v>1341</v>
      </c>
      <c r="D312">
        <v>13.028052000000001</v>
      </c>
      <c r="E312">
        <v>77.572997000000001</v>
      </c>
      <c r="F312">
        <f>IF(COUNTIF($C$5:C312,C312)=1,1,0)</f>
        <v>0</v>
      </c>
      <c r="G312" s="2" t="str">
        <f t="shared" si="8"/>
        <v/>
      </c>
      <c r="H312" s="2">
        <f>MAX(0, MyBattery - (EVCleanedDataset[[#This Row],[Distance(km)]]/VehicleRangeKm)*100)</f>
        <v>58.030978053491296</v>
      </c>
      <c r="I312" s="2">
        <f>6371*ACOS(SIN(RADIANS(MyLat))*SIN(RADIANS(EVCleanedDataset[[#This Row],[Latitude]]))+COS(RADIANS(MyLat))*COS(RADIANS(EVCleanedDataset[[#This Row],[Latitude]]))*COS(RADIANS(EVCleanedDataset[[#This Row],[Longitude]]-MyLong)))</f>
        <v>35.907065839526126</v>
      </c>
      <c r="J312">
        <f t="shared" si="9"/>
        <v>4</v>
      </c>
      <c r="K312" s="5">
        <f>((1-(EVCleanedDataset[[#This Row],[Distance(km)]]/MAX($I$5:$I$1121)))*0.4 + (1-(EVCleanedDataset[[#This Row],[QueueLength]]/MAX($J$5:$J$1121)))*0.3 + (EVCleanedDataset[[#This Row],[EstimatedBatteryOnArrival]]/100)*0.3 + (ROW()/10000000))*100</f>
        <v>73.450160318765285</v>
      </c>
      <c r="L312" t="str">
        <f>IF(EVCleanedDataset[[#This Row],[Score]]&gt;50,"Yes","No")</f>
        <v>Yes</v>
      </c>
    </row>
    <row r="313" spans="1:12" x14ac:dyDescent="0.3">
      <c r="A313" t="s">
        <v>833</v>
      </c>
      <c r="B313" t="s">
        <v>150</v>
      </c>
      <c r="C313" t="s">
        <v>1341</v>
      </c>
      <c r="D313">
        <v>12.863595</v>
      </c>
      <c r="E313">
        <v>77.590926999999994</v>
      </c>
      <c r="F313">
        <f>IF(COUNTIF($C$5:C313,C313)=1,1,0)</f>
        <v>0</v>
      </c>
      <c r="G313" s="2" t="str">
        <f t="shared" si="8"/>
        <v/>
      </c>
      <c r="H313" s="2">
        <f>MAX(0, MyBattery - (EVCleanedDataset[[#This Row],[Distance(km)]]/VehicleRangeKm)*100)</f>
        <v>51.901073554912493</v>
      </c>
      <c r="I313" s="2">
        <f>6371*ACOS(SIN(RADIANS(MyLat))*SIN(RADIANS(EVCleanedDataset[[#This Row],[Latitude]]))+COS(RADIANS(MyLat))*COS(RADIANS(EVCleanedDataset[[#This Row],[Latitude]]))*COS(RADIANS(EVCleanedDataset[[#This Row],[Longitude]]-MyLong)))</f>
        <v>54.296779335262521</v>
      </c>
      <c r="J313">
        <f t="shared" si="9"/>
        <v>1</v>
      </c>
      <c r="K313" s="5">
        <f>((1-(EVCleanedDataset[[#This Row],[Distance(km)]]/MAX($I$5:$I$1121)))*0.4 + (1-(EVCleanedDataset[[#This Row],[QueueLength]]/MAX($J$5:$J$1121)))*0.3 + (EVCleanedDataset[[#This Row],[EstimatedBatteryOnArrival]]/100)*0.3 + (ROW()/10000000))*100</f>
        <v>81.289099293252846</v>
      </c>
      <c r="L313" t="str">
        <f>IF(EVCleanedDataset[[#This Row],[Score]]&gt;50,"Yes","No")</f>
        <v>Yes</v>
      </c>
    </row>
    <row r="314" spans="1:12" x14ac:dyDescent="0.3">
      <c r="A314" t="s">
        <v>2760</v>
      </c>
      <c r="B314" t="s">
        <v>41</v>
      </c>
      <c r="C314" t="s">
        <v>119</v>
      </c>
      <c r="D314">
        <v>19.105143210000001</v>
      </c>
      <c r="E314">
        <v>72.886901199999997</v>
      </c>
      <c r="F314">
        <f>IF(COUNTIF($C$5:C314,C314)=1,1,0)</f>
        <v>0</v>
      </c>
      <c r="G314" s="2" t="str">
        <f t="shared" si="8"/>
        <v/>
      </c>
      <c r="H314" s="2">
        <f>MAX(0, MyBattery - (EVCleanedDataset[[#This Row],[Distance(km)]]/VehicleRangeKm)*100)</f>
        <v>0</v>
      </c>
      <c r="I314" s="2">
        <f>6371*ACOS(SIN(RADIANS(MyLat))*SIN(RADIANS(EVCleanedDataset[[#This Row],[Latitude]]))+COS(RADIANS(MyLat))*COS(RADIANS(EVCleanedDataset[[#This Row],[Latitude]]))*COS(RADIANS(EVCleanedDataset[[#This Row],[Longitude]]-MyLong)))</f>
        <v>809.88643435456447</v>
      </c>
      <c r="J314">
        <f t="shared" si="9"/>
        <v>8</v>
      </c>
      <c r="K31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29.151143142446635</v>
      </c>
      <c r="L314" t="str">
        <f>IF(EVCleanedDataset[[#This Row],[Score]]&gt;50,"Yes","No")</f>
        <v>No</v>
      </c>
    </row>
    <row r="315" spans="1:12" x14ac:dyDescent="0.3">
      <c r="A315" t="s">
        <v>650</v>
      </c>
      <c r="B315" t="s">
        <v>150</v>
      </c>
      <c r="C315" t="s">
        <v>1341</v>
      </c>
      <c r="D315">
        <v>12.971272000000001</v>
      </c>
      <c r="E315">
        <v>77.614552000000003</v>
      </c>
      <c r="F315">
        <f>IF(COUNTIF($C$5:C315,C315)=1,1,0)</f>
        <v>0</v>
      </c>
      <c r="G315" s="2" t="str">
        <f t="shared" si="8"/>
        <v/>
      </c>
      <c r="H315" s="2">
        <f>MAX(0, MyBattery - (EVCleanedDataset[[#This Row],[Distance(km)]]/VehicleRangeKm)*100)</f>
        <v>55.721769675594032</v>
      </c>
      <c r="I315" s="2">
        <f>6371*ACOS(SIN(RADIANS(MyLat))*SIN(RADIANS(EVCleanedDataset[[#This Row],[Latitude]]))+COS(RADIANS(MyLat))*COS(RADIANS(EVCleanedDataset[[#This Row],[Latitude]]))*COS(RADIANS(EVCleanedDataset[[#This Row],[Longitude]]-MyLong)))</f>
        <v>42.834690973217889</v>
      </c>
      <c r="J315">
        <f t="shared" si="9"/>
        <v>5</v>
      </c>
      <c r="K315" s="5">
        <f>((1-(EVCleanedDataset[[#This Row],[Distance(km)]]/MAX($I$5:$I$1121)))*0.4 + (1-(EVCleanedDataset[[#This Row],[QueueLength]]/MAX($J$5:$J$1121)))*0.3 + (EVCleanedDataset[[#This Row],[EstimatedBatteryOnArrival]]/100)*0.3 + (ROW()/10000000))*100</f>
        <v>69.302755669742382</v>
      </c>
      <c r="L315" t="str">
        <f>IF(EVCleanedDataset[[#This Row],[Score]]&gt;50,"Yes","No")</f>
        <v>Yes</v>
      </c>
    </row>
    <row r="316" spans="1:12" x14ac:dyDescent="0.3">
      <c r="A316" t="s">
        <v>2914</v>
      </c>
      <c r="B316" t="s">
        <v>150</v>
      </c>
      <c r="C316" t="s">
        <v>1341</v>
      </c>
      <c r="D316">
        <v>13.025618</v>
      </c>
      <c r="E316">
        <v>77.629121999999995</v>
      </c>
      <c r="F316">
        <f>IF(COUNTIF($C$5:C316,C316)=1,1,0)</f>
        <v>0</v>
      </c>
      <c r="G316" s="2" t="str">
        <f t="shared" si="8"/>
        <v/>
      </c>
      <c r="H316" s="2">
        <f>MAX(0, MyBattery - (EVCleanedDataset[[#This Row],[Distance(km)]]/VehicleRangeKm)*100)</f>
        <v>57.562033717461688</v>
      </c>
      <c r="I316" s="2">
        <f>6371*ACOS(SIN(RADIANS(MyLat))*SIN(RADIANS(EVCleanedDataset[[#This Row],[Latitude]]))+COS(RADIANS(MyLat))*COS(RADIANS(EVCleanedDataset[[#This Row],[Latitude]]))*COS(RADIANS(EVCleanedDataset[[#This Row],[Longitude]]-MyLong)))</f>
        <v>37.313898847614929</v>
      </c>
      <c r="J316">
        <f t="shared" si="9"/>
        <v>2</v>
      </c>
      <c r="K316" s="5">
        <f>((1-(EVCleanedDataset[[#This Row],[Distance(km)]]/MAX($I$5:$I$1121)))*0.4 + (1-(EVCleanedDataset[[#This Row],[QueueLength]]/MAX($J$5:$J$1121)))*0.3 + (EVCleanedDataset[[#This Row],[EstimatedBatteryOnArrival]]/100)*0.3 + (ROW()/10000000))*100</f>
        <v>79.951542710411559</v>
      </c>
      <c r="L316" t="str">
        <f>IF(EVCleanedDataset[[#This Row],[Score]]&gt;50,"Yes","No")</f>
        <v>Yes</v>
      </c>
    </row>
    <row r="317" spans="1:12" x14ac:dyDescent="0.3">
      <c r="A317" t="s">
        <v>3050</v>
      </c>
      <c r="B317" t="s">
        <v>511</v>
      </c>
      <c r="C317" t="s">
        <v>1540</v>
      </c>
      <c r="D317">
        <v>23.179326</v>
      </c>
      <c r="E317">
        <v>75.784376780000002</v>
      </c>
      <c r="F317">
        <f>IF(COUNTIF($C$5:C317,C317)=1,1,0)</f>
        <v>1</v>
      </c>
      <c r="G317" s="2">
        <f t="shared" si="8"/>
        <v>1108.5834888563361</v>
      </c>
      <c r="H317" s="2">
        <f>MAX(0, MyBattery - (EVCleanedDataset[[#This Row],[Distance(km)]]/VehicleRangeKm)*100)</f>
        <v>0</v>
      </c>
      <c r="I317" s="2">
        <f>6371*ACOS(SIN(RADIANS(MyLat))*SIN(RADIANS(EVCleanedDataset[[#This Row],[Latitude]]))+COS(RADIANS(MyLat))*COS(RADIANS(EVCleanedDataset[[#This Row],[Latitude]]))*COS(RADIANS(EVCleanedDataset[[#This Row],[Longitude]]-MyLong)))</f>
        <v>1108.5834888563361</v>
      </c>
      <c r="J317">
        <f t="shared" si="9"/>
        <v>9</v>
      </c>
      <c r="K317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20.586098461908655</v>
      </c>
      <c r="L317" t="str">
        <f>IF(EVCleanedDataset[[#This Row],[Score]]&gt;50,"Yes","No")</f>
        <v>No</v>
      </c>
    </row>
    <row r="318" spans="1:12" x14ac:dyDescent="0.3">
      <c r="A318" t="s">
        <v>2861</v>
      </c>
      <c r="B318" t="s">
        <v>150</v>
      </c>
      <c r="C318" t="s">
        <v>1341</v>
      </c>
      <c r="D318">
        <v>12.9756002426147</v>
      </c>
      <c r="E318">
        <v>77.641197204589801</v>
      </c>
      <c r="F318">
        <f>IF(COUNTIF($C$5:C318,C318)=1,1,0)</f>
        <v>0</v>
      </c>
      <c r="G318" s="2" t="str">
        <f t="shared" si="8"/>
        <v/>
      </c>
      <c r="H318" s="2">
        <f>MAX(0, MyBattery - (EVCleanedDataset[[#This Row],[Distance(km)]]/VehicleRangeKm)*100)</f>
        <v>55.658706204765309</v>
      </c>
      <c r="I318" s="2">
        <f>6371*ACOS(SIN(RADIANS(MyLat))*SIN(RADIANS(EVCleanedDataset[[#This Row],[Latitude]]))+COS(RADIANS(MyLat))*COS(RADIANS(EVCleanedDataset[[#This Row],[Latitude]]))*COS(RADIANS(EVCleanedDataset[[#This Row],[Longitude]]-MyLong)))</f>
        <v>43.023881385704072</v>
      </c>
      <c r="J318">
        <f t="shared" si="9"/>
        <v>6</v>
      </c>
      <c r="K318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65.947219585538676</v>
      </c>
      <c r="L318" t="str">
        <f>IF(EVCleanedDataset[[#This Row],[Score]]&gt;50,"Yes","No")</f>
        <v>Yes</v>
      </c>
    </row>
    <row r="319" spans="1:12" x14ac:dyDescent="0.3">
      <c r="A319" t="s">
        <v>2247</v>
      </c>
      <c r="B319" t="s">
        <v>150</v>
      </c>
      <c r="C319" t="s">
        <v>1341</v>
      </c>
      <c r="D319">
        <v>12.872052999999999</v>
      </c>
      <c r="E319">
        <v>77.651173999999997</v>
      </c>
      <c r="F319">
        <f>IF(COUNTIF($C$5:C319,C319)=1,1,0)</f>
        <v>0</v>
      </c>
      <c r="G319" s="2" t="str">
        <f t="shared" si="8"/>
        <v/>
      </c>
      <c r="H319" s="2">
        <f>MAX(0, MyBattery - (EVCleanedDataset[[#This Row],[Distance(km)]]/VehicleRangeKm)*100)</f>
        <v>51.847764955784569</v>
      </c>
      <c r="I319" s="2">
        <f>6371*ACOS(SIN(RADIANS(MyLat))*SIN(RADIANS(EVCleanedDataset[[#This Row],[Latitude]]))+COS(RADIANS(MyLat))*COS(RADIANS(EVCleanedDataset[[#This Row],[Latitude]]))*COS(RADIANS(EVCleanedDataset[[#This Row],[Longitude]]-MyLong)))</f>
        <v>54.456705132646292</v>
      </c>
      <c r="J319">
        <f t="shared" si="9"/>
        <v>3</v>
      </c>
      <c r="K319" s="5">
        <f>((1-(EVCleanedDataset[[#This Row],[Distance(km)]]/MAX($I$5:$I$1121)))*0.4 + (1-(EVCleanedDataset[[#This Row],[QueueLength]]/MAX($J$5:$J$1121)))*0.3 + (EVCleanedDataset[[#This Row],[EstimatedBatteryOnArrival]]/100)*0.3 + (ROW()/10000000))*100</f>
        <v>74.603698913076826</v>
      </c>
      <c r="L319" t="str">
        <f>IF(EVCleanedDataset[[#This Row],[Score]]&gt;50,"Yes","No")</f>
        <v>Yes</v>
      </c>
    </row>
    <row r="320" spans="1:12" x14ac:dyDescent="0.3">
      <c r="A320" t="s">
        <v>2925</v>
      </c>
      <c r="B320" t="s">
        <v>150</v>
      </c>
      <c r="C320" t="s">
        <v>1341</v>
      </c>
      <c r="D320">
        <v>12.904089000000001</v>
      </c>
      <c r="E320">
        <v>77.662250999999998</v>
      </c>
      <c r="F320">
        <f>IF(COUNTIF($C$5:C320,C320)=1,1,0)</f>
        <v>0</v>
      </c>
      <c r="G320" s="2" t="str">
        <f t="shared" si="8"/>
        <v/>
      </c>
      <c r="H320" s="2">
        <f>MAX(0, MyBattery - (EVCleanedDataset[[#This Row],[Distance(km)]]/VehicleRangeKm)*100)</f>
        <v>52.901472485192343</v>
      </c>
      <c r="I320" s="2">
        <f>6371*ACOS(SIN(RADIANS(MyLat))*SIN(RADIANS(EVCleanedDataset[[#This Row],[Latitude]]))+COS(RADIANS(MyLat))*COS(RADIANS(EVCleanedDataset[[#This Row],[Latitude]]))*COS(RADIANS(EVCleanedDataset[[#This Row],[Longitude]]-MyLong)))</f>
        <v>51.295582544422956</v>
      </c>
      <c r="J320">
        <f t="shared" si="9"/>
        <v>0</v>
      </c>
      <c r="K320" s="5">
        <f>((1-(EVCleanedDataset[[#This Row],[Distance(km)]]/MAX($I$5:$I$1121)))*0.4 + (1-(EVCleanedDataset[[#This Row],[QueueLength]]/MAX($J$5:$J$1121)))*0.3 + (EVCleanedDataset[[#This Row],[EstimatedBatteryOnArrival]]/100)*0.3 + (ROW()/10000000))*100</f>
        <v>84.975188894811509</v>
      </c>
      <c r="L320" t="str">
        <f>IF(EVCleanedDataset[[#This Row],[Score]]&gt;50,"Yes","No")</f>
        <v>Yes</v>
      </c>
    </row>
    <row r="321" spans="1:12" x14ac:dyDescent="0.3">
      <c r="A321" t="s">
        <v>2788</v>
      </c>
      <c r="B321" t="s">
        <v>68</v>
      </c>
      <c r="C321" t="s">
        <v>69</v>
      </c>
      <c r="D321">
        <v>23.015799999999999</v>
      </c>
      <c r="E321">
        <v>72.517799999999994</v>
      </c>
      <c r="F321">
        <f>IF(COUNTIF($C$5:C321,C321)=1,1,0)</f>
        <v>0</v>
      </c>
      <c r="G321" s="2" t="str">
        <f t="shared" si="8"/>
        <v/>
      </c>
      <c r="H321" s="2">
        <f>MAX(0, MyBattery - (EVCleanedDataset[[#This Row],[Distance(km)]]/VehicleRangeKm)*100)</f>
        <v>0</v>
      </c>
      <c r="I321" s="2">
        <f>6371*ACOS(SIN(RADIANS(MyLat))*SIN(RADIANS(EVCleanedDataset[[#This Row],[Latitude]]))+COS(RADIANS(MyLat))*COS(RADIANS(EVCleanedDataset[[#This Row],[Latitude]]))*COS(RADIANS(EVCleanedDataset[[#This Row],[Longitude]]-MyLong)))</f>
        <v>1198.2035709440759</v>
      </c>
      <c r="J321">
        <f t="shared" si="9"/>
        <v>7</v>
      </c>
      <c r="K321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25.683090657234519</v>
      </c>
      <c r="L321" t="str">
        <f>IF(EVCleanedDataset[[#This Row],[Score]]&gt;50,"Yes","No")</f>
        <v>No</v>
      </c>
    </row>
    <row r="322" spans="1:12" x14ac:dyDescent="0.3">
      <c r="A322" t="s">
        <v>411</v>
      </c>
      <c r="B322" t="s">
        <v>68</v>
      </c>
      <c r="C322" t="s">
        <v>69</v>
      </c>
      <c r="D322">
        <v>23.033166900000001</v>
      </c>
      <c r="E322">
        <v>72.556813300000002</v>
      </c>
      <c r="F322">
        <f>IF(COUNTIF($C$5:C322,C322)=1,1,0)</f>
        <v>0</v>
      </c>
      <c r="G322" s="2" t="str">
        <f t="shared" si="8"/>
        <v/>
      </c>
      <c r="H322" s="2">
        <f>MAX(0, MyBattery - (EVCleanedDataset[[#This Row],[Distance(km)]]/VehicleRangeKm)*100)</f>
        <v>0</v>
      </c>
      <c r="I322" s="2">
        <f>6371*ACOS(SIN(RADIANS(MyLat))*SIN(RADIANS(EVCleanedDataset[[#This Row],[Latitude]]))+COS(RADIANS(MyLat))*COS(RADIANS(EVCleanedDataset[[#This Row],[Latitude]]))*COS(RADIANS(EVCleanedDataset[[#This Row],[Longitude]]-MyLong)))</f>
        <v>1198.1135787930195</v>
      </c>
      <c r="J322">
        <f t="shared" si="9"/>
        <v>4</v>
      </c>
      <c r="K322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35.684676888571616</v>
      </c>
      <c r="L322" t="str">
        <f>IF(EVCleanedDataset[[#This Row],[Score]]&gt;50,"Yes","No")</f>
        <v>No</v>
      </c>
    </row>
    <row r="323" spans="1:12" x14ac:dyDescent="0.3">
      <c r="A323" t="s">
        <v>170</v>
      </c>
      <c r="B323" t="s">
        <v>41</v>
      </c>
      <c r="C323" t="s">
        <v>119</v>
      </c>
      <c r="D323">
        <v>19.1798</v>
      </c>
      <c r="E323">
        <v>72.836100000000002</v>
      </c>
      <c r="F323">
        <f>IF(COUNTIF($C$5:C323,C323)=1,1,0)</f>
        <v>0</v>
      </c>
      <c r="G323" s="2" t="str">
        <f t="shared" si="8"/>
        <v/>
      </c>
      <c r="H323" s="2">
        <f>MAX(0, MyBattery - (EVCleanedDataset[[#This Row],[Distance(km)]]/VehicleRangeKm)*100)</f>
        <v>0</v>
      </c>
      <c r="I323" s="2">
        <f>6371*ACOS(SIN(RADIANS(MyLat))*SIN(RADIANS(EVCleanedDataset[[#This Row],[Latitude]]))+COS(RADIANS(MyLat))*COS(RADIANS(EVCleanedDataset[[#This Row],[Latitude]]))*COS(RADIANS(EVCleanedDataset[[#This Row],[Longitude]]-MyLong)))</f>
        <v>819.70604317143147</v>
      </c>
      <c r="J323">
        <f t="shared" si="9"/>
        <v>1</v>
      </c>
      <c r="K323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52.312573974728124</v>
      </c>
      <c r="L323" t="str">
        <f>IF(EVCleanedDataset[[#This Row],[Score]]&gt;50,"Yes","No")</f>
        <v>Yes</v>
      </c>
    </row>
    <row r="324" spans="1:12" x14ac:dyDescent="0.3">
      <c r="A324" t="s">
        <v>2197</v>
      </c>
      <c r="B324" t="s">
        <v>68</v>
      </c>
      <c r="C324" t="s">
        <v>2198</v>
      </c>
      <c r="D324">
        <v>21.164947999999999</v>
      </c>
      <c r="E324">
        <v>72.835879000000006</v>
      </c>
      <c r="F324">
        <f>IF(COUNTIF($C$5:C324,C324)=1,1,0)</f>
        <v>1</v>
      </c>
      <c r="G324" s="2">
        <f t="shared" si="8"/>
        <v>1002.024658280348</v>
      </c>
      <c r="H324" s="2">
        <f>MAX(0, MyBattery - (EVCleanedDataset[[#This Row],[Distance(km)]]/VehicleRangeKm)*100)</f>
        <v>0</v>
      </c>
      <c r="I324" s="2">
        <f>6371*ACOS(SIN(RADIANS(MyLat))*SIN(RADIANS(EVCleanedDataset[[#This Row],[Latitude]]))+COS(RADIANS(MyLat))*COS(RADIANS(EVCleanedDataset[[#This Row],[Latitude]]))*COS(RADIANS(EVCleanedDataset[[#This Row],[Longitude]]-MyLong)))</f>
        <v>1002.024658280348</v>
      </c>
      <c r="J324">
        <f t="shared" si="9"/>
        <v>8</v>
      </c>
      <c r="K324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25.785901987115533</v>
      </c>
      <c r="L324" t="str">
        <f>IF(EVCleanedDataset[[#This Row],[Score]]&gt;50,"Yes","No")</f>
        <v>No</v>
      </c>
    </row>
    <row r="325" spans="1:12" x14ac:dyDescent="0.3">
      <c r="A325" t="s">
        <v>3000</v>
      </c>
      <c r="B325" t="s">
        <v>68</v>
      </c>
      <c r="C325" t="s">
        <v>69</v>
      </c>
      <c r="D325">
        <v>23.063390299999998</v>
      </c>
      <c r="E325">
        <v>72.531762499999999</v>
      </c>
      <c r="F325">
        <f>IF(COUNTIF($C$5:C325,C325)=1,1,0)</f>
        <v>0</v>
      </c>
      <c r="G325" s="2" t="str">
        <f t="shared" ref="G325:G388" si="10">IF(F325=1, IF(C325=MyCity, "", _xlfn.MINIFS($I$5:$I$1121,$C$5:$C$1121,C325)), "")</f>
        <v/>
      </c>
      <c r="H325" s="2">
        <f>MAX(0, MyBattery - (EVCleanedDataset[[#This Row],[Distance(km)]]/VehicleRangeKm)*100)</f>
        <v>0</v>
      </c>
      <c r="I325" s="2">
        <f>6371*ACOS(SIN(RADIANS(MyLat))*SIN(RADIANS(EVCleanedDataset[[#This Row],[Latitude]]))+COS(RADIANS(MyLat))*COS(RADIANS(EVCleanedDataset[[#This Row],[Latitude]]))*COS(RADIANS(EVCleanedDataset[[#This Row],[Longitude]]-MyLong)))</f>
        <v>1202.270106930863</v>
      </c>
      <c r="J325">
        <f t="shared" ref="J325:J388" si="11">MOD(ROW()*7,10)</f>
        <v>5</v>
      </c>
      <c r="K325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32.278571096051515</v>
      </c>
      <c r="L325" t="str">
        <f>IF(EVCleanedDataset[[#This Row],[Score]]&gt;50,"Yes","No")</f>
        <v>No</v>
      </c>
    </row>
    <row r="326" spans="1:12" x14ac:dyDescent="0.3">
      <c r="A326" t="s">
        <v>852</v>
      </c>
      <c r="B326" t="s">
        <v>68</v>
      </c>
      <c r="C326" t="s">
        <v>69</v>
      </c>
      <c r="D326">
        <v>23.073552599999999</v>
      </c>
      <c r="E326">
        <v>72.520875000000004</v>
      </c>
      <c r="F326">
        <f>IF(COUNTIF($C$5:C326,C326)=1,1,0)</f>
        <v>0</v>
      </c>
      <c r="G326" s="2" t="str">
        <f t="shared" si="10"/>
        <v/>
      </c>
      <c r="H326" s="2">
        <f>MAX(0, MyBattery - (EVCleanedDataset[[#This Row],[Distance(km)]]/VehicleRangeKm)*100)</f>
        <v>0</v>
      </c>
      <c r="I326" s="2">
        <f>6371*ACOS(SIN(RADIANS(MyLat))*SIN(RADIANS(EVCleanedDataset[[#This Row],[Latitude]]))+COS(RADIANS(MyLat))*COS(RADIANS(EVCleanedDataset[[#This Row],[Latitude]]))*COS(RADIANS(EVCleanedDataset[[#This Row],[Longitude]]-MyLong)))</f>
        <v>1203.7819551687057</v>
      </c>
      <c r="J326">
        <f t="shared" si="11"/>
        <v>2</v>
      </c>
      <c r="K326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42.2521007581392</v>
      </c>
      <c r="L326" t="str">
        <f>IF(EVCleanedDataset[[#This Row],[Score]]&gt;50,"Yes","No")</f>
        <v>No</v>
      </c>
    </row>
    <row r="327" spans="1:12" x14ac:dyDescent="0.3">
      <c r="A327" t="s">
        <v>2992</v>
      </c>
      <c r="B327" t="s">
        <v>502</v>
      </c>
      <c r="C327" t="s">
        <v>1250</v>
      </c>
      <c r="D327">
        <v>16.5812639</v>
      </c>
      <c r="E327">
        <v>80.526349300000007</v>
      </c>
      <c r="F327">
        <f>IF(COUNTIF($C$5:C327,C327)=1,1,0)</f>
        <v>0</v>
      </c>
      <c r="G327" s="2" t="str">
        <f t="shared" si="10"/>
        <v/>
      </c>
      <c r="H327" s="2">
        <f>MAX(0, MyBattery - (EVCleanedDataset[[#This Row],[Distance(km)]]/VehicleRangeKm)*100)</f>
        <v>0</v>
      </c>
      <c r="I327" s="2">
        <f>6371*ACOS(SIN(RADIANS(MyLat))*SIN(RADIANS(EVCleanedDataset[[#This Row],[Latitude]]))+COS(RADIANS(MyLat))*COS(RADIANS(EVCleanedDataset[[#This Row],[Latitude]]))*COS(RADIANS(EVCleanedDataset[[#This Row],[Longitude]]-MyLong)))</f>
        <v>481.89150379401059</v>
      </c>
      <c r="J327">
        <f t="shared" si="11"/>
        <v>9</v>
      </c>
      <c r="K327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31.562839579716783</v>
      </c>
      <c r="L327" t="str">
        <f>IF(EVCleanedDataset[[#This Row],[Score]]&gt;50,"Yes","No")</f>
        <v>No</v>
      </c>
    </row>
    <row r="328" spans="1:12" x14ac:dyDescent="0.3">
      <c r="A328" t="s">
        <v>2756</v>
      </c>
      <c r="B328" t="s">
        <v>105</v>
      </c>
      <c r="C328" t="s">
        <v>105</v>
      </c>
      <c r="D328">
        <v>15.516250599999999</v>
      </c>
      <c r="E328">
        <v>73.768446499999996</v>
      </c>
      <c r="F328">
        <f>IF(COUNTIF($C$5:C328,C328)=1,1,0)</f>
        <v>0</v>
      </c>
      <c r="G328" s="2" t="str">
        <f t="shared" si="10"/>
        <v/>
      </c>
      <c r="H328" s="2">
        <f>MAX(0, MyBattery - (EVCleanedDataset[[#This Row],[Distance(km)]]/VehicleRangeKm)*100)</f>
        <v>0</v>
      </c>
      <c r="I328" s="2">
        <f>6371*ACOS(SIN(RADIANS(MyLat))*SIN(RADIANS(EVCleanedDataset[[#This Row],[Latitude]]))+COS(RADIANS(MyLat))*COS(RADIANS(EVCleanedDataset[[#This Row],[Latitude]]))*COS(RADIANS(EVCleanedDataset[[#This Row],[Longitude]]-MyLong)))</f>
        <v>471.9906532292884</v>
      </c>
      <c r="J328">
        <f t="shared" si="11"/>
        <v>6</v>
      </c>
      <c r="K328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41.736265046964533</v>
      </c>
      <c r="L328" t="str">
        <f>IF(EVCleanedDataset[[#This Row],[Score]]&gt;50,"Yes","No")</f>
        <v>No</v>
      </c>
    </row>
    <row r="329" spans="1:12" x14ac:dyDescent="0.3">
      <c r="A329" t="s">
        <v>564</v>
      </c>
      <c r="B329" t="s">
        <v>68</v>
      </c>
      <c r="C329" t="s">
        <v>2198</v>
      </c>
      <c r="D329">
        <v>21.191701599999998</v>
      </c>
      <c r="E329">
        <v>72.790032800000006</v>
      </c>
      <c r="F329">
        <f>IF(COUNTIF($C$5:C329,C329)=1,1,0)</f>
        <v>0</v>
      </c>
      <c r="G329" s="2" t="str">
        <f t="shared" si="10"/>
        <v/>
      </c>
      <c r="H329" s="2">
        <f>MAX(0, MyBattery - (EVCleanedDataset[[#This Row],[Distance(km)]]/VehicleRangeKm)*100)</f>
        <v>0</v>
      </c>
      <c r="I329" s="2">
        <f>6371*ACOS(SIN(RADIANS(MyLat))*SIN(RADIANS(EVCleanedDataset[[#This Row],[Latitude]]))+COS(RADIANS(MyLat))*COS(RADIANS(EVCleanedDataset[[#This Row],[Latitude]]))*COS(RADIANS(EVCleanedDataset[[#This Row],[Longitude]]-MyLong)))</f>
        <v>1007.009035168688</v>
      </c>
      <c r="J329">
        <f t="shared" si="11"/>
        <v>3</v>
      </c>
      <c r="K329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42.365316250682596</v>
      </c>
      <c r="L329" t="str">
        <f>IF(EVCleanedDataset[[#This Row],[Score]]&gt;50,"Yes","No")</f>
        <v>No</v>
      </c>
    </row>
    <row r="330" spans="1:12" x14ac:dyDescent="0.3">
      <c r="A330" t="s">
        <v>829</v>
      </c>
      <c r="B330" t="s">
        <v>49</v>
      </c>
      <c r="C330" t="s">
        <v>188</v>
      </c>
      <c r="D330">
        <v>10.8556755</v>
      </c>
      <c r="E330">
        <v>76.862331999999995</v>
      </c>
      <c r="F330">
        <f>IF(COUNTIF($C$5:C330,C330)=1,1,0)</f>
        <v>0</v>
      </c>
      <c r="G330" s="2" t="str">
        <f t="shared" si="10"/>
        <v/>
      </c>
      <c r="H330" s="2">
        <f>MAX(0, MyBattery - (EVCleanedDataset[[#This Row],[Distance(km)]]/VehicleRangeKm)*100)</f>
        <v>0</v>
      </c>
      <c r="I330" s="2">
        <f>6371*ACOS(SIN(RADIANS(MyLat))*SIN(RADIANS(EVCleanedDataset[[#This Row],[Latitude]]))+COS(RADIANS(MyLat))*COS(RADIANS(EVCleanedDataset[[#This Row],[Latitude]]))*COS(RADIANS(EVCleanedDataset[[#This Row],[Longitude]]-MyLong)))</f>
        <v>286.80967995696636</v>
      </c>
      <c r="J330">
        <f t="shared" si="11"/>
        <v>0</v>
      </c>
      <c r="K33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64.979768502803765</v>
      </c>
      <c r="L330" t="str">
        <f>IF(EVCleanedDataset[[#This Row],[Score]]&gt;50,"Yes","No")</f>
        <v>Yes</v>
      </c>
    </row>
    <row r="331" spans="1:12" x14ac:dyDescent="0.3">
      <c r="A331" t="s">
        <v>3042</v>
      </c>
      <c r="B331" t="s">
        <v>150</v>
      </c>
      <c r="C331" t="s">
        <v>1515</v>
      </c>
      <c r="D331">
        <v>15.184465550000001</v>
      </c>
      <c r="E331">
        <v>76.662761739999993</v>
      </c>
      <c r="F331">
        <f>IF(COUNTIF($C$5:C331,C331)=1,1,0)</f>
        <v>1</v>
      </c>
      <c r="G331" s="2">
        <f t="shared" si="10"/>
        <v>224.79910238698511</v>
      </c>
      <c r="H331" s="2">
        <f>MAX(0, MyBattery - (EVCleanedDataset[[#This Row],[Distance(km)]]/VehicleRangeKm)*100)</f>
        <v>0</v>
      </c>
      <c r="I331" s="2">
        <f>6371*ACOS(SIN(RADIANS(MyLat))*SIN(RADIANS(EVCleanedDataset[[#This Row],[Latitude]]))+COS(RADIANS(MyLat))*COS(RADIANS(EVCleanedDataset[[#This Row],[Latitude]]))*COS(RADIANS(EVCleanedDataset[[#This Row],[Longitude]]-MyLong)))</f>
        <v>224.79910238698511</v>
      </c>
      <c r="J331">
        <f t="shared" si="11"/>
        <v>7</v>
      </c>
      <c r="K331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42.73257339787915</v>
      </c>
      <c r="L331" t="str">
        <f>IF(EVCleanedDataset[[#This Row],[Score]]&gt;50,"Yes","No")</f>
        <v>No</v>
      </c>
    </row>
    <row r="332" spans="1:12" x14ac:dyDescent="0.3">
      <c r="A332" t="s">
        <v>451</v>
      </c>
      <c r="B332" t="s">
        <v>68</v>
      </c>
      <c r="C332" t="s">
        <v>69</v>
      </c>
      <c r="D332">
        <v>23.160601100000001</v>
      </c>
      <c r="E332">
        <v>72.542739100000006</v>
      </c>
      <c r="F332">
        <f>IF(COUNTIF($C$5:C332,C332)=1,1,0)</f>
        <v>0</v>
      </c>
      <c r="G332" s="2" t="str">
        <f t="shared" si="10"/>
        <v/>
      </c>
      <c r="H332" s="2">
        <f>MAX(0, MyBattery - (EVCleanedDataset[[#This Row],[Distance(km)]]/VehicleRangeKm)*100)</f>
        <v>0</v>
      </c>
      <c r="I332" s="2">
        <f>6371*ACOS(SIN(RADIANS(MyLat))*SIN(RADIANS(EVCleanedDataset[[#This Row],[Latitude]]))+COS(RADIANS(MyLat))*COS(RADIANS(EVCleanedDataset[[#This Row],[Latitude]]))*COS(RADIANS(EVCleanedDataset[[#This Row],[Longitude]]-MyLong)))</f>
        <v>1211.4154611657118</v>
      </c>
      <c r="J332">
        <f t="shared" si="11"/>
        <v>4</v>
      </c>
      <c r="K332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35.451791638278657</v>
      </c>
      <c r="L332" t="str">
        <f>IF(EVCleanedDataset[[#This Row],[Score]]&gt;50,"Yes","No")</f>
        <v>No</v>
      </c>
    </row>
    <row r="333" spans="1:12" x14ac:dyDescent="0.3">
      <c r="A333" t="s">
        <v>3277</v>
      </c>
      <c r="B333" t="s">
        <v>41</v>
      </c>
      <c r="C333" t="s">
        <v>1003</v>
      </c>
      <c r="D333">
        <v>17.63820763</v>
      </c>
      <c r="E333">
        <v>74.012091740000002</v>
      </c>
      <c r="F333">
        <f>IF(COUNTIF($C$5:C333,C333)=1,1,0)</f>
        <v>0</v>
      </c>
      <c r="G333" s="2" t="str">
        <f t="shared" si="10"/>
        <v/>
      </c>
      <c r="H333" s="2">
        <f>MAX(0, MyBattery - (EVCleanedDataset[[#This Row],[Distance(km)]]/VehicleRangeKm)*100)</f>
        <v>0</v>
      </c>
      <c r="I333" s="2">
        <f>6371*ACOS(SIN(RADIANS(MyLat))*SIN(RADIANS(EVCleanedDataset[[#This Row],[Latitude]]))+COS(RADIANS(MyLat))*COS(RADIANS(EVCleanedDataset[[#This Row],[Latitude]]))*COS(RADIANS(EVCleanedDataset[[#This Row],[Longitude]]-MyLong)))</f>
        <v>608.33953113089933</v>
      </c>
      <c r="J333">
        <f t="shared" si="11"/>
        <v>1</v>
      </c>
      <c r="K333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56.014802615739953</v>
      </c>
      <c r="L333" t="str">
        <f>IF(EVCleanedDataset[[#This Row],[Score]]&gt;50,"Yes","No")</f>
        <v>Yes</v>
      </c>
    </row>
    <row r="334" spans="1:12" x14ac:dyDescent="0.3">
      <c r="A334" t="s">
        <v>3169</v>
      </c>
      <c r="B334" t="s">
        <v>386</v>
      </c>
      <c r="C334" t="s">
        <v>3378</v>
      </c>
      <c r="D334">
        <v>8.5088484799999993</v>
      </c>
      <c r="E334">
        <v>76.946222539999994</v>
      </c>
      <c r="F334">
        <f>IF(COUNTIF($C$5:C334,C334)=1,1,0)</f>
        <v>0</v>
      </c>
      <c r="G334" s="2" t="str">
        <f t="shared" si="10"/>
        <v/>
      </c>
      <c r="H334" s="2">
        <f>MAX(0, MyBattery - (EVCleanedDataset[[#This Row],[Distance(km)]]/VehicleRangeKm)*100)</f>
        <v>0</v>
      </c>
      <c r="I334" s="2">
        <f>6371*ACOS(SIN(RADIANS(MyLat))*SIN(RADIANS(EVCleanedDataset[[#This Row],[Latitude]]))+COS(RADIANS(MyLat))*COS(RADIANS(EVCleanedDataset[[#This Row],[Latitude]]))*COS(RADIANS(EVCleanedDataset[[#This Row],[Longitude]]-MyLong)))</f>
        <v>542.06858167563189</v>
      </c>
      <c r="J334">
        <f t="shared" si="11"/>
        <v>8</v>
      </c>
      <c r="K334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33.842228814945365</v>
      </c>
      <c r="L334" t="str">
        <f>IF(EVCleanedDataset[[#This Row],[Score]]&gt;50,"Yes","No")</f>
        <v>No</v>
      </c>
    </row>
    <row r="335" spans="1:12" x14ac:dyDescent="0.3">
      <c r="A335" t="s">
        <v>3004</v>
      </c>
      <c r="B335" t="s">
        <v>150</v>
      </c>
      <c r="C335" t="s">
        <v>2754</v>
      </c>
      <c r="D335">
        <v>15.8191673</v>
      </c>
      <c r="E335">
        <v>74.493774400000007</v>
      </c>
      <c r="F335">
        <f>IF(COUNTIF($C$5:C335,C335)=1,1,0)</f>
        <v>1</v>
      </c>
      <c r="G335" s="2">
        <f t="shared" si="10"/>
        <v>427.43303720789538</v>
      </c>
      <c r="H335" s="2">
        <f>MAX(0, MyBattery - (EVCleanedDataset[[#This Row],[Distance(km)]]/VehicleRangeKm)*100)</f>
        <v>0</v>
      </c>
      <c r="I335" s="2">
        <f>6371*ACOS(SIN(RADIANS(MyLat))*SIN(RADIANS(EVCleanedDataset[[#This Row],[Latitude]]))+COS(RADIANS(MyLat))*COS(RADIANS(EVCleanedDataset[[#This Row],[Latitude]]))*COS(RADIANS(EVCleanedDataset[[#This Row],[Longitude]]-MyLong)))</f>
        <v>427.43303720789538</v>
      </c>
      <c r="J335">
        <f t="shared" si="11"/>
        <v>5</v>
      </c>
      <c r="K33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45.850104338934372</v>
      </c>
      <c r="L335" t="str">
        <f>IF(EVCleanedDataset[[#This Row],[Score]]&gt;50,"Yes","No")</f>
        <v>No</v>
      </c>
    </row>
    <row r="336" spans="1:12" x14ac:dyDescent="0.3">
      <c r="A336" t="s">
        <v>3189</v>
      </c>
      <c r="B336" t="s">
        <v>386</v>
      </c>
      <c r="C336" t="s">
        <v>3378</v>
      </c>
      <c r="D336">
        <v>8.4927752000000005</v>
      </c>
      <c r="E336">
        <v>76.957295599999995</v>
      </c>
      <c r="F336">
        <f>IF(COUNTIF($C$5:C336,C336)=1,1,0)</f>
        <v>0</v>
      </c>
      <c r="G336" s="2" t="str">
        <f t="shared" si="10"/>
        <v/>
      </c>
      <c r="H336" s="2">
        <f>MAX(0, MyBattery - (EVCleanedDataset[[#This Row],[Distance(km)]]/VehicleRangeKm)*100)</f>
        <v>0</v>
      </c>
      <c r="I336" s="2">
        <f>6371*ACOS(SIN(RADIANS(MyLat))*SIN(RADIANS(EVCleanedDataset[[#This Row],[Latitude]]))+COS(RADIANS(MyLat))*COS(RADIANS(EVCleanedDataset[[#This Row],[Latitude]]))*COS(RADIANS(EVCleanedDataset[[#This Row],[Longitude]]-MyLong)))</f>
        <v>543.70127895660414</v>
      </c>
      <c r="J336">
        <f t="shared" si="11"/>
        <v>2</v>
      </c>
      <c r="K336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53.813651780781157</v>
      </c>
      <c r="L336" t="str">
        <f>IF(EVCleanedDataset[[#This Row],[Score]]&gt;50,"Yes","No")</f>
        <v>Yes</v>
      </c>
    </row>
    <row r="337" spans="1:12" x14ac:dyDescent="0.3">
      <c r="A337" t="s">
        <v>3320</v>
      </c>
      <c r="B337" t="s">
        <v>150</v>
      </c>
      <c r="C337" t="s">
        <v>2754</v>
      </c>
      <c r="D337">
        <v>15.87491249</v>
      </c>
      <c r="E337">
        <v>74.513408240000004</v>
      </c>
      <c r="F337">
        <f>IF(COUNTIF($C$5:C337,C337)=1,1,0)</f>
        <v>0</v>
      </c>
      <c r="G337" s="2" t="str">
        <f t="shared" si="10"/>
        <v/>
      </c>
      <c r="H337" s="2">
        <f>MAX(0, MyBattery - (EVCleanedDataset[[#This Row],[Distance(km)]]/VehicleRangeKm)*100)</f>
        <v>0</v>
      </c>
      <c r="I337" s="2">
        <f>6371*ACOS(SIN(RADIANS(MyLat))*SIN(RADIANS(EVCleanedDataset[[#This Row],[Latitude]]))+COS(RADIANS(MyLat))*COS(RADIANS(EVCleanedDataset[[#This Row],[Latitude]]))*COS(RADIANS(EVCleanedDataset[[#This Row],[Longitude]]-MyLong)))</f>
        <v>429.80846452881013</v>
      </c>
      <c r="J337">
        <f t="shared" si="11"/>
        <v>9</v>
      </c>
      <c r="K337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32.475184899532003</v>
      </c>
      <c r="L337" t="str">
        <f>IF(EVCleanedDataset[[#This Row],[Score]]&gt;50,"Yes","No")</f>
        <v>No</v>
      </c>
    </row>
    <row r="338" spans="1:12" x14ac:dyDescent="0.3">
      <c r="A338" t="s">
        <v>2632</v>
      </c>
      <c r="B338" t="s">
        <v>49</v>
      </c>
      <c r="C338" t="s">
        <v>2633</v>
      </c>
      <c r="D338">
        <v>11.40802995</v>
      </c>
      <c r="E338">
        <v>79.673903440000004</v>
      </c>
      <c r="F338">
        <f>IF(COUNTIF($C$5:C338,C338)=1,1,0)</f>
        <v>1</v>
      </c>
      <c r="G338" s="2">
        <f t="shared" si="10"/>
        <v>316.89115516873659</v>
      </c>
      <c r="H338" s="2">
        <f>MAX(0, MyBattery - (EVCleanedDataset[[#This Row],[Distance(km)]]/VehicleRangeKm)*100)</f>
        <v>0</v>
      </c>
      <c r="I338" s="2">
        <f>6371*ACOS(SIN(RADIANS(MyLat))*SIN(RADIANS(EVCleanedDataset[[#This Row],[Latitude]]))+COS(RADIANS(MyLat))*COS(RADIANS(EVCleanedDataset[[#This Row],[Latitude]]))*COS(RADIANS(EVCleanedDataset[[#This Row],[Longitude]]-MyLong)))</f>
        <v>316.89115516873659</v>
      </c>
      <c r="J338">
        <f t="shared" si="11"/>
        <v>6</v>
      </c>
      <c r="K33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44.452965176442085</v>
      </c>
      <c r="L338" t="str">
        <f>IF(EVCleanedDataset[[#This Row],[Score]]&gt;50,"Yes","No")</f>
        <v>No</v>
      </c>
    </row>
    <row r="339" spans="1:12" x14ac:dyDescent="0.3">
      <c r="A339" t="s">
        <v>2630</v>
      </c>
      <c r="B339" t="s">
        <v>842</v>
      </c>
      <c r="C339" t="s">
        <v>842</v>
      </c>
      <c r="D339">
        <v>12.06587465</v>
      </c>
      <c r="E339">
        <v>79.880270830000001</v>
      </c>
      <c r="F339">
        <f>IF(COUNTIF($C$5:C339,C339)=1,1,0)</f>
        <v>0</v>
      </c>
      <c r="G339" s="2" t="str">
        <f t="shared" si="10"/>
        <v/>
      </c>
      <c r="H339" s="2">
        <f>MAX(0, MyBattery - (EVCleanedDataset[[#This Row],[Distance(km)]]/VehicleRangeKm)*100)</f>
        <v>0</v>
      </c>
      <c r="I339" s="2">
        <f>6371*ACOS(SIN(RADIANS(MyLat))*SIN(RADIANS(EVCleanedDataset[[#This Row],[Latitude]]))+COS(RADIANS(MyLat))*COS(RADIANS(EVCleanedDataset[[#This Row],[Latitude]]))*COS(RADIANS(EVCleanedDataset[[#This Row],[Longitude]]-MyLong)))</f>
        <v>291.43639142370841</v>
      </c>
      <c r="J339">
        <f t="shared" si="11"/>
        <v>3</v>
      </c>
      <c r="K33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54.898820684327397</v>
      </c>
      <c r="L339" t="str">
        <f>IF(EVCleanedDataset[[#This Row],[Score]]&gt;50,"Yes","No")</f>
        <v>Yes</v>
      </c>
    </row>
    <row r="340" spans="1:12" x14ac:dyDescent="0.3">
      <c r="A340" t="s">
        <v>3260</v>
      </c>
      <c r="B340" t="s">
        <v>386</v>
      </c>
      <c r="C340" t="s">
        <v>1435</v>
      </c>
      <c r="D340">
        <v>10.077280999999999</v>
      </c>
      <c r="E340">
        <v>76.337655999999996</v>
      </c>
      <c r="F340">
        <f>IF(COUNTIF($C$5:C340,C340)=1,1,0)</f>
        <v>0</v>
      </c>
      <c r="G340" s="2" t="str">
        <f t="shared" si="10"/>
        <v/>
      </c>
      <c r="H340" s="2">
        <f>MAX(0, MyBattery - (EVCleanedDataset[[#This Row],[Distance(km)]]/VehicleRangeKm)*100)</f>
        <v>0</v>
      </c>
      <c r="I340" s="2">
        <f>6371*ACOS(SIN(RADIANS(MyLat))*SIN(RADIANS(EVCleanedDataset[[#This Row],[Latitude]]))+COS(RADIANS(MyLat))*COS(RADIANS(EVCleanedDataset[[#This Row],[Latitude]]))*COS(RADIANS(EVCleanedDataset[[#This Row],[Longitude]]-MyLong)))</f>
        <v>386.54920173279362</v>
      </c>
      <c r="J340">
        <f t="shared" si="11"/>
        <v>0</v>
      </c>
      <c r="K340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63.232909930027084</v>
      </c>
      <c r="L340" t="str">
        <f>IF(EVCleanedDataset[[#This Row],[Score]]&gt;50,"Yes","No")</f>
        <v>Yes</v>
      </c>
    </row>
    <row r="341" spans="1:12" x14ac:dyDescent="0.3">
      <c r="A341" t="s">
        <v>2928</v>
      </c>
      <c r="B341" t="s">
        <v>41</v>
      </c>
      <c r="C341" t="s">
        <v>1120</v>
      </c>
      <c r="D341">
        <v>19.871912330989002</v>
      </c>
      <c r="E341">
        <v>75.325188076686501</v>
      </c>
      <c r="F341">
        <f>IF(COUNTIF($C$5:C341,C341)=1,1,0)</f>
        <v>0</v>
      </c>
      <c r="G341" s="2" t="str">
        <f t="shared" si="10"/>
        <v/>
      </c>
      <c r="H341" s="2">
        <f>MAX(0, MyBattery - (EVCleanedDataset[[#This Row],[Distance(km)]]/VehicleRangeKm)*100)</f>
        <v>0</v>
      </c>
      <c r="I341" s="2">
        <f>6371*ACOS(SIN(RADIANS(MyLat))*SIN(RADIANS(EVCleanedDataset[[#This Row],[Latitude]]))+COS(RADIANS(MyLat))*COS(RADIANS(EVCleanedDataset[[#This Row],[Latitude]]))*COS(RADIANS(EVCleanedDataset[[#This Row],[Longitude]]-MyLong)))</f>
        <v>762.59818528055666</v>
      </c>
      <c r="J341">
        <f t="shared" si="11"/>
        <v>7</v>
      </c>
      <c r="K341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33.31301004312602</v>
      </c>
      <c r="L341" t="str">
        <f>IF(EVCleanedDataset[[#This Row],[Score]]&gt;50,"Yes","No")</f>
        <v>No</v>
      </c>
    </row>
    <row r="342" spans="1:12" x14ac:dyDescent="0.3">
      <c r="A342" t="s">
        <v>1429</v>
      </c>
      <c r="B342" t="s">
        <v>49</v>
      </c>
      <c r="C342" t="s">
        <v>1008</v>
      </c>
      <c r="D342">
        <v>13.0417246</v>
      </c>
      <c r="E342">
        <v>80.1258208</v>
      </c>
      <c r="F342">
        <f>IF(COUNTIF($C$5:C342,C342)=1,1,0)</f>
        <v>0</v>
      </c>
      <c r="G342" s="2" t="str">
        <f t="shared" si="10"/>
        <v/>
      </c>
      <c r="H342" s="2">
        <f>MAX(0, MyBattery - (EVCleanedDataset[[#This Row],[Distance(km)]]/VehicleRangeKm)*100)</f>
        <v>0</v>
      </c>
      <c r="I342" s="2">
        <f>6371*ACOS(SIN(RADIANS(MyLat))*SIN(RADIANS(EVCleanedDataset[[#This Row],[Latitude]]))+COS(RADIANS(MyLat))*COS(RADIANS(EVCleanedDataset[[#This Row],[Latitude]]))*COS(RADIANS(EVCleanedDataset[[#This Row],[Longitude]]-MyLong)))</f>
        <v>282.28369060128824</v>
      </c>
      <c r="J342">
        <f t="shared" si="11"/>
        <v>4</v>
      </c>
      <c r="K34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51.72582881911724</v>
      </c>
      <c r="L342" t="str">
        <f>IF(EVCleanedDataset[[#This Row],[Score]]&gt;50,"Yes","No")</f>
        <v>Yes</v>
      </c>
    </row>
    <row r="343" spans="1:12" x14ac:dyDescent="0.3">
      <c r="A343" t="s">
        <v>1343</v>
      </c>
      <c r="B343" t="s">
        <v>41</v>
      </c>
      <c r="C343" t="s">
        <v>1095</v>
      </c>
      <c r="D343">
        <v>17.926557540000001</v>
      </c>
      <c r="E343">
        <v>73.695865650000002</v>
      </c>
      <c r="F343">
        <f>IF(COUNTIF($C$5:C343,C343)=1,1,0)</f>
        <v>1</v>
      </c>
      <c r="G343" s="2">
        <f t="shared" si="10"/>
        <v>654.34664084003873</v>
      </c>
      <c r="H343" s="2">
        <f>MAX(0, MyBattery - (EVCleanedDataset[[#This Row],[Distance(km)]]/VehicleRangeKm)*100)</f>
        <v>0</v>
      </c>
      <c r="I343" s="2">
        <f>6371*ACOS(SIN(RADIANS(MyLat))*SIN(RADIANS(EVCleanedDataset[[#This Row],[Latitude]]))+COS(RADIANS(MyLat))*COS(RADIANS(EVCleanedDataset[[#This Row],[Latitude]]))*COS(RADIANS(EVCleanedDataset[[#This Row],[Longitude]]-MyLong)))</f>
        <v>654.34664084003873</v>
      </c>
      <c r="J343">
        <f t="shared" si="11"/>
        <v>1</v>
      </c>
      <c r="K343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55.209078472170248</v>
      </c>
      <c r="L343" t="str">
        <f>IF(EVCleanedDataset[[#This Row],[Score]]&gt;50,"Yes","No")</f>
        <v>Yes</v>
      </c>
    </row>
    <row r="344" spans="1:12" x14ac:dyDescent="0.3">
      <c r="A344" t="s">
        <v>3017</v>
      </c>
      <c r="B344" t="s">
        <v>313</v>
      </c>
      <c r="C344" t="s">
        <v>1110</v>
      </c>
      <c r="D344">
        <v>20.240902999999999</v>
      </c>
      <c r="E344">
        <v>85.758055999999996</v>
      </c>
      <c r="F344">
        <f>IF(COUNTIF($C$5:C344,C344)=1,1,0)</f>
        <v>1</v>
      </c>
      <c r="G344" s="2">
        <f t="shared" si="10"/>
        <v>1162.3456239273492</v>
      </c>
      <c r="H344" s="2">
        <f>MAX(0, MyBattery - (EVCleanedDataset[[#This Row],[Distance(km)]]/VehicleRangeKm)*100)</f>
        <v>0</v>
      </c>
      <c r="I344" s="2">
        <f>6371*ACOS(SIN(RADIANS(MyLat))*SIN(RADIANS(EVCleanedDataset[[#This Row],[Latitude]]))+COS(RADIANS(MyLat))*COS(RADIANS(EVCleanedDataset[[#This Row],[Latitude]]))*COS(RADIANS(EVCleanedDataset[[#This Row],[Longitude]]-MyLong)))</f>
        <v>1162.6541249424508</v>
      </c>
      <c r="J344">
        <f t="shared" si="11"/>
        <v>8</v>
      </c>
      <c r="K344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22.972643301634701</v>
      </c>
      <c r="L344" t="str">
        <f>IF(EVCleanedDataset[[#This Row],[Score]]&gt;50,"Yes","No")</f>
        <v>No</v>
      </c>
    </row>
    <row r="345" spans="1:12" x14ac:dyDescent="0.3">
      <c r="A345" t="s">
        <v>3216</v>
      </c>
      <c r="B345" t="s">
        <v>49</v>
      </c>
      <c r="C345" t="s">
        <v>2765</v>
      </c>
      <c r="D345">
        <v>11.519342</v>
      </c>
      <c r="E345">
        <v>77.935041999999996</v>
      </c>
      <c r="F345">
        <f>IF(COUNTIF($C$5:C345,C345)=1,1,0)</f>
        <v>1</v>
      </c>
      <c r="G345" s="2">
        <f t="shared" si="10"/>
        <v>207.99016758282207</v>
      </c>
      <c r="H345" s="2">
        <f>MAX(0, MyBattery - (EVCleanedDataset[[#This Row],[Distance(km)]]/VehicleRangeKm)*100)</f>
        <v>0.66994413905931083</v>
      </c>
      <c r="I345" s="2">
        <f>6371*ACOS(SIN(RADIANS(MyLat))*SIN(RADIANS(EVCleanedDataset[[#This Row],[Latitude]]))+COS(RADIANS(MyLat))*COS(RADIANS(EVCleanedDataset[[#This Row],[Latitude]]))*COS(RADIANS(EVCleanedDataset[[#This Row],[Longitude]]-MyLong)))</f>
        <v>207.99016758282207</v>
      </c>
      <c r="J345">
        <f t="shared" si="11"/>
        <v>5</v>
      </c>
      <c r="K345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49.89477531298423</v>
      </c>
      <c r="L345" t="str">
        <f>IF(EVCleanedDataset[[#This Row],[Score]]&gt;50,"Yes","No")</f>
        <v>No</v>
      </c>
    </row>
    <row r="346" spans="1:12" x14ac:dyDescent="0.3">
      <c r="A346" t="s">
        <v>2987</v>
      </c>
      <c r="B346" t="s">
        <v>49</v>
      </c>
      <c r="C346" t="s">
        <v>1211</v>
      </c>
      <c r="D346">
        <v>12.6325138</v>
      </c>
      <c r="E346">
        <v>80.195839100000001</v>
      </c>
      <c r="F346">
        <f>IF(COUNTIF($C$5:C346,C346)=1,1,0)</f>
        <v>1</v>
      </c>
      <c r="G346" s="2">
        <f t="shared" si="10"/>
        <v>298.84308940976473</v>
      </c>
      <c r="H346" s="2">
        <f>MAX(0, MyBattery - (EVCleanedDataset[[#This Row],[Distance(km)]]/VehicleRangeKm)*100)</f>
        <v>0</v>
      </c>
      <c r="I346" s="2">
        <f>6371*ACOS(SIN(RADIANS(MyLat))*SIN(RADIANS(EVCleanedDataset[[#This Row],[Latitude]]))+COS(RADIANS(MyLat))*COS(RADIANS(EVCleanedDataset[[#This Row],[Latitude]]))*COS(RADIANS(EVCleanedDataset[[#This Row],[Longitude]]-MyLong)))</f>
        <v>298.84308940976473</v>
      </c>
      <c r="J346">
        <f t="shared" si="11"/>
        <v>2</v>
      </c>
      <c r="K34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58.102494154189046</v>
      </c>
      <c r="L346" t="str">
        <f>IF(EVCleanedDataset[[#This Row],[Score]]&gt;50,"Yes","No")</f>
        <v>Yes</v>
      </c>
    </row>
    <row r="347" spans="1:12" x14ac:dyDescent="0.3">
      <c r="A347" t="s">
        <v>3332</v>
      </c>
      <c r="B347" t="s">
        <v>49</v>
      </c>
      <c r="C347" t="s">
        <v>1008</v>
      </c>
      <c r="D347">
        <v>13.012477129717499</v>
      </c>
      <c r="E347">
        <v>80.220603289663103</v>
      </c>
      <c r="F347">
        <f>IF(COUNTIF($C$5:C347,C347)=1,1,0)</f>
        <v>0</v>
      </c>
      <c r="G347" s="2" t="str">
        <f t="shared" si="10"/>
        <v/>
      </c>
      <c r="H347" s="2">
        <f>MAX(0, MyBattery - (EVCleanedDataset[[#This Row],[Distance(km)]]/VehicleRangeKm)*100)</f>
        <v>0</v>
      </c>
      <c r="I347" s="2">
        <f>6371*ACOS(SIN(RADIANS(MyLat))*SIN(RADIANS(EVCleanedDataset[[#This Row],[Latitude]]))+COS(RADIANS(MyLat))*COS(RADIANS(EVCleanedDataset[[#This Row],[Latitude]]))*COS(RADIANS(EVCleanedDataset[[#This Row],[Longitude]]-MyLong)))</f>
        <v>292.88677670506473</v>
      </c>
      <c r="J347">
        <f t="shared" si="11"/>
        <v>9</v>
      </c>
      <c r="K34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34.873496882945737</v>
      </c>
      <c r="L347" t="str">
        <f>IF(EVCleanedDataset[[#This Row],[Score]]&gt;50,"Yes","No")</f>
        <v>No</v>
      </c>
    </row>
    <row r="348" spans="1:12" x14ac:dyDescent="0.3">
      <c r="A348" t="s">
        <v>2904</v>
      </c>
      <c r="B348" t="s">
        <v>49</v>
      </c>
      <c r="C348" t="s">
        <v>1008</v>
      </c>
      <c r="D348">
        <v>13.125598999999999</v>
      </c>
      <c r="E348">
        <v>80.224150100000003</v>
      </c>
      <c r="F348">
        <f>IF(COUNTIF($C$5:C348,C348)=1,1,0)</f>
        <v>0</v>
      </c>
      <c r="G348" s="2" t="str">
        <f t="shared" si="10"/>
        <v/>
      </c>
      <c r="H348" s="2">
        <f>MAX(0, MyBattery - (EVCleanedDataset[[#This Row],[Distance(km)]]/VehicleRangeKm)*100)</f>
        <v>0</v>
      </c>
      <c r="I348" s="2">
        <f>6371*ACOS(SIN(RADIANS(MyLat))*SIN(RADIANS(EVCleanedDataset[[#This Row],[Latitude]]))+COS(RADIANS(MyLat))*COS(RADIANS(EVCleanedDataset[[#This Row],[Latitude]]))*COS(RADIANS(EVCleanedDataset[[#This Row],[Longitude]]-MyLong)))</f>
        <v>291.86190436898897</v>
      </c>
      <c r="J348">
        <f t="shared" si="11"/>
        <v>6</v>
      </c>
      <c r="K34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44.891457736144467</v>
      </c>
      <c r="L348" t="str">
        <f>IF(EVCleanedDataset[[#This Row],[Score]]&gt;50,"Yes","No")</f>
        <v>No</v>
      </c>
    </row>
    <row r="349" spans="1:12" x14ac:dyDescent="0.3">
      <c r="A349" t="s">
        <v>341</v>
      </c>
      <c r="B349" t="s">
        <v>49</v>
      </c>
      <c r="C349" t="s">
        <v>1008</v>
      </c>
      <c r="D349">
        <v>12.924970999999999</v>
      </c>
      <c r="E349">
        <v>80.233677</v>
      </c>
      <c r="F349">
        <f>IF(COUNTIF($C$5:C349,C349)=1,1,0)</f>
        <v>0</v>
      </c>
      <c r="G349" s="2" t="str">
        <f t="shared" si="10"/>
        <v/>
      </c>
      <c r="H349" s="2">
        <f>MAX(0, MyBattery - (EVCleanedDataset[[#This Row],[Distance(km)]]/VehicleRangeKm)*100)</f>
        <v>0</v>
      </c>
      <c r="I349" s="2">
        <f>6371*ACOS(SIN(RADIANS(MyLat))*SIN(RADIANS(EVCleanedDataset[[#This Row],[Latitude]]))+COS(RADIANS(MyLat))*COS(RADIANS(EVCleanedDataset[[#This Row],[Latitude]]))*COS(RADIANS(EVCleanedDataset[[#This Row],[Longitude]]-MyLong)))</f>
        <v>295.73701449692783</v>
      </c>
      <c r="J349">
        <f t="shared" si="11"/>
        <v>3</v>
      </c>
      <c r="K34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54.823594372226879</v>
      </c>
      <c r="L349" t="str">
        <f>IF(EVCleanedDataset[[#This Row],[Score]]&gt;50,"Yes","No")</f>
        <v>Yes</v>
      </c>
    </row>
    <row r="350" spans="1:12" x14ac:dyDescent="0.3">
      <c r="A350" t="s">
        <v>3288</v>
      </c>
      <c r="B350" t="s">
        <v>313</v>
      </c>
      <c r="C350" t="s">
        <v>1110</v>
      </c>
      <c r="D350">
        <v>20.299638099999999</v>
      </c>
      <c r="E350">
        <v>85.830933599999994</v>
      </c>
      <c r="F350">
        <f>IF(COUNTIF($C$5:C350,C350)=1,1,0)</f>
        <v>0</v>
      </c>
      <c r="G350" s="2" t="str">
        <f t="shared" si="10"/>
        <v/>
      </c>
      <c r="H350" s="2">
        <f>MAX(0, MyBattery - (EVCleanedDataset[[#This Row],[Distance(km)]]/VehicleRangeKm)*100)</f>
        <v>0</v>
      </c>
      <c r="I350" s="2">
        <f>6371*ACOS(SIN(RADIANS(MyLat))*SIN(RADIANS(EVCleanedDataset[[#This Row],[Latitude]]))+COS(RADIANS(MyLat))*COS(RADIANS(EVCleanedDataset[[#This Row],[Latitude]]))*COS(RADIANS(EVCleanedDataset[[#This Row],[Longitude]]-MyLong)))</f>
        <v>1172.6753565528484</v>
      </c>
      <c r="J350">
        <f t="shared" si="11"/>
        <v>0</v>
      </c>
      <c r="K350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49.463846001874977</v>
      </c>
      <c r="L350" t="str">
        <f>IF(EVCleanedDataset[[#This Row],[Score]]&gt;50,"Yes","No")</f>
        <v>No</v>
      </c>
    </row>
    <row r="351" spans="1:12" x14ac:dyDescent="0.3">
      <c r="A351" t="s">
        <v>1112</v>
      </c>
      <c r="B351" t="s">
        <v>41</v>
      </c>
      <c r="C351" t="s">
        <v>221</v>
      </c>
      <c r="D351">
        <v>19.991880999999999</v>
      </c>
      <c r="E351">
        <v>73.743904000000001</v>
      </c>
      <c r="F351">
        <f>IF(COUNTIF($C$5:C351,C351)=1,1,0)</f>
        <v>0</v>
      </c>
      <c r="G351" s="2" t="str">
        <f t="shared" si="10"/>
        <v/>
      </c>
      <c r="H351" s="2">
        <f>MAX(0, MyBattery - (EVCleanedDataset[[#This Row],[Distance(km)]]/VehicleRangeKm)*100)</f>
        <v>0</v>
      </c>
      <c r="I351" s="2">
        <f>6371*ACOS(SIN(RADIANS(MyLat))*SIN(RADIANS(EVCleanedDataset[[#This Row],[Latitude]]))+COS(RADIANS(MyLat))*COS(RADIANS(EVCleanedDataset[[#This Row],[Latitude]]))*COS(RADIANS(EVCleanedDataset[[#This Row],[Longitude]]-MyLong)))</f>
        <v>841.8141887755919</v>
      </c>
      <c r="J351">
        <f t="shared" si="11"/>
        <v>7</v>
      </c>
      <c r="K351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31.925625183134454</v>
      </c>
      <c r="L351" t="str">
        <f>IF(EVCleanedDataset[[#This Row],[Score]]&gt;50,"Yes","No")</f>
        <v>No</v>
      </c>
    </row>
    <row r="352" spans="1:12" x14ac:dyDescent="0.3">
      <c r="A352" t="s">
        <v>2805</v>
      </c>
      <c r="B352" t="s">
        <v>41</v>
      </c>
      <c r="C352" t="s">
        <v>122</v>
      </c>
      <c r="D352">
        <v>20.170400000000001</v>
      </c>
      <c r="E352">
        <v>73.827299999999994</v>
      </c>
      <c r="F352">
        <f>IF(COUNTIF($C$5:C352,C352)=1,1,0)</f>
        <v>1</v>
      </c>
      <c r="G352" s="2">
        <f t="shared" si="10"/>
        <v>855.05618553518218</v>
      </c>
      <c r="H352" s="2">
        <f>MAX(0, MyBattery - (EVCleanedDataset[[#This Row],[Distance(km)]]/VehicleRangeKm)*100)</f>
        <v>0</v>
      </c>
      <c r="I352" s="2">
        <f>6371*ACOS(SIN(RADIANS(MyLat))*SIN(RADIANS(EVCleanedDataset[[#This Row],[Latitude]]))+COS(RADIANS(MyLat))*COS(RADIANS(EVCleanedDataset[[#This Row],[Latitude]]))*COS(RADIANS(EVCleanedDataset[[#This Row],[Longitude]]-MyLong)))</f>
        <v>855.05618553518218</v>
      </c>
      <c r="J352">
        <f t="shared" si="11"/>
        <v>4</v>
      </c>
      <c r="K352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41.693698841873058</v>
      </c>
      <c r="L352" t="str">
        <f>IF(EVCleanedDataset[[#This Row],[Score]]&gt;50,"Yes","No")</f>
        <v>No</v>
      </c>
    </row>
    <row r="353" spans="1:12" x14ac:dyDescent="0.3">
      <c r="A353" t="s">
        <v>3258</v>
      </c>
      <c r="B353" t="s">
        <v>150</v>
      </c>
      <c r="C353" t="s">
        <v>3377</v>
      </c>
      <c r="D353">
        <v>12.2951473</v>
      </c>
      <c r="E353">
        <v>76.6415085</v>
      </c>
      <c r="F353">
        <f>IF(COUNTIF($C$5:C353,C353)=1,1,0)</f>
        <v>0</v>
      </c>
      <c r="G353" s="2" t="str">
        <f t="shared" si="10"/>
        <v/>
      </c>
      <c r="H353" s="2">
        <f>MAX(0, MyBattery - (EVCleanedDataset[[#This Row],[Distance(km)]]/VehicleRangeKm)*100)</f>
        <v>19.258804207406257</v>
      </c>
      <c r="I353" s="2">
        <f>6371*ACOS(SIN(RADIANS(MyLat))*SIN(RADIANS(EVCleanedDataset[[#This Row],[Latitude]]))+COS(RADIANS(MyLat))*COS(RADIANS(EVCleanedDataset[[#This Row],[Latitude]]))*COS(RADIANS(EVCleanedDataset[[#This Row],[Longitude]]-MyLong)))</f>
        <v>152.22358737778123</v>
      </c>
      <c r="J353">
        <f t="shared" si="11"/>
        <v>1</v>
      </c>
      <c r="K353" s="5">
        <f>((1-(EVCleanedDataset[[#This Row],[Distance(km)]]/MAX($I$5:$I$1121)))*0.4 + (1-(EVCleanedDataset[[#This Row],[QueueLength]]/MAX($J$5:$J$1121)))*0.3 + (EVCleanedDataset[[#This Row],[EstimatedBatteryOnArrival]]/100)*0.3 + (ROW()/10000000))*100</f>
        <v>69.781609976180576</v>
      </c>
      <c r="L353" t="str">
        <f>IF(EVCleanedDataset[[#This Row],[Score]]&gt;50,"Yes","No")</f>
        <v>Yes</v>
      </c>
    </row>
    <row r="354" spans="1:12" x14ac:dyDescent="0.3">
      <c r="A354" t="s">
        <v>2653</v>
      </c>
      <c r="B354" t="s">
        <v>49</v>
      </c>
      <c r="C354" t="s">
        <v>2654</v>
      </c>
      <c r="D354">
        <v>10.957778299999999</v>
      </c>
      <c r="E354">
        <v>78.060585500000002</v>
      </c>
      <c r="F354">
        <f>IF(COUNTIF($C$5:C354,C354)=1,1,0)</f>
        <v>1</v>
      </c>
      <c r="G354" s="2">
        <f t="shared" si="10"/>
        <v>271.91525740133102</v>
      </c>
      <c r="H354" s="2">
        <f>MAX(0, MyBattery - (EVCleanedDataset[[#This Row],[Distance(km)]]/VehicleRangeKm)*100)</f>
        <v>0</v>
      </c>
      <c r="I354" s="2">
        <f>6371*ACOS(SIN(RADIANS(MyLat))*SIN(RADIANS(EVCleanedDataset[[#This Row],[Latitude]]))+COS(RADIANS(MyLat))*COS(RADIANS(EVCleanedDataset[[#This Row],[Latitude]]))*COS(RADIANS(EVCleanedDataset[[#This Row],[Longitude]]-MyLong)))</f>
        <v>271.91525740133102</v>
      </c>
      <c r="J354">
        <f t="shared" si="11"/>
        <v>8</v>
      </c>
      <c r="K35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38.574220760628108</v>
      </c>
      <c r="L354" t="str">
        <f>IF(EVCleanedDataset[[#This Row],[Score]]&gt;50,"Yes","No")</f>
        <v>No</v>
      </c>
    </row>
    <row r="355" spans="1:12" x14ac:dyDescent="0.3">
      <c r="A355" t="s">
        <v>480</v>
      </c>
      <c r="B355" t="s">
        <v>386</v>
      </c>
      <c r="C355" t="s">
        <v>2009</v>
      </c>
      <c r="D355">
        <v>11.2586377</v>
      </c>
      <c r="E355">
        <v>75.785704600000003</v>
      </c>
      <c r="F355">
        <f>IF(COUNTIF($C$5:C355,C355)=1,1,0)</f>
        <v>0</v>
      </c>
      <c r="G355" s="2" t="str">
        <f t="shared" si="10"/>
        <v/>
      </c>
      <c r="H355" s="2">
        <f>MAX(0, MyBattery - (EVCleanedDataset[[#This Row],[Distance(km)]]/VehicleRangeKm)*100)</f>
        <v>0</v>
      </c>
      <c r="I355" s="2">
        <f>6371*ACOS(SIN(RADIANS(MyLat))*SIN(RADIANS(EVCleanedDataset[[#This Row],[Latitude]]))+COS(RADIANS(MyLat))*COS(RADIANS(EVCleanedDataset[[#This Row],[Latitude]]))*COS(RADIANS(EVCleanedDataset[[#This Row],[Longitude]]-MyLong)))</f>
        <v>300.41542770390413</v>
      </c>
      <c r="J355">
        <f t="shared" si="11"/>
        <v>5</v>
      </c>
      <c r="K35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48.075044320296271</v>
      </c>
      <c r="L355" t="str">
        <f>IF(EVCleanedDataset[[#This Row],[Score]]&gt;50,"Yes","No")</f>
        <v>No</v>
      </c>
    </row>
    <row r="356" spans="1:12" x14ac:dyDescent="0.3">
      <c r="A356" t="s">
        <v>1322</v>
      </c>
      <c r="B356" t="s">
        <v>41</v>
      </c>
      <c r="C356" t="s">
        <v>1323</v>
      </c>
      <c r="D356">
        <v>18.487404999999999</v>
      </c>
      <c r="E356">
        <v>74.146124999999998</v>
      </c>
      <c r="F356">
        <f>IF(COUNTIF($C$5:C356,C356)=1,1,0)</f>
        <v>1</v>
      </c>
      <c r="G356" s="2">
        <f t="shared" si="10"/>
        <v>676.63924242743224</v>
      </c>
      <c r="H356" s="2">
        <f>MAX(0, MyBattery - (EVCleanedDataset[[#This Row],[Distance(km)]]/VehicleRangeKm)*100)</f>
        <v>0</v>
      </c>
      <c r="I356" s="2">
        <f>6371*ACOS(SIN(RADIANS(MyLat))*SIN(RADIANS(EVCleanedDataset[[#This Row],[Latitude]]))+COS(RADIANS(MyLat))*COS(RADIANS(EVCleanedDataset[[#This Row],[Latitude]]))*COS(RADIANS(EVCleanedDataset[[#This Row],[Longitude]]-MyLong)))</f>
        <v>676.63924242743224</v>
      </c>
      <c r="J356">
        <f t="shared" si="11"/>
        <v>2</v>
      </c>
      <c r="K356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51.485415562139494</v>
      </c>
      <c r="L356" t="str">
        <f>IF(EVCleanedDataset[[#This Row],[Score]]&gt;50,"Yes","No")</f>
        <v>Yes</v>
      </c>
    </row>
    <row r="357" spans="1:12" x14ac:dyDescent="0.3">
      <c r="A357" t="s">
        <v>787</v>
      </c>
      <c r="B357" t="s">
        <v>502</v>
      </c>
      <c r="C357" t="s">
        <v>1985</v>
      </c>
      <c r="D357">
        <v>17.799256</v>
      </c>
      <c r="E357">
        <v>83.210796999999999</v>
      </c>
      <c r="F357">
        <f>IF(COUNTIF($C$5:C357,C357)=1,1,0)</f>
        <v>0</v>
      </c>
      <c r="G357" s="2" t="str">
        <f t="shared" si="10"/>
        <v/>
      </c>
      <c r="H357" s="2">
        <f>MAX(0, MyBattery - (EVCleanedDataset[[#This Row],[Distance(km)]]/VehicleRangeKm)*100)</f>
        <v>0</v>
      </c>
      <c r="I357" s="2">
        <f>6371*ACOS(SIN(RADIANS(MyLat))*SIN(RADIANS(EVCleanedDataset[[#This Row],[Latitude]]))+COS(RADIANS(MyLat))*COS(RADIANS(EVCleanedDataset[[#This Row],[Latitude]]))*COS(RADIANS(EVCleanedDataset[[#This Row],[Longitude]]-MyLong)))</f>
        <v>783.50630789745458</v>
      </c>
      <c r="J357">
        <f t="shared" si="11"/>
        <v>9</v>
      </c>
      <c r="K357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26.28029323833227</v>
      </c>
      <c r="L357" t="str">
        <f>IF(EVCleanedDataset[[#This Row],[Score]]&gt;50,"Yes","No")</f>
        <v>No</v>
      </c>
    </row>
    <row r="358" spans="1:12" x14ac:dyDescent="0.3">
      <c r="A358" t="s">
        <v>2541</v>
      </c>
      <c r="B358" t="s">
        <v>115</v>
      </c>
      <c r="C358" t="s">
        <v>1163</v>
      </c>
      <c r="D358">
        <v>17.359176000000001</v>
      </c>
      <c r="E358">
        <v>78.426284999999993</v>
      </c>
      <c r="F358">
        <f>IF(COUNTIF($C$5:C358,C358)=1,1,0)</f>
        <v>0</v>
      </c>
      <c r="G358" s="2" t="str">
        <f t="shared" si="10"/>
        <v/>
      </c>
      <c r="H358" s="2">
        <f>MAX(0, MyBattery - (EVCleanedDataset[[#This Row],[Distance(km)]]/VehicleRangeKm)*100)</f>
        <v>0</v>
      </c>
      <c r="I358" s="2">
        <f>6371*ACOS(SIN(RADIANS(MyLat))*SIN(RADIANS(EVCleanedDataset[[#This Row],[Latitude]]))+COS(RADIANS(MyLat))*COS(RADIANS(EVCleanedDataset[[#This Row],[Latitude]]))*COS(RADIANS(EVCleanedDataset[[#This Row],[Longitude]]-MyLong)))</f>
        <v>455.96343500004429</v>
      </c>
      <c r="J358">
        <f t="shared" si="11"/>
        <v>6</v>
      </c>
      <c r="K358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42.017285124470725</v>
      </c>
      <c r="L358" t="str">
        <f>IF(EVCleanedDataset[[#This Row],[Score]]&gt;50,"Yes","No")</f>
        <v>No</v>
      </c>
    </row>
    <row r="359" spans="1:12" x14ac:dyDescent="0.3">
      <c r="A359" t="s">
        <v>2375</v>
      </c>
      <c r="B359" t="s">
        <v>41</v>
      </c>
      <c r="C359" t="s">
        <v>42</v>
      </c>
      <c r="D359">
        <v>18.515665760000001</v>
      </c>
      <c r="E359">
        <v>73.946072479999998</v>
      </c>
      <c r="F359">
        <f>IF(COUNTIF($C$5:C359,C359)=1,1,0)</f>
        <v>0</v>
      </c>
      <c r="G359" s="2" t="str">
        <f t="shared" si="10"/>
        <v/>
      </c>
      <c r="H359" s="2">
        <f>MAX(0, MyBattery - (EVCleanedDataset[[#This Row],[Distance(km)]]/VehicleRangeKm)*100)</f>
        <v>0</v>
      </c>
      <c r="I359" s="2">
        <f>6371*ACOS(SIN(RADIANS(MyLat))*SIN(RADIANS(EVCleanedDataset[[#This Row],[Latitude]]))+COS(RADIANS(MyLat))*COS(RADIANS(EVCleanedDataset[[#This Row],[Latitude]]))*COS(RADIANS(EVCleanedDataset[[#This Row],[Longitude]]-MyLong)))</f>
        <v>690.92551362439406</v>
      </c>
      <c r="J359">
        <f t="shared" si="11"/>
        <v>3</v>
      </c>
      <c r="K359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47.901885202486149</v>
      </c>
      <c r="L359" t="str">
        <f>IF(EVCleanedDataset[[#This Row],[Score]]&gt;50,"Yes","No")</f>
        <v>No</v>
      </c>
    </row>
    <row r="360" spans="1:12" x14ac:dyDescent="0.3">
      <c r="A360" t="s">
        <v>3232</v>
      </c>
      <c r="B360" t="s">
        <v>502</v>
      </c>
      <c r="C360" t="s">
        <v>1985</v>
      </c>
      <c r="D360">
        <v>17.725417</v>
      </c>
      <c r="E360">
        <v>83.315174999999996</v>
      </c>
      <c r="F360">
        <f>IF(COUNTIF($C$5:C360,C360)=1,1,0)</f>
        <v>0</v>
      </c>
      <c r="G360" s="2" t="str">
        <f t="shared" si="10"/>
        <v/>
      </c>
      <c r="H360" s="2">
        <f>MAX(0, MyBattery - (EVCleanedDataset[[#This Row],[Distance(km)]]/VehicleRangeKm)*100)</f>
        <v>0</v>
      </c>
      <c r="I360" s="2">
        <f>6371*ACOS(SIN(RADIANS(MyLat))*SIN(RADIANS(EVCleanedDataset[[#This Row],[Latitude]]))+COS(RADIANS(MyLat))*COS(RADIANS(EVCleanedDataset[[#This Row],[Latitude]]))*COS(RADIANS(EVCleanedDataset[[#This Row],[Longitude]]-MyLong)))</f>
        <v>787.19253339692034</v>
      </c>
      <c r="J360">
        <f t="shared" si="11"/>
        <v>0</v>
      </c>
      <c r="K360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56.215758228165548</v>
      </c>
      <c r="L360" t="str">
        <f>IF(EVCleanedDataset[[#This Row],[Score]]&gt;50,"Yes","No")</f>
        <v>Yes</v>
      </c>
    </row>
    <row r="361" spans="1:12" x14ac:dyDescent="0.3">
      <c r="A361" t="s">
        <v>440</v>
      </c>
      <c r="B361" t="s">
        <v>386</v>
      </c>
      <c r="C361" t="s">
        <v>2009</v>
      </c>
      <c r="D361">
        <v>11.269805699999999</v>
      </c>
      <c r="E361">
        <v>75.843645499999994</v>
      </c>
      <c r="F361">
        <f>IF(COUNTIF($C$5:C361,C361)=1,1,0)</f>
        <v>0</v>
      </c>
      <c r="G361" s="2" t="str">
        <f t="shared" si="10"/>
        <v/>
      </c>
      <c r="H361" s="2">
        <f>MAX(0, MyBattery - (EVCleanedDataset[[#This Row],[Distance(km)]]/VehicleRangeKm)*100)</f>
        <v>0</v>
      </c>
      <c r="I361" s="2">
        <f>6371*ACOS(SIN(RADIANS(MyLat))*SIN(RADIANS(EVCleanedDataset[[#This Row],[Latitude]]))+COS(RADIANS(MyLat))*COS(RADIANS(EVCleanedDataset[[#This Row],[Latitude]]))*COS(RADIANS(EVCleanedDataset[[#This Row],[Longitude]]-MyLong)))</f>
        <v>295.49312267250946</v>
      </c>
      <c r="J361">
        <f t="shared" si="11"/>
        <v>7</v>
      </c>
      <c r="K36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41.494652855179723</v>
      </c>
      <c r="L361" t="str">
        <f>IF(EVCleanedDataset[[#This Row],[Score]]&gt;50,"Yes","No")</f>
        <v>No</v>
      </c>
    </row>
    <row r="362" spans="1:12" x14ac:dyDescent="0.3">
      <c r="A362" t="s">
        <v>706</v>
      </c>
      <c r="B362" t="s">
        <v>41</v>
      </c>
      <c r="C362" t="s">
        <v>42</v>
      </c>
      <c r="D362">
        <v>18.5267515</v>
      </c>
      <c r="E362">
        <v>73.877938200000003</v>
      </c>
      <c r="F362">
        <f>IF(COUNTIF($C$5:C362,C362)=1,1,0)</f>
        <v>0</v>
      </c>
      <c r="G362" s="2" t="str">
        <f t="shared" si="10"/>
        <v/>
      </c>
      <c r="H362" s="2">
        <f>MAX(0, MyBattery - (EVCleanedDataset[[#This Row],[Distance(km)]]/VehicleRangeKm)*100)</f>
        <v>0</v>
      </c>
      <c r="I362" s="2">
        <f>6371*ACOS(SIN(RADIANS(MyLat))*SIN(RADIANS(EVCleanedDataset[[#This Row],[Latitude]]))+COS(RADIANS(MyLat))*COS(RADIANS(EVCleanedDataset[[#This Row],[Latitude]]))*COS(RADIANS(EVCleanedDataset[[#This Row],[Longitude]]-MyLong)))</f>
        <v>696.01008965513563</v>
      </c>
      <c r="J362">
        <f t="shared" si="11"/>
        <v>4</v>
      </c>
      <c r="K362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44.479524457129088</v>
      </c>
      <c r="L362" t="str">
        <f>IF(EVCleanedDataset[[#This Row],[Score]]&gt;50,"Yes","No")</f>
        <v>No</v>
      </c>
    </row>
    <row r="363" spans="1:12" x14ac:dyDescent="0.3">
      <c r="A363" t="s">
        <v>2349</v>
      </c>
      <c r="B363" t="s">
        <v>115</v>
      </c>
      <c r="C363" t="s">
        <v>1163</v>
      </c>
      <c r="D363">
        <v>17.352657000000001</v>
      </c>
      <c r="E363">
        <v>78.546636000000007</v>
      </c>
      <c r="F363">
        <f>IF(COUNTIF($C$5:C363,C363)=1,1,0)</f>
        <v>0</v>
      </c>
      <c r="G363" s="2" t="str">
        <f t="shared" si="10"/>
        <v/>
      </c>
      <c r="H363" s="2">
        <f>MAX(0, MyBattery - (EVCleanedDataset[[#This Row],[Distance(km)]]/VehicleRangeKm)*100)</f>
        <v>0</v>
      </c>
      <c r="I363" s="2">
        <f>6371*ACOS(SIN(RADIANS(MyLat))*SIN(RADIANS(EVCleanedDataset[[#This Row],[Latitude]]))+COS(RADIANS(MyLat))*COS(RADIANS(EVCleanedDataset[[#This Row],[Latitude]]))*COS(RADIANS(EVCleanedDataset[[#This Row],[Longitude]]-MyLong)))</f>
        <v>458.12878170110105</v>
      </c>
      <c r="J363">
        <f t="shared" si="11"/>
        <v>1</v>
      </c>
      <c r="K36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58.64607529103899</v>
      </c>
      <c r="L363" t="str">
        <f>IF(EVCleanedDataset[[#This Row],[Score]]&gt;50,"Yes","No")</f>
        <v>Yes</v>
      </c>
    </row>
    <row r="364" spans="1:12" x14ac:dyDescent="0.3">
      <c r="A364" t="s">
        <v>2002</v>
      </c>
      <c r="B364" t="s">
        <v>386</v>
      </c>
      <c r="C364" t="s">
        <v>2003</v>
      </c>
      <c r="D364">
        <v>9.4551751999999993</v>
      </c>
      <c r="E364">
        <v>76.542559400000002</v>
      </c>
      <c r="F364">
        <f>IF(COUNTIF($C$5:C364,C364)=1,1,0)</f>
        <v>1</v>
      </c>
      <c r="G364" s="2">
        <f t="shared" si="10"/>
        <v>446.35607243481604</v>
      </c>
      <c r="H364" s="2">
        <f>MAX(0, MyBattery - (EVCleanedDataset[[#This Row],[Distance(km)]]/VehicleRangeKm)*100)</f>
        <v>0</v>
      </c>
      <c r="I364" s="2">
        <f>6371*ACOS(SIN(RADIANS(MyLat))*SIN(RADIANS(EVCleanedDataset[[#This Row],[Latitude]]))+COS(RADIANS(MyLat))*COS(RADIANS(EVCleanedDataset[[#This Row],[Latitude]]))*COS(RADIANS(EVCleanedDataset[[#This Row],[Longitude]]-MyLong)))</f>
        <v>446.35607243481604</v>
      </c>
      <c r="J364">
        <f t="shared" si="11"/>
        <v>8</v>
      </c>
      <c r="K364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35.518953421391927</v>
      </c>
      <c r="L364" t="str">
        <f>IF(EVCleanedDataset[[#This Row],[Score]]&gt;50,"Yes","No")</f>
        <v>No</v>
      </c>
    </row>
    <row r="365" spans="1:12" x14ac:dyDescent="0.3">
      <c r="A365" t="s">
        <v>1614</v>
      </c>
      <c r="B365" t="s">
        <v>115</v>
      </c>
      <c r="C365" t="s">
        <v>1163</v>
      </c>
      <c r="D365">
        <v>17.428623999999999</v>
      </c>
      <c r="E365">
        <v>78.450417999999999</v>
      </c>
      <c r="F365">
        <f>IF(COUNTIF($C$5:C365,C365)=1,1,0)</f>
        <v>0</v>
      </c>
      <c r="G365" s="2" t="str">
        <f t="shared" si="10"/>
        <v/>
      </c>
      <c r="H365" s="2">
        <f>MAX(0, MyBattery - (EVCleanedDataset[[#This Row],[Distance(km)]]/VehicleRangeKm)*100)</f>
        <v>0</v>
      </c>
      <c r="I365" s="2">
        <f>6371*ACOS(SIN(RADIANS(MyLat))*SIN(RADIANS(EVCleanedDataset[[#This Row],[Latitude]]))+COS(RADIANS(MyLat))*COS(RADIANS(EVCleanedDataset[[#This Row],[Latitude]]))*COS(RADIANS(EVCleanedDataset[[#This Row],[Longitude]]-MyLong)))</f>
        <v>464.05308910786351</v>
      </c>
      <c r="J365">
        <f t="shared" si="11"/>
        <v>5</v>
      </c>
      <c r="K36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45.208996475099184</v>
      </c>
      <c r="L365" t="str">
        <f>IF(EVCleanedDataset[[#This Row],[Score]]&gt;50,"Yes","No")</f>
        <v>No</v>
      </c>
    </row>
    <row r="366" spans="1:12" x14ac:dyDescent="0.3">
      <c r="A366" t="s">
        <v>3201</v>
      </c>
      <c r="B366" t="s">
        <v>41</v>
      </c>
      <c r="C366" t="s">
        <v>1956</v>
      </c>
      <c r="D366">
        <v>16.6869187</v>
      </c>
      <c r="E366">
        <v>74.270380500000002</v>
      </c>
      <c r="F366">
        <f>IF(COUNTIF($C$5:C366,C366)=1,1,0)</f>
        <v>0</v>
      </c>
      <c r="G366" s="2" t="str">
        <f t="shared" si="10"/>
        <v/>
      </c>
      <c r="H366" s="2">
        <f>MAX(0, MyBattery - (EVCleanedDataset[[#This Row],[Distance(km)]]/VehicleRangeKm)*100)</f>
        <v>0</v>
      </c>
      <c r="I366" s="2">
        <f>6371*ACOS(SIN(RADIANS(MyLat))*SIN(RADIANS(EVCleanedDataset[[#This Row],[Latitude]]))+COS(RADIANS(MyLat))*COS(RADIANS(EVCleanedDataset[[#This Row],[Latitude]]))*COS(RADIANS(EVCleanedDataset[[#This Row],[Longitude]]-MyLong)))</f>
        <v>510.70706380876311</v>
      </c>
      <c r="J366">
        <f t="shared" si="11"/>
        <v>2</v>
      </c>
      <c r="K366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54.391852355982536</v>
      </c>
      <c r="L366" t="str">
        <f>IF(EVCleanedDataset[[#This Row],[Score]]&gt;50,"Yes","No")</f>
        <v>Yes</v>
      </c>
    </row>
    <row r="367" spans="1:12" x14ac:dyDescent="0.3">
      <c r="A367" t="s">
        <v>771</v>
      </c>
      <c r="B367" t="s">
        <v>115</v>
      </c>
      <c r="C367" t="s">
        <v>1163</v>
      </c>
      <c r="D367">
        <v>17.377497000000002</v>
      </c>
      <c r="E367">
        <v>78.558084899999997</v>
      </c>
      <c r="F367">
        <f>IF(COUNTIF($C$5:C367,C367)=1,1,0)</f>
        <v>0</v>
      </c>
      <c r="G367" s="2" t="str">
        <f t="shared" si="10"/>
        <v/>
      </c>
      <c r="H367" s="2">
        <f>MAX(0, MyBattery - (EVCleanedDataset[[#This Row],[Distance(km)]]/VehicleRangeKm)*100)</f>
        <v>0</v>
      </c>
      <c r="I367" s="2">
        <f>6371*ACOS(SIN(RADIANS(MyLat))*SIN(RADIANS(EVCleanedDataset[[#This Row],[Latitude]]))+COS(RADIANS(MyLat))*COS(RADIANS(EVCleanedDataset[[#This Row],[Latitude]]))*COS(RADIANS(EVCleanedDataset[[#This Row],[Longitude]]-MyLong)))</f>
        <v>461.10125600983838</v>
      </c>
      <c r="J367">
        <f t="shared" si="11"/>
        <v>9</v>
      </c>
      <c r="K367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31.927385115508933</v>
      </c>
      <c r="L367" t="str">
        <f>IF(EVCleanedDataset[[#This Row],[Score]]&gt;50,"Yes","No")</f>
        <v>No</v>
      </c>
    </row>
    <row r="368" spans="1:12" x14ac:dyDescent="0.3">
      <c r="A368" t="s">
        <v>3196</v>
      </c>
      <c r="B368" t="s">
        <v>115</v>
      </c>
      <c r="C368" t="s">
        <v>1163</v>
      </c>
      <c r="D368">
        <v>17.523923</v>
      </c>
      <c r="E368">
        <v>78.430328000000003</v>
      </c>
      <c r="F368">
        <f>IF(COUNTIF($C$5:C368,C368)=1,1,0)</f>
        <v>0</v>
      </c>
      <c r="G368" s="2" t="str">
        <f t="shared" si="10"/>
        <v/>
      </c>
      <c r="H368" s="2">
        <f>MAX(0, MyBattery - (EVCleanedDataset[[#This Row],[Distance(km)]]/VehicleRangeKm)*100)</f>
        <v>0</v>
      </c>
      <c r="I368" s="2">
        <f>6371*ACOS(SIN(RADIANS(MyLat))*SIN(RADIANS(EVCleanedDataset[[#This Row],[Latitude]]))+COS(RADIANS(MyLat))*COS(RADIANS(EVCleanedDataset[[#This Row],[Latitude]]))*COS(RADIANS(EVCleanedDataset[[#This Row],[Longitude]]-MyLong)))</f>
        <v>473.97279666765849</v>
      </c>
      <c r="J368">
        <f t="shared" si="11"/>
        <v>6</v>
      </c>
      <c r="K368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41.701947390307666</v>
      </c>
      <c r="L368" t="str">
        <f>IF(EVCleanedDataset[[#This Row],[Score]]&gt;50,"Yes","No")</f>
        <v>No</v>
      </c>
    </row>
    <row r="369" spans="1:12" x14ac:dyDescent="0.3">
      <c r="A369" t="s">
        <v>2226</v>
      </c>
      <c r="B369" t="s">
        <v>150</v>
      </c>
      <c r="C369" t="s">
        <v>2069</v>
      </c>
      <c r="D369">
        <v>12.987707500000001</v>
      </c>
      <c r="E369">
        <v>76.874478400000001</v>
      </c>
      <c r="F369">
        <f>IF(COUNTIF($C$5:C369,C369)=1,1,0)</f>
        <v>0</v>
      </c>
      <c r="G369" s="2" t="str">
        <f t="shared" si="10"/>
        <v/>
      </c>
      <c r="H369" s="2">
        <f>MAX(0, MyBattery - (EVCleanedDataset[[#This Row],[Distance(km)]]/VehicleRangeKm)*100)</f>
        <v>42.576700337443214</v>
      </c>
      <c r="I369" s="2">
        <f>6371*ACOS(SIN(RADIANS(MyLat))*SIN(RADIANS(EVCleanedDataset[[#This Row],[Latitude]]))+COS(RADIANS(MyLat))*COS(RADIANS(EVCleanedDataset[[#This Row],[Latitude]]))*COS(RADIANS(EVCleanedDataset[[#This Row],[Longitude]]-MyLong)))</f>
        <v>82.269898987670359</v>
      </c>
      <c r="J369">
        <f t="shared" si="11"/>
        <v>3</v>
      </c>
      <c r="K369" s="5">
        <f>((1-(EVCleanedDataset[[#This Row],[Distance(km)]]/MAX($I$5:$I$1121)))*0.4 + (1-(EVCleanedDataset[[#This Row],[QueueLength]]/MAX($J$5:$J$1121)))*0.3 + (EVCleanedDataset[[#This Row],[EstimatedBatteryOnArrival]]/100)*0.3 + (ROW()/10000000))*100</f>
        <v>71.335725623322304</v>
      </c>
      <c r="L369" t="str">
        <f>IF(EVCleanedDataset[[#This Row],[Score]]&gt;50,"Yes","No")</f>
        <v>Yes</v>
      </c>
    </row>
    <row r="370" spans="1:12" x14ac:dyDescent="0.3">
      <c r="A370" t="s">
        <v>1477</v>
      </c>
      <c r="B370" t="s">
        <v>68</v>
      </c>
      <c r="C370" t="s">
        <v>1478</v>
      </c>
      <c r="D370">
        <v>21.528409960000001</v>
      </c>
      <c r="E370">
        <v>70.458457949999996</v>
      </c>
      <c r="F370">
        <f>IF(COUNTIF($C$5:C370,C370)=1,1,0)</f>
        <v>1</v>
      </c>
      <c r="G370" s="2">
        <f t="shared" si="10"/>
        <v>1178.9143993236116</v>
      </c>
      <c r="H370" s="2">
        <f>MAX(0, MyBattery - (EVCleanedDataset[[#This Row],[Distance(km)]]/VehicleRangeKm)*100)</f>
        <v>0</v>
      </c>
      <c r="I370" s="2">
        <f>6371*ACOS(SIN(RADIANS(MyLat))*SIN(RADIANS(EVCleanedDataset[[#This Row],[Latitude]]))+COS(RADIANS(MyLat))*COS(RADIANS(EVCleanedDataset[[#This Row],[Latitude]]))*COS(RADIANS(EVCleanedDataset[[#This Row],[Longitude]]-MyLong)))</f>
        <v>1178.9143993236116</v>
      </c>
      <c r="J370">
        <f t="shared" si="11"/>
        <v>0</v>
      </c>
      <c r="K370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49.354767863577877</v>
      </c>
      <c r="L370" t="str">
        <f>IF(EVCleanedDataset[[#This Row],[Score]]&gt;50,"Yes","No")</f>
        <v>No</v>
      </c>
    </row>
    <row r="371" spans="1:12" x14ac:dyDescent="0.3">
      <c r="A371" t="s">
        <v>2296</v>
      </c>
      <c r="B371" t="s">
        <v>386</v>
      </c>
      <c r="C371" t="s">
        <v>2297</v>
      </c>
      <c r="D371">
        <v>9.5447482000000008</v>
      </c>
      <c r="E371">
        <v>76.877561</v>
      </c>
      <c r="F371">
        <f>IF(COUNTIF($C$5:C371,C371)=1,1,0)</f>
        <v>1</v>
      </c>
      <c r="G371" s="2">
        <f t="shared" si="10"/>
        <v>429.09478181072387</v>
      </c>
      <c r="H371" s="2">
        <f>MAX(0, MyBattery - (EVCleanedDataset[[#This Row],[Distance(km)]]/VehicleRangeKm)*100)</f>
        <v>0</v>
      </c>
      <c r="I371" s="2">
        <f>6371*ACOS(SIN(RADIANS(MyLat))*SIN(RADIANS(EVCleanedDataset[[#This Row],[Latitude]]))+COS(RADIANS(MyLat))*COS(RADIANS(EVCleanedDataset[[#This Row],[Latitude]]))*COS(RADIANS(EVCleanedDataset[[#This Row],[Longitude]]-MyLong)))</f>
        <v>429.09478181072387</v>
      </c>
      <c r="J371">
        <f t="shared" si="11"/>
        <v>7</v>
      </c>
      <c r="K371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39.154691868189346</v>
      </c>
      <c r="L371" t="str">
        <f>IF(EVCleanedDataset[[#This Row],[Score]]&gt;50,"Yes","No")</f>
        <v>No</v>
      </c>
    </row>
    <row r="372" spans="1:12" x14ac:dyDescent="0.3">
      <c r="A372" t="s">
        <v>370</v>
      </c>
      <c r="B372" t="s">
        <v>115</v>
      </c>
      <c r="C372" t="s">
        <v>1163</v>
      </c>
      <c r="D372">
        <v>17.486819000000001</v>
      </c>
      <c r="E372">
        <v>78.543126900000004</v>
      </c>
      <c r="F372">
        <f>IF(COUNTIF($C$5:C372,C372)=1,1,0)</f>
        <v>0</v>
      </c>
      <c r="G372" s="2" t="str">
        <f t="shared" si="10"/>
        <v/>
      </c>
      <c r="H372" s="2">
        <f>MAX(0, MyBattery - (EVCleanedDataset[[#This Row],[Distance(km)]]/VehicleRangeKm)*100)</f>
        <v>0</v>
      </c>
      <c r="I372" s="2">
        <f>6371*ACOS(SIN(RADIANS(MyLat))*SIN(RADIANS(EVCleanedDataset[[#This Row],[Latitude]]))+COS(RADIANS(MyLat))*COS(RADIANS(EVCleanedDataset[[#This Row],[Latitude]]))*COS(RADIANS(EVCleanedDataset[[#This Row],[Longitude]]-MyLong)))</f>
        <v>472.54385975491942</v>
      </c>
      <c r="J372">
        <f t="shared" si="11"/>
        <v>4</v>
      </c>
      <c r="K37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48.393682185696235</v>
      </c>
      <c r="L372" t="str">
        <f>IF(EVCleanedDataset[[#This Row],[Score]]&gt;50,"Yes","No")</f>
        <v>No</v>
      </c>
    </row>
    <row r="373" spans="1:12" x14ac:dyDescent="0.3">
      <c r="A373" t="s">
        <v>2803</v>
      </c>
      <c r="B373" t="s">
        <v>115</v>
      </c>
      <c r="C373" t="s">
        <v>116</v>
      </c>
      <c r="D373">
        <v>17.501999999999999</v>
      </c>
      <c r="E373">
        <v>78.539000000000001</v>
      </c>
      <c r="F373">
        <f>IF(COUNTIF($C$5:C373,C373)=1,1,0)</f>
        <v>0</v>
      </c>
      <c r="G373" s="2" t="str">
        <f t="shared" si="10"/>
        <v/>
      </c>
      <c r="H373" s="2">
        <f>MAX(0, MyBattery - (EVCleanedDataset[[#This Row],[Distance(km)]]/VehicleRangeKm)*100)</f>
        <v>0</v>
      </c>
      <c r="I373" s="2">
        <f>6371*ACOS(SIN(RADIANS(MyLat))*SIN(RADIANS(EVCleanedDataset[[#This Row],[Latitude]]))+COS(RADIANS(MyLat))*COS(RADIANS(EVCleanedDataset[[#This Row],[Latitude]]))*COS(RADIANS(EVCleanedDataset[[#This Row],[Longitude]]-MyLong)))</f>
        <v>474.08633153338172</v>
      </c>
      <c r="J373">
        <f t="shared" si="11"/>
        <v>1</v>
      </c>
      <c r="K37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58.366675470068628</v>
      </c>
      <c r="L373" t="str">
        <f>IF(EVCleanedDataset[[#This Row],[Score]]&gt;50,"Yes","No")</f>
        <v>Yes</v>
      </c>
    </row>
    <row r="374" spans="1:12" x14ac:dyDescent="0.3">
      <c r="A374" t="s">
        <v>1222</v>
      </c>
      <c r="B374" t="s">
        <v>313</v>
      </c>
      <c r="C374" t="s">
        <v>1223</v>
      </c>
      <c r="D374">
        <v>19.298988000000001</v>
      </c>
      <c r="E374">
        <v>84.831761999999998</v>
      </c>
      <c r="F374">
        <f>IF(COUNTIF($C$5:C374,C374)=1,1,0)</f>
        <v>1</v>
      </c>
      <c r="G374" s="2">
        <f t="shared" si="10"/>
        <v>1021.1978589794642</v>
      </c>
      <c r="H374" s="2">
        <f>MAX(0, MyBattery - (EVCleanedDataset[[#This Row],[Distance(km)]]/VehicleRangeKm)*100)</f>
        <v>0</v>
      </c>
      <c r="I374" s="2">
        <f>6371*ACOS(SIN(RADIANS(MyLat))*SIN(RADIANS(EVCleanedDataset[[#This Row],[Latitude]]))+COS(RADIANS(MyLat))*COS(RADIANS(EVCleanedDataset[[#This Row],[Latitude]]))*COS(RADIANS(EVCleanedDataset[[#This Row],[Longitude]]-MyLong)))</f>
        <v>1021.1978589794642</v>
      </c>
      <c r="J374">
        <f t="shared" si="11"/>
        <v>8</v>
      </c>
      <c r="K374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25.450579369034703</v>
      </c>
      <c r="L374" t="str">
        <f>IF(EVCleanedDataset[[#This Row],[Score]]&gt;50,"Yes","No")</f>
        <v>No</v>
      </c>
    </row>
    <row r="375" spans="1:12" x14ac:dyDescent="0.3">
      <c r="A375" t="s">
        <v>3295</v>
      </c>
      <c r="B375" t="s">
        <v>14</v>
      </c>
      <c r="C375" t="s">
        <v>1393</v>
      </c>
      <c r="D375">
        <v>26.426756600000001</v>
      </c>
      <c r="E375">
        <v>74.681974499999995</v>
      </c>
      <c r="F375">
        <f>IF(COUNTIF($C$5:C375,C375)=1,1,0)</f>
        <v>1</v>
      </c>
      <c r="G375" s="2">
        <f t="shared" si="10"/>
        <v>1482.9156974026439</v>
      </c>
      <c r="H375" s="2">
        <f>MAX(0, MyBattery - (EVCleanedDataset[[#This Row],[Distance(km)]]/VehicleRangeKm)*100)</f>
        <v>0</v>
      </c>
      <c r="I375" s="2">
        <f>6371*ACOS(SIN(RADIANS(MyLat))*SIN(RADIANS(EVCleanedDataset[[#This Row],[Latitude]]))+COS(RADIANS(MyLat))*COS(RADIANS(EVCleanedDataset[[#This Row],[Latitude]]))*COS(RADIANS(EVCleanedDataset[[#This Row],[Longitude]]-MyLong)))</f>
        <v>1484.3220560935333</v>
      </c>
      <c r="J375">
        <f t="shared" si="11"/>
        <v>5</v>
      </c>
      <c r="K375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27.338872248241142</v>
      </c>
      <c r="L375" t="str">
        <f>IF(EVCleanedDataset[[#This Row],[Score]]&gt;50,"Yes","No")</f>
        <v>No</v>
      </c>
    </row>
    <row r="376" spans="1:12" x14ac:dyDescent="0.3">
      <c r="A376" t="s">
        <v>3046</v>
      </c>
      <c r="B376" t="s">
        <v>511</v>
      </c>
      <c r="C376" t="s">
        <v>1136</v>
      </c>
      <c r="D376">
        <v>22.73778248</v>
      </c>
      <c r="E376">
        <v>75.861283499999999</v>
      </c>
      <c r="F376">
        <f>IF(COUNTIF($C$5:C376,C376)=1,1,0)</f>
        <v>0</v>
      </c>
      <c r="G376" s="2" t="str">
        <f t="shared" si="10"/>
        <v/>
      </c>
      <c r="H376" s="2">
        <f>MAX(0, MyBattery - (EVCleanedDataset[[#This Row],[Distance(km)]]/VehicleRangeKm)*100)</f>
        <v>0</v>
      </c>
      <c r="I376" s="2">
        <f>6371*ACOS(SIN(RADIANS(MyLat))*SIN(RADIANS(EVCleanedDataset[[#This Row],[Latitude]]))+COS(RADIANS(MyLat))*COS(RADIANS(EVCleanedDataset[[#This Row],[Latitude]]))*COS(RADIANS(EVCleanedDataset[[#This Row],[Longitude]]-MyLong)))</f>
        <v>1058.8634132731738</v>
      </c>
      <c r="J376">
        <f t="shared" si="11"/>
        <v>2</v>
      </c>
      <c r="K376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44.790879312228412</v>
      </c>
      <c r="L376" t="str">
        <f>IF(EVCleanedDataset[[#This Row],[Score]]&gt;50,"Yes","No")</f>
        <v>No</v>
      </c>
    </row>
    <row r="377" spans="1:12" x14ac:dyDescent="0.3">
      <c r="A377" t="s">
        <v>3305</v>
      </c>
      <c r="B377" t="s">
        <v>49</v>
      </c>
      <c r="C377" t="s">
        <v>1974</v>
      </c>
      <c r="D377">
        <v>12.945335999999999</v>
      </c>
      <c r="E377">
        <v>79.200661999999994</v>
      </c>
      <c r="F377">
        <f>IF(COUNTIF($C$5:C377,C377)=1,1,0)</f>
        <v>1</v>
      </c>
      <c r="G377" s="2">
        <f t="shared" si="10"/>
        <v>159.16137077512261</v>
      </c>
      <c r="H377" s="2">
        <f>MAX(0, MyBattery - (EVCleanedDataset[[#This Row],[Distance(km)]]/VehicleRangeKm)*100)</f>
        <v>8.1337486901691918</v>
      </c>
      <c r="I377" s="2">
        <f>6371*ACOS(SIN(RADIANS(MyLat))*SIN(RADIANS(EVCleanedDataset[[#This Row],[Latitude]]))+COS(RADIANS(MyLat))*COS(RADIANS(EVCleanedDataset[[#This Row],[Latitude]]))*COS(RADIANS(EVCleanedDataset[[#This Row],[Longitude]]-MyLong)))</f>
        <v>185.59875392949243</v>
      </c>
      <c r="J377">
        <f t="shared" si="11"/>
        <v>9</v>
      </c>
      <c r="K377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39.193093635671154</v>
      </c>
      <c r="L377" t="str">
        <f>IF(EVCleanedDataset[[#This Row],[Score]]&gt;50,"Yes","No")</f>
        <v>No</v>
      </c>
    </row>
    <row r="378" spans="1:12" x14ac:dyDescent="0.3">
      <c r="A378" t="s">
        <v>3025</v>
      </c>
      <c r="B378" t="s">
        <v>502</v>
      </c>
      <c r="C378" t="s">
        <v>1048</v>
      </c>
      <c r="D378">
        <v>15.8498643</v>
      </c>
      <c r="E378">
        <v>78.004500300000004</v>
      </c>
      <c r="F378">
        <f>IF(COUNTIF($C$5:C378,C378)=1,1,0)</f>
        <v>1</v>
      </c>
      <c r="G378" s="2">
        <f t="shared" si="10"/>
        <v>251.42657755811837</v>
      </c>
      <c r="H378" s="2">
        <f>MAX(0, MyBattery - (EVCleanedDataset[[#This Row],[Distance(km)]]/VehicleRangeKm)*100)</f>
        <v>0</v>
      </c>
      <c r="I378" s="2">
        <f>6371*ACOS(SIN(RADIANS(MyLat))*SIN(RADIANS(EVCleanedDataset[[#This Row],[Latitude]]))+COS(RADIANS(MyLat))*COS(RADIANS(EVCleanedDataset[[#This Row],[Latitude]]))*COS(RADIANS(EVCleanedDataset[[#This Row],[Longitude]]-MyLong)))</f>
        <v>282.57337808106132</v>
      </c>
      <c r="J378">
        <f t="shared" si="11"/>
        <v>6</v>
      </c>
      <c r="K378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45.054448215688048</v>
      </c>
      <c r="L378" t="str">
        <f>IF(EVCleanedDataset[[#This Row],[Score]]&gt;50,"Yes","No")</f>
        <v>No</v>
      </c>
    </row>
    <row r="379" spans="1:12" x14ac:dyDescent="0.3">
      <c r="A379" t="s">
        <v>2770</v>
      </c>
      <c r="B379" t="s">
        <v>41</v>
      </c>
      <c r="C379" t="s">
        <v>2729</v>
      </c>
      <c r="D379">
        <v>18.901730000000001</v>
      </c>
      <c r="E379">
        <v>73.234359999999995</v>
      </c>
      <c r="F379">
        <f>IF(COUNTIF($C$5:C379,C379)=1,1,0)</f>
        <v>1</v>
      </c>
      <c r="G379" s="2">
        <f t="shared" si="10"/>
        <v>769.60080859035213</v>
      </c>
      <c r="H379" s="2">
        <f>MAX(0, MyBattery - (EVCleanedDataset[[#This Row],[Distance(km)]]/VehicleRangeKm)*100)</f>
        <v>0</v>
      </c>
      <c r="I379" s="2">
        <f>6371*ACOS(SIN(RADIANS(MyLat))*SIN(RADIANS(EVCleanedDataset[[#This Row],[Latitude]]))+COS(RADIANS(MyLat))*COS(RADIANS(EVCleanedDataset[[#This Row],[Latitude]]))*COS(RADIANS(EVCleanedDataset[[#This Row],[Longitude]]-MyLong)))</f>
        <v>769.60080859035213</v>
      </c>
      <c r="J379">
        <f t="shared" si="11"/>
        <v>3</v>
      </c>
      <c r="K379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46.524070965407411</v>
      </c>
      <c r="L379" t="str">
        <f>IF(EVCleanedDataset[[#This Row],[Score]]&gt;50,"Yes","No")</f>
        <v>No</v>
      </c>
    </row>
    <row r="380" spans="1:12" x14ac:dyDescent="0.3">
      <c r="A380" t="s">
        <v>2885</v>
      </c>
      <c r="B380" t="s">
        <v>150</v>
      </c>
      <c r="C380" t="s">
        <v>2751</v>
      </c>
      <c r="D380">
        <v>15.351334</v>
      </c>
      <c r="E380">
        <v>75.141650999999996</v>
      </c>
      <c r="F380">
        <f>IF(COUNTIF($C$5:C380,C380)=1,1,0)</f>
        <v>0</v>
      </c>
      <c r="G380" s="2" t="str">
        <f t="shared" si="10"/>
        <v/>
      </c>
      <c r="H380" s="2">
        <f>MAX(0, MyBattery - (EVCleanedDataset[[#This Row],[Distance(km)]]/VehicleRangeKm)*100)</f>
        <v>0</v>
      </c>
      <c r="I380" s="2">
        <f>6371*ACOS(SIN(RADIANS(MyLat))*SIN(RADIANS(EVCleanedDataset[[#This Row],[Latitude]]))+COS(RADIANS(MyLat))*COS(RADIANS(EVCleanedDataset[[#This Row],[Latitude]]))*COS(RADIANS(EVCleanedDataset[[#This Row],[Longitude]]-MyLong)))</f>
        <v>340.83896923703355</v>
      </c>
      <c r="J380">
        <f t="shared" si="11"/>
        <v>0</v>
      </c>
      <c r="K38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64.03393420714724</v>
      </c>
      <c r="L380" t="str">
        <f>IF(EVCleanedDataset[[#This Row],[Score]]&gt;50,"Yes","No")</f>
        <v>Yes</v>
      </c>
    </row>
    <row r="381" spans="1:12" x14ac:dyDescent="0.3">
      <c r="A381" t="s">
        <v>2285</v>
      </c>
      <c r="B381" t="s">
        <v>386</v>
      </c>
      <c r="C381" t="s">
        <v>1647</v>
      </c>
      <c r="D381">
        <v>8.8738600000000005</v>
      </c>
      <c r="E381">
        <v>76.641120000000001</v>
      </c>
      <c r="F381">
        <f>IF(COUNTIF($C$5:C381,C381)=1,1,0)</f>
        <v>0</v>
      </c>
      <c r="G381" s="2" t="str">
        <f t="shared" si="10"/>
        <v/>
      </c>
      <c r="H381" s="2">
        <f>MAX(0, MyBattery - (EVCleanedDataset[[#This Row],[Distance(km)]]/VehicleRangeKm)*100)</f>
        <v>0</v>
      </c>
      <c r="I381" s="2">
        <f>6371*ACOS(SIN(RADIANS(MyLat))*SIN(RADIANS(EVCleanedDataset[[#This Row],[Latitude]]))+COS(RADIANS(MyLat))*COS(RADIANS(EVCleanedDataset[[#This Row],[Latitude]]))*COS(RADIANS(EVCleanedDataset[[#This Row],[Longitude]]-MyLong)))</f>
        <v>507.14108982341725</v>
      </c>
      <c r="J381">
        <f t="shared" si="11"/>
        <v>7</v>
      </c>
      <c r="K381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37.787794469076204</v>
      </c>
      <c r="L381" t="str">
        <f>IF(EVCleanedDataset[[#This Row],[Score]]&gt;50,"Yes","No")</f>
        <v>No</v>
      </c>
    </row>
    <row r="382" spans="1:12" x14ac:dyDescent="0.3">
      <c r="A382" t="s">
        <v>2061</v>
      </c>
      <c r="B382" t="s">
        <v>49</v>
      </c>
      <c r="C382" t="s">
        <v>2062</v>
      </c>
      <c r="D382">
        <v>9.7590386000000002</v>
      </c>
      <c r="E382">
        <v>77.979158200000001</v>
      </c>
      <c r="F382">
        <f>IF(COUNTIF($C$5:C382,C382)=1,1,0)</f>
        <v>1</v>
      </c>
      <c r="G382" s="2">
        <f t="shared" si="10"/>
        <v>402.086627668164</v>
      </c>
      <c r="H382" s="2">
        <f>MAX(0, MyBattery - (EVCleanedDataset[[#This Row],[Distance(km)]]/VehicleRangeKm)*100)</f>
        <v>0</v>
      </c>
      <c r="I382" s="2">
        <f>6371*ACOS(SIN(RADIANS(MyLat))*SIN(RADIANS(EVCleanedDataset[[#This Row],[Latitude]]))+COS(RADIANS(MyLat))*COS(RADIANS(EVCleanedDataset[[#This Row],[Latitude]]))*COS(RADIANS(EVCleanedDataset[[#This Row],[Longitude]]-MyLong)))</f>
        <v>402.086627668164</v>
      </c>
      <c r="J382">
        <f t="shared" si="11"/>
        <v>4</v>
      </c>
      <c r="K382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49.627855333597616</v>
      </c>
      <c r="L382" t="str">
        <f>IF(EVCleanedDataset[[#This Row],[Score]]&gt;50,"Yes","No")</f>
        <v>No</v>
      </c>
    </row>
    <row r="383" spans="1:12" x14ac:dyDescent="0.3">
      <c r="A383" t="s">
        <v>2782</v>
      </c>
      <c r="B383" t="s">
        <v>49</v>
      </c>
      <c r="C383" t="s">
        <v>50</v>
      </c>
      <c r="D383">
        <v>11.33</v>
      </c>
      <c r="E383">
        <v>76.902699999999996</v>
      </c>
      <c r="F383">
        <f>IF(COUNTIF($C$5:C383,C383)=1,1,0)</f>
        <v>1</v>
      </c>
      <c r="G383" s="2">
        <f t="shared" si="10"/>
        <v>234.86542095864527</v>
      </c>
      <c r="H383" s="2">
        <f>MAX(0, MyBattery - (EVCleanedDataset[[#This Row],[Distance(km)]]/VehicleRangeKm)*100)</f>
        <v>0</v>
      </c>
      <c r="I383" s="2">
        <f>6371*ACOS(SIN(RADIANS(MyLat))*SIN(RADIANS(EVCleanedDataset[[#This Row],[Latitude]]))+COS(RADIANS(MyLat))*COS(RADIANS(EVCleanedDataset[[#This Row],[Latitude]]))*COS(RADIANS(EVCleanedDataset[[#This Row],[Longitude]]-MyLong)))</f>
        <v>234.86542095864527</v>
      </c>
      <c r="J383">
        <f t="shared" si="11"/>
        <v>1</v>
      </c>
      <c r="K383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62.556779723901577</v>
      </c>
      <c r="L383" t="str">
        <f>IF(EVCleanedDataset[[#This Row],[Score]]&gt;50,"Yes","No")</f>
        <v>Yes</v>
      </c>
    </row>
    <row r="384" spans="1:12" x14ac:dyDescent="0.3">
      <c r="A384" t="s">
        <v>2292</v>
      </c>
      <c r="B384" t="s">
        <v>386</v>
      </c>
      <c r="C384" t="s">
        <v>1807</v>
      </c>
      <c r="D384">
        <v>10.596515999999999</v>
      </c>
      <c r="E384">
        <v>76.042429999999996</v>
      </c>
      <c r="F384">
        <f>IF(COUNTIF($C$5:C384,C384)=1,1,0)</f>
        <v>0</v>
      </c>
      <c r="G384" s="2" t="str">
        <f t="shared" si="10"/>
        <v/>
      </c>
      <c r="H384" s="2">
        <f>MAX(0, MyBattery - (EVCleanedDataset[[#This Row],[Distance(km)]]/VehicleRangeKm)*100)</f>
        <v>0</v>
      </c>
      <c r="I384" s="2">
        <f>6371*ACOS(SIN(RADIANS(MyLat))*SIN(RADIANS(EVCleanedDataset[[#This Row],[Latitude]]))+COS(RADIANS(MyLat))*COS(RADIANS(EVCleanedDataset[[#This Row],[Latitude]]))*COS(RADIANS(EVCleanedDataset[[#This Row],[Longitude]]-MyLong)))</f>
        <v>346.58964602562145</v>
      </c>
      <c r="J384">
        <f t="shared" si="11"/>
        <v>8</v>
      </c>
      <c r="K384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37.266583234446003</v>
      </c>
      <c r="L384" t="str">
        <f>IF(EVCleanedDataset[[#This Row],[Score]]&gt;50,"Yes","No")</f>
        <v>No</v>
      </c>
    </row>
    <row r="385" spans="1:12" x14ac:dyDescent="0.3">
      <c r="A385" t="s">
        <v>569</v>
      </c>
      <c r="B385" t="s">
        <v>14</v>
      </c>
      <c r="C385" t="s">
        <v>214</v>
      </c>
      <c r="D385">
        <v>26.854201</v>
      </c>
      <c r="E385">
        <v>75.794614999999993</v>
      </c>
      <c r="F385">
        <f>IF(COUNTIF($C$5:C385,C385)=1,1,0)</f>
        <v>1</v>
      </c>
      <c r="G385" s="2">
        <f t="shared" si="10"/>
        <v>1250.8469481584066</v>
      </c>
      <c r="H385" s="2">
        <f>MAX(0, MyBattery - (EVCleanedDataset[[#This Row],[Distance(km)]]/VehicleRangeKm)*100)</f>
        <v>0</v>
      </c>
      <c r="I385" s="2">
        <f>6371*ACOS(SIN(RADIANS(MyLat))*SIN(RADIANS(EVCleanedDataset[[#This Row],[Latitude]]))+COS(RADIANS(MyLat))*COS(RADIANS(EVCleanedDataset[[#This Row],[Latitude]]))*COS(RADIANS(EVCleanedDataset[[#This Row],[Longitude]]-MyLong)))</f>
        <v>1512.6134975958082</v>
      </c>
      <c r="J385">
        <f t="shared" si="11"/>
        <v>5</v>
      </c>
      <c r="K385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26.843441736477775</v>
      </c>
      <c r="L385" t="str">
        <f>IF(EVCleanedDataset[[#This Row],[Score]]&gt;50,"Yes","No")</f>
        <v>No</v>
      </c>
    </row>
    <row r="386" spans="1:12" x14ac:dyDescent="0.3">
      <c r="A386" t="s">
        <v>596</v>
      </c>
      <c r="B386" t="s">
        <v>41</v>
      </c>
      <c r="C386" t="s">
        <v>119</v>
      </c>
      <c r="D386">
        <v>19.0640261000026</v>
      </c>
      <c r="E386">
        <v>73.019715430026196</v>
      </c>
      <c r="F386">
        <f>IF(COUNTIF($C$5:C386,C386)=1,1,0)</f>
        <v>0</v>
      </c>
      <c r="G386" s="2" t="str">
        <f t="shared" si="10"/>
        <v/>
      </c>
      <c r="H386" s="2">
        <f>MAX(0, MyBattery - (EVCleanedDataset[[#This Row],[Distance(km)]]/VehicleRangeKm)*100)</f>
        <v>0</v>
      </c>
      <c r="I386" s="2">
        <f>6371*ACOS(SIN(RADIANS(MyLat))*SIN(RADIANS(EVCleanedDataset[[#This Row],[Latitude]]))+COS(RADIANS(MyLat))*COS(RADIANS(EVCleanedDataset[[#This Row],[Latitude]]))*COS(RADIANS(EVCleanedDataset[[#This Row],[Longitude]]-MyLong)))</f>
        <v>797.66667728777361</v>
      </c>
      <c r="J386">
        <f t="shared" si="11"/>
        <v>2</v>
      </c>
      <c r="K38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49.365894741806592</v>
      </c>
      <c r="L386" t="str">
        <f>IF(EVCleanedDataset[[#This Row],[Score]]&gt;50,"Yes","No")</f>
        <v>No</v>
      </c>
    </row>
    <row r="387" spans="1:12" x14ac:dyDescent="0.3">
      <c r="A387" t="s">
        <v>1495</v>
      </c>
      <c r="B387" t="s">
        <v>14</v>
      </c>
      <c r="C387" t="s">
        <v>214</v>
      </c>
      <c r="D387">
        <v>26.920616899999999</v>
      </c>
      <c r="E387">
        <v>75.797517299999996</v>
      </c>
      <c r="F387">
        <f>IF(COUNTIF($C$5:C387,C387)=1,1,0)</f>
        <v>0</v>
      </c>
      <c r="G387" s="2" t="str">
        <f t="shared" si="10"/>
        <v/>
      </c>
      <c r="H387" s="2">
        <f>MAX(0, MyBattery - (EVCleanedDataset[[#This Row],[Distance(km)]]/VehicleRangeKm)*100)</f>
        <v>0</v>
      </c>
      <c r="I387" s="2">
        <f>6371*ACOS(SIN(RADIANS(MyLat))*SIN(RADIANS(EVCleanedDataset[[#This Row],[Latitude]]))+COS(RADIANS(MyLat))*COS(RADIANS(EVCleanedDataset[[#This Row],[Latitude]]))*COS(RADIANS(EVCleanedDataset[[#This Row],[Longitude]]-MyLong)))</f>
        <v>1519.9041935192126</v>
      </c>
      <c r="J387">
        <f t="shared" si="11"/>
        <v>9</v>
      </c>
      <c r="K38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13.382430340048392</v>
      </c>
      <c r="L387" t="str">
        <f>IF(EVCleanedDataset[[#This Row],[Score]]&gt;50,"Yes","No")</f>
        <v>No</v>
      </c>
    </row>
    <row r="388" spans="1:12" x14ac:dyDescent="0.3">
      <c r="A388" t="s">
        <v>3355</v>
      </c>
      <c r="B388" t="s">
        <v>150</v>
      </c>
      <c r="C388" t="s">
        <v>1341</v>
      </c>
      <c r="D388">
        <v>12.9757032</v>
      </c>
      <c r="E388">
        <v>77.5877251</v>
      </c>
      <c r="F388">
        <f>IF(COUNTIF($C$5:C388,C388)=1,1,0)</f>
        <v>0</v>
      </c>
      <c r="G388" s="2" t="str">
        <f t="shared" si="10"/>
        <v/>
      </c>
      <c r="H388" s="2">
        <f>MAX(0, MyBattery - (EVCleanedDataset[[#This Row],[Distance(km)]]/VehicleRangeKm)*100)</f>
        <v>56.041227345781415</v>
      </c>
      <c r="I388" s="2">
        <f>6371*ACOS(SIN(RADIANS(MyLat))*SIN(RADIANS(EVCleanedDataset[[#This Row],[Latitude]]))+COS(RADIANS(MyLat))*COS(RADIANS(EVCleanedDataset[[#This Row],[Latitude]]))*COS(RADIANS(EVCleanedDataset[[#This Row],[Longitude]]-MyLong)))</f>
        <v>41.876317962655754</v>
      </c>
      <c r="J388">
        <f t="shared" si="11"/>
        <v>6</v>
      </c>
      <c r="K388" s="5">
        <f>((1-(EVCleanedDataset[[#This Row],[Distance(km)]]/MAX($I$5:$I$1121)))*0.4 + (1-(EVCleanedDataset[[#This Row],[QueueLength]]/MAX($J$5:$J$1121)))*0.3 + (EVCleanedDataset[[#This Row],[EstimatedBatteryOnArrival]]/100)*0.3 + (ROW()/10000000))*100</f>
        <v>66.082775741077072</v>
      </c>
      <c r="L388" t="str">
        <f>IF(EVCleanedDataset[[#This Row],[Score]]&gt;50,"Yes","No")</f>
        <v>Yes</v>
      </c>
    </row>
    <row r="389" spans="1:12" x14ac:dyDescent="0.3">
      <c r="A389" t="s">
        <v>2891</v>
      </c>
      <c r="B389" t="s">
        <v>150</v>
      </c>
      <c r="C389" t="s">
        <v>1341</v>
      </c>
      <c r="D389">
        <v>12.9062039682694</v>
      </c>
      <c r="E389">
        <v>77.590809542309501</v>
      </c>
      <c r="F389">
        <f>IF(COUNTIF($C$5:C389,C389)=1,1,0)</f>
        <v>0</v>
      </c>
      <c r="G389" s="2" t="str">
        <f t="shared" ref="G389:G452" si="12">IF(F389=1, IF(C389=MyCity, "", _xlfn.MINIFS($I$5:$I$1121,$C$5:$C$1121,C389)), "")</f>
        <v/>
      </c>
      <c r="H389" s="2">
        <f>MAX(0, MyBattery - (EVCleanedDataset[[#This Row],[Distance(km)]]/VehicleRangeKm)*100)</f>
        <v>53.471040981377257</v>
      </c>
      <c r="I389" s="2">
        <f>6371*ACOS(SIN(RADIANS(MyLat))*SIN(RADIANS(EVCleanedDataset[[#This Row],[Latitude]]))+COS(RADIANS(MyLat))*COS(RADIANS(EVCleanedDataset[[#This Row],[Latitude]]))*COS(RADIANS(EVCleanedDataset[[#This Row],[Longitude]]-MyLong)))</f>
        <v>49.586877055868214</v>
      </c>
      <c r="J389">
        <f t="shared" ref="J389:J452" si="13">MOD(ROW()*7,10)</f>
        <v>3</v>
      </c>
      <c r="K389" s="5">
        <f>((1-(EVCleanedDataset[[#This Row],[Distance(km)]]/MAX($I$5:$I$1121)))*0.4 + (1-(EVCleanedDataset[[#This Row],[QueueLength]]/MAX($J$5:$J$1121)))*0.3 + (EVCleanedDataset[[#This Row],[EstimatedBatteryOnArrival]]/100)*0.3 + (ROW()/10000000))*100</f>
        <v>75.176677777475234</v>
      </c>
      <c r="L389" t="str">
        <f>IF(EVCleanedDataset[[#This Row],[Score]]&gt;50,"Yes","No")</f>
        <v>Yes</v>
      </c>
    </row>
    <row r="390" spans="1:12" x14ac:dyDescent="0.3">
      <c r="A390" t="s">
        <v>107</v>
      </c>
      <c r="B390" t="s">
        <v>41</v>
      </c>
      <c r="C390" t="s">
        <v>42</v>
      </c>
      <c r="D390">
        <v>22.472999999999999</v>
      </c>
      <c r="E390">
        <v>70.894999999999996</v>
      </c>
      <c r="F390">
        <f>IF(COUNTIF($C$5:C390,C390)=1,1,0)</f>
        <v>0</v>
      </c>
      <c r="G390" s="2" t="str">
        <f t="shared" si="12"/>
        <v/>
      </c>
      <c r="H390" s="2">
        <f>MAX(0, MyBattery - (EVCleanedDataset[[#This Row],[Distance(km)]]/VehicleRangeKm)*100)</f>
        <v>0</v>
      </c>
      <c r="I390" s="2">
        <f>6371*ACOS(SIN(RADIANS(MyLat))*SIN(RADIANS(EVCleanedDataset[[#This Row],[Latitude]]))+COS(RADIANS(MyLat))*COS(RADIANS(EVCleanedDataset[[#This Row],[Latitude]]))*COS(RADIANS(EVCleanedDataset[[#This Row],[Longitude]]-MyLong)))</f>
        <v>1233.6109162921325</v>
      </c>
      <c r="J390">
        <f t="shared" si="13"/>
        <v>0</v>
      </c>
      <c r="K390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48.396946935485353</v>
      </c>
      <c r="L390" t="str">
        <f>IF(EVCleanedDataset[[#This Row],[Score]]&gt;50,"Yes","No")</f>
        <v>No</v>
      </c>
    </row>
    <row r="391" spans="1:12" x14ac:dyDescent="0.3">
      <c r="A391" t="s">
        <v>1340</v>
      </c>
      <c r="B391" t="s">
        <v>150</v>
      </c>
      <c r="C391" t="s">
        <v>1341</v>
      </c>
      <c r="D391">
        <v>12.889141</v>
      </c>
      <c r="E391">
        <v>77.597289000000004</v>
      </c>
      <c r="F391">
        <f>IF(COUNTIF($C$5:C391,C391)=1,1,0)</f>
        <v>0</v>
      </c>
      <c r="G391" s="2" t="str">
        <f t="shared" si="12"/>
        <v/>
      </c>
      <c r="H391" s="2">
        <f>MAX(0, MyBattery - (EVCleanedDataset[[#This Row],[Distance(km)]]/VehicleRangeKm)*100)</f>
        <v>52.814935468533918</v>
      </c>
      <c r="I391" s="2">
        <f>6371*ACOS(SIN(RADIANS(MyLat))*SIN(RADIANS(EVCleanedDataset[[#This Row],[Latitude]]))+COS(RADIANS(MyLat))*COS(RADIANS(EVCleanedDataset[[#This Row],[Latitude]]))*COS(RADIANS(EVCleanedDataset[[#This Row],[Longitude]]-MyLong)))</f>
        <v>51.555193594398254</v>
      </c>
      <c r="J391">
        <f t="shared" si="13"/>
        <v>7</v>
      </c>
      <c r="K391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61.612057314672995</v>
      </c>
      <c r="L391" t="str">
        <f>IF(EVCleanedDataset[[#This Row],[Score]]&gt;50,"Yes","No")</f>
        <v>Yes</v>
      </c>
    </row>
    <row r="392" spans="1:12" x14ac:dyDescent="0.3">
      <c r="A392" t="s">
        <v>323</v>
      </c>
      <c r="B392" t="s">
        <v>150</v>
      </c>
      <c r="C392" t="s">
        <v>1341</v>
      </c>
      <c r="D392">
        <v>12.9730997085571</v>
      </c>
      <c r="E392">
        <v>77.603302001953097</v>
      </c>
      <c r="F392">
        <f>IF(COUNTIF($C$5:C392,C392)=1,1,0)</f>
        <v>0</v>
      </c>
      <c r="G392" s="2" t="str">
        <f t="shared" si="12"/>
        <v/>
      </c>
      <c r="H392" s="2">
        <f>MAX(0, MyBattery - (EVCleanedDataset[[#This Row],[Distance(km)]]/VehicleRangeKm)*100)</f>
        <v>55.86204563103788</v>
      </c>
      <c r="I392" s="2">
        <f>6371*ACOS(SIN(RADIANS(MyLat))*SIN(RADIANS(EVCleanedDataset[[#This Row],[Latitude]]))+COS(RADIANS(MyLat))*COS(RADIANS(EVCleanedDataset[[#This Row],[Latitude]]))*COS(RADIANS(EVCleanedDataset[[#This Row],[Longitude]]-MyLong)))</f>
        <v>42.413863106886353</v>
      </c>
      <c r="J392">
        <f t="shared" si="13"/>
        <v>4</v>
      </c>
      <c r="K392" s="5">
        <f>((1-(EVCleanedDataset[[#This Row],[Distance(km)]]/MAX($I$5:$I$1121)))*0.4 + (1-(EVCleanedDataset[[#This Row],[QueueLength]]/MAX($J$5:$J$1121)))*0.3 + (EVCleanedDataset[[#This Row],[EstimatedBatteryOnArrival]]/100)*0.3 + (ROW()/10000000))*100</f>
        <v>72.686312677754685</v>
      </c>
      <c r="L392" t="str">
        <f>IF(EVCleanedDataset[[#This Row],[Score]]&gt;50,"Yes","No")</f>
        <v>Yes</v>
      </c>
    </row>
    <row r="393" spans="1:12" x14ac:dyDescent="0.3">
      <c r="A393" t="s">
        <v>2388</v>
      </c>
      <c r="B393" t="s">
        <v>41</v>
      </c>
      <c r="C393" t="s">
        <v>119</v>
      </c>
      <c r="D393">
        <v>19.115745100000002</v>
      </c>
      <c r="E393">
        <v>72.868256299999999</v>
      </c>
      <c r="F393">
        <f>IF(COUNTIF($C$5:C393,C393)=1,1,0)</f>
        <v>0</v>
      </c>
      <c r="G393" s="2" t="str">
        <f t="shared" si="12"/>
        <v/>
      </c>
      <c r="H393" s="2">
        <f>MAX(0, MyBattery - (EVCleanedDataset[[#This Row],[Distance(km)]]/VehicleRangeKm)*100)</f>
        <v>0</v>
      </c>
      <c r="I393" s="2">
        <f>6371*ACOS(SIN(RADIANS(MyLat))*SIN(RADIANS(EVCleanedDataset[[#This Row],[Latitude]]))+COS(RADIANS(MyLat))*COS(RADIANS(EVCleanedDataset[[#This Row],[Latitude]]))*COS(RADIANS(EVCleanedDataset[[#This Row],[Longitude]]-MyLong)))</f>
        <v>812.02868397515283</v>
      </c>
      <c r="J393">
        <f t="shared" si="13"/>
        <v>1</v>
      </c>
      <c r="K393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52.447744525874029</v>
      </c>
      <c r="L393" t="str">
        <f>IF(EVCleanedDataset[[#This Row],[Score]]&gt;50,"Yes","No")</f>
        <v>Yes</v>
      </c>
    </row>
    <row r="394" spans="1:12" x14ac:dyDescent="0.3">
      <c r="A394" t="s">
        <v>3267</v>
      </c>
      <c r="B394" t="s">
        <v>41</v>
      </c>
      <c r="C394" t="s">
        <v>119</v>
      </c>
      <c r="D394">
        <v>19.142024599999999</v>
      </c>
      <c r="E394">
        <v>72.937754999999996</v>
      </c>
      <c r="F394">
        <f>IF(COUNTIF($C$5:C394,C394)=1,1,0)</f>
        <v>0</v>
      </c>
      <c r="G394" s="2" t="str">
        <f t="shared" si="12"/>
        <v/>
      </c>
      <c r="H394" s="2">
        <f>MAX(0, MyBattery - (EVCleanedDataset[[#This Row],[Distance(km)]]/VehicleRangeKm)*100)</f>
        <v>0</v>
      </c>
      <c r="I394" s="2">
        <f>6371*ACOS(SIN(RADIANS(MyLat))*SIN(RADIANS(EVCleanedDataset[[#This Row],[Latitude]]))+COS(RADIANS(MyLat))*COS(RADIANS(EVCleanedDataset[[#This Row],[Latitude]]))*COS(RADIANS(EVCleanedDataset[[#This Row],[Longitude]]-MyLong)))</f>
        <v>809.80112919025328</v>
      </c>
      <c r="J394">
        <f t="shared" si="13"/>
        <v>8</v>
      </c>
      <c r="K39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29.153437280231152</v>
      </c>
      <c r="L394" t="str">
        <f>IF(EVCleanedDataset[[#This Row],[Score]]&gt;50,"Yes","No")</f>
        <v>No</v>
      </c>
    </row>
    <row r="395" spans="1:12" x14ac:dyDescent="0.3">
      <c r="A395" t="s">
        <v>3268</v>
      </c>
      <c r="B395" t="s">
        <v>41</v>
      </c>
      <c r="C395" t="s">
        <v>119</v>
      </c>
      <c r="D395">
        <v>19.130520000000001</v>
      </c>
      <c r="E395">
        <v>72.830560000000006</v>
      </c>
      <c r="F395">
        <f>IF(COUNTIF($C$5:C395,C395)=1,1,0)</f>
        <v>0</v>
      </c>
      <c r="G395" s="2" t="str">
        <f t="shared" si="12"/>
        <v/>
      </c>
      <c r="H395" s="2">
        <f>MAX(0, MyBattery - (EVCleanedDataset[[#This Row],[Distance(km)]]/VehicleRangeKm)*100)</f>
        <v>0</v>
      </c>
      <c r="I395" s="2">
        <f>6371*ACOS(SIN(RADIANS(MyLat))*SIN(RADIANS(EVCleanedDataset[[#This Row],[Latitude]]))+COS(RADIANS(MyLat))*COS(RADIANS(EVCleanedDataset[[#This Row],[Latitude]]))*COS(RADIANS(EVCleanedDataset[[#This Row],[Longitude]]-MyLong)))</f>
        <v>815.78419847779764</v>
      </c>
      <c r="J395">
        <f t="shared" si="13"/>
        <v>5</v>
      </c>
      <c r="K395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39.048652570999593</v>
      </c>
      <c r="L395" t="str">
        <f>IF(EVCleanedDataset[[#This Row],[Score]]&gt;50,"Yes","No")</f>
        <v>No</v>
      </c>
    </row>
    <row r="396" spans="1:12" x14ac:dyDescent="0.3">
      <c r="A396" t="s">
        <v>351</v>
      </c>
      <c r="B396" t="s">
        <v>150</v>
      </c>
      <c r="C396" t="s">
        <v>1341</v>
      </c>
      <c r="D396">
        <v>13.023562999999999</v>
      </c>
      <c r="E396">
        <v>77.635274999999993</v>
      </c>
      <c r="F396">
        <f>IF(COUNTIF($C$5:C396,C396)=1,1,0)</f>
        <v>0</v>
      </c>
      <c r="G396" s="2" t="str">
        <f t="shared" si="12"/>
        <v/>
      </c>
      <c r="H396" s="2">
        <f>MAX(0, MyBattery - (EVCleanedDataset[[#This Row],[Distance(km)]]/VehicleRangeKm)*100)</f>
        <v>57.428085478009933</v>
      </c>
      <c r="I396" s="2">
        <f>6371*ACOS(SIN(RADIANS(MyLat))*SIN(RADIANS(EVCleanedDataset[[#This Row],[Latitude]]))+COS(RADIANS(MyLat))*COS(RADIANS(EVCleanedDataset[[#This Row],[Latitude]]))*COS(RADIANS(EVCleanedDataset[[#This Row],[Longitude]]-MyLong)))</f>
        <v>37.715743565970193</v>
      </c>
      <c r="J396">
        <f t="shared" si="13"/>
        <v>2</v>
      </c>
      <c r="K396" s="5">
        <f>((1-(EVCleanedDataset[[#This Row],[Distance(km)]]/MAX($I$5:$I$1121)))*0.4 + (1-(EVCleanedDataset[[#This Row],[QueueLength]]/MAX($J$5:$J$1121)))*0.3 + (EVCleanedDataset[[#This Row],[EstimatedBatteryOnArrival]]/100)*0.3 + (ROW()/10000000))*100</f>
        <v>79.905119844335161</v>
      </c>
      <c r="L396" t="str">
        <f>IF(EVCleanedDataset[[#This Row],[Score]]&gt;50,"Yes","No")</f>
        <v>Yes</v>
      </c>
    </row>
    <row r="397" spans="1:12" x14ac:dyDescent="0.3">
      <c r="A397" t="s">
        <v>2262</v>
      </c>
      <c r="B397" t="s">
        <v>150</v>
      </c>
      <c r="C397" t="s">
        <v>1341</v>
      </c>
      <c r="D397">
        <v>13.192133999999999</v>
      </c>
      <c r="E397">
        <v>77.646585999999999</v>
      </c>
      <c r="F397">
        <f>IF(COUNTIF($C$5:C397,C397)=1,1,0)</f>
        <v>0</v>
      </c>
      <c r="G397" s="2" t="str">
        <f t="shared" si="12"/>
        <v/>
      </c>
      <c r="H397" s="2">
        <f>MAX(0, MyBattery - (EVCleanedDataset[[#This Row],[Distance(km)]]/VehicleRangeKm)*100)</f>
        <v>62.97572260743793</v>
      </c>
      <c r="I397" s="2">
        <f>6371*ACOS(SIN(RADIANS(MyLat))*SIN(RADIANS(EVCleanedDataset[[#This Row],[Latitude]]))+COS(RADIANS(MyLat))*COS(RADIANS(EVCleanedDataset[[#This Row],[Latitude]]))*COS(RADIANS(EVCleanedDataset[[#This Row],[Longitude]]-MyLong)))</f>
        <v>21.072832177686216</v>
      </c>
      <c r="J397">
        <f t="shared" si="13"/>
        <v>9</v>
      </c>
      <c r="K397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58.527591721717307</v>
      </c>
      <c r="L397" t="str">
        <f>IF(EVCleanedDataset[[#This Row],[Score]]&gt;50,"Yes","No")</f>
        <v>Yes</v>
      </c>
    </row>
    <row r="398" spans="1:12" x14ac:dyDescent="0.3">
      <c r="A398" t="s">
        <v>3249</v>
      </c>
      <c r="B398" t="s">
        <v>105</v>
      </c>
      <c r="C398" t="s">
        <v>105</v>
      </c>
      <c r="D398">
        <v>15.469336</v>
      </c>
      <c r="E398">
        <v>73.820463000000004</v>
      </c>
      <c r="F398">
        <f>IF(COUNTIF($C$5:C398,C398)=1,1,0)</f>
        <v>0</v>
      </c>
      <c r="G398" s="2" t="str">
        <f t="shared" si="12"/>
        <v/>
      </c>
      <c r="H398" s="2">
        <f>MAX(0, MyBattery - (EVCleanedDataset[[#This Row],[Distance(km)]]/VehicleRangeKm)*100)</f>
        <v>0</v>
      </c>
      <c r="I398" s="2">
        <f>6371*ACOS(SIN(RADIANS(MyLat))*SIN(RADIANS(EVCleanedDataset[[#This Row],[Latitude]]))+COS(RADIANS(MyLat))*COS(RADIANS(EVCleanedDataset[[#This Row],[Latitude]]))*COS(RADIANS(EVCleanedDataset[[#This Row],[Longitude]]-MyLong)))</f>
        <v>464.5516433917083</v>
      </c>
      <c r="J398">
        <f t="shared" si="13"/>
        <v>6</v>
      </c>
      <c r="K398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41.867260859269898</v>
      </c>
      <c r="L398" t="str">
        <f>IF(EVCleanedDataset[[#This Row],[Score]]&gt;50,"Yes","No")</f>
        <v>No</v>
      </c>
    </row>
    <row r="399" spans="1:12" x14ac:dyDescent="0.3">
      <c r="A399" t="s">
        <v>2752</v>
      </c>
      <c r="B399" t="s">
        <v>105</v>
      </c>
      <c r="C399" t="s">
        <v>105</v>
      </c>
      <c r="D399">
        <v>15.4701676</v>
      </c>
      <c r="E399">
        <v>73.826127099999994</v>
      </c>
      <c r="F399">
        <f>IF(COUNTIF($C$5:C399,C399)=1,1,0)</f>
        <v>0</v>
      </c>
      <c r="G399" s="2" t="str">
        <f t="shared" si="12"/>
        <v/>
      </c>
      <c r="H399" s="2">
        <f>MAX(0, MyBattery - (EVCleanedDataset[[#This Row],[Distance(km)]]/VehicleRangeKm)*100)</f>
        <v>0</v>
      </c>
      <c r="I399" s="2">
        <f>6371*ACOS(SIN(RADIANS(MyLat))*SIN(RADIANS(EVCleanedDataset[[#This Row],[Latitude]]))+COS(RADIANS(MyLat))*COS(RADIANS(EVCleanedDataset[[#This Row],[Latitude]]))*COS(RADIANS(EVCleanedDataset[[#This Row],[Longitude]]-MyLong)))</f>
        <v>464.07251127835548</v>
      </c>
      <c r="J399">
        <f t="shared" si="13"/>
        <v>3</v>
      </c>
      <c r="K39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51.87566295838981</v>
      </c>
      <c r="L399" t="str">
        <f>IF(EVCleanedDataset[[#This Row],[Score]]&gt;50,"Yes","No")</f>
        <v>Yes</v>
      </c>
    </row>
    <row r="400" spans="1:12" x14ac:dyDescent="0.3">
      <c r="A400" t="s">
        <v>2936</v>
      </c>
      <c r="B400" t="s">
        <v>386</v>
      </c>
      <c r="C400" t="s">
        <v>1977</v>
      </c>
      <c r="D400">
        <v>10.7672515526727</v>
      </c>
      <c r="E400">
        <v>76.660312317279093</v>
      </c>
      <c r="F400">
        <f>IF(COUNTIF($C$5:C400,C400)=1,1,0)</f>
        <v>0</v>
      </c>
      <c r="G400" s="2" t="str">
        <f t="shared" si="12"/>
        <v/>
      </c>
      <c r="H400" s="2">
        <f>MAX(0, MyBattery - (EVCleanedDataset[[#This Row],[Distance(km)]]/VehicleRangeKm)*100)</f>
        <v>0</v>
      </c>
      <c r="I400" s="2">
        <f>6371*ACOS(SIN(RADIANS(MyLat))*SIN(RADIANS(EVCleanedDataset[[#This Row],[Latitude]]))+COS(RADIANS(MyLat))*COS(RADIANS(EVCleanedDataset[[#This Row],[Latitude]]))*COS(RADIANS(EVCleanedDataset[[#This Row],[Longitude]]-MyLong)))</f>
        <v>302.5193771961022</v>
      </c>
      <c r="J400">
        <f t="shared" si="13"/>
        <v>0</v>
      </c>
      <c r="K40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64.70530987181175</v>
      </c>
      <c r="L400" t="str">
        <f>IF(EVCleanedDataset[[#This Row],[Score]]&gt;50,"Yes","No")</f>
        <v>Yes</v>
      </c>
    </row>
    <row r="401" spans="1:12" x14ac:dyDescent="0.3">
      <c r="A401" t="s">
        <v>422</v>
      </c>
      <c r="B401" t="s">
        <v>68</v>
      </c>
      <c r="C401" t="s">
        <v>69</v>
      </c>
      <c r="D401">
        <v>23.044056000000001</v>
      </c>
      <c r="E401">
        <v>72.509961599999997</v>
      </c>
      <c r="F401">
        <f>IF(COUNTIF($C$5:C401,C401)=1,1,0)</f>
        <v>0</v>
      </c>
      <c r="G401" s="2" t="str">
        <f t="shared" si="12"/>
        <v/>
      </c>
      <c r="H401" s="2">
        <f>MAX(0, MyBattery - (EVCleanedDataset[[#This Row],[Distance(km)]]/VehicleRangeKm)*100)</f>
        <v>0</v>
      </c>
      <c r="I401" s="2">
        <f>6371*ACOS(SIN(RADIANS(MyLat))*SIN(RADIANS(EVCleanedDataset[[#This Row],[Latitude]]))+COS(RADIANS(MyLat))*COS(RADIANS(EVCleanedDataset[[#This Row],[Latitude]]))*COS(RADIANS(EVCleanedDataset[[#This Row],[Longitude]]-MyLong)))</f>
        <v>1201.3663051665937</v>
      </c>
      <c r="J401">
        <f t="shared" si="13"/>
        <v>7</v>
      </c>
      <c r="K401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25.628494706210613</v>
      </c>
      <c r="L401" t="str">
        <f>IF(EVCleanedDataset[[#This Row],[Score]]&gt;50,"Yes","No")</f>
        <v>No</v>
      </c>
    </row>
    <row r="402" spans="1:12" x14ac:dyDescent="0.3">
      <c r="A402" t="s">
        <v>756</v>
      </c>
      <c r="B402" t="s">
        <v>68</v>
      </c>
      <c r="C402" t="s">
        <v>2198</v>
      </c>
      <c r="D402">
        <v>21.152949599999999</v>
      </c>
      <c r="E402">
        <v>72.778544999999994</v>
      </c>
      <c r="F402">
        <f>IF(COUNTIF($C$5:C402,C402)=1,1,0)</f>
        <v>0</v>
      </c>
      <c r="G402" s="2" t="str">
        <f t="shared" si="12"/>
        <v/>
      </c>
      <c r="H402" s="2">
        <f>MAX(0, MyBattery - (EVCleanedDataset[[#This Row],[Distance(km)]]/VehicleRangeKm)*100)</f>
        <v>0</v>
      </c>
      <c r="I402" s="2">
        <f>6371*ACOS(SIN(RADIANS(MyLat))*SIN(RADIANS(EVCleanedDataset[[#This Row],[Latitude]]))+COS(RADIANS(MyLat))*COS(RADIANS(EVCleanedDataset[[#This Row],[Latitude]]))*COS(RADIANS(EVCleanedDataset[[#This Row],[Longitude]]-MyLong)))</f>
        <v>1003.9212834983528</v>
      </c>
      <c r="J402">
        <f t="shared" si="13"/>
        <v>4</v>
      </c>
      <c r="K402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39.086795533297845</v>
      </c>
      <c r="L402" t="str">
        <f>IF(EVCleanedDataset[[#This Row],[Score]]&gt;50,"Yes","No")</f>
        <v>No</v>
      </c>
    </row>
    <row r="403" spans="1:12" x14ac:dyDescent="0.3">
      <c r="A403" t="s">
        <v>2827</v>
      </c>
      <c r="B403" t="s">
        <v>150</v>
      </c>
      <c r="C403" t="s">
        <v>1341</v>
      </c>
      <c r="D403">
        <v>12.965299999999999</v>
      </c>
      <c r="E403">
        <v>77.733099999999993</v>
      </c>
      <c r="F403">
        <f>IF(COUNTIF($C$5:C403,C403)=1,1,0)</f>
        <v>0</v>
      </c>
      <c r="G403" s="2" t="str">
        <f t="shared" si="12"/>
        <v/>
      </c>
      <c r="H403" s="2">
        <f>MAX(0, MyBattery - (EVCleanedDataset[[#This Row],[Distance(km)]]/VehicleRangeKm)*100)</f>
        <v>54.11861407703433</v>
      </c>
      <c r="I403" s="2">
        <f>6371*ACOS(SIN(RADIANS(MyLat))*SIN(RADIANS(EVCleanedDataset[[#This Row],[Latitude]]))+COS(RADIANS(MyLat))*COS(RADIANS(EVCleanedDataset[[#This Row],[Latitude]]))*COS(RADIANS(EVCleanedDataset[[#This Row],[Longitude]]-MyLong)))</f>
        <v>47.644157768897003</v>
      </c>
      <c r="J403">
        <f t="shared" si="13"/>
        <v>1</v>
      </c>
      <c r="K403" s="5">
        <f>((1-(EVCleanedDataset[[#This Row],[Distance(km)]]/MAX($I$5:$I$1121)))*0.4 + (1-(EVCleanedDataset[[#This Row],[QueueLength]]/MAX($J$5:$J$1121)))*0.3 + (EVCleanedDataset[[#This Row],[EstimatedBatteryOnArrival]]/100)*0.3 + (ROW()/10000000))*100</f>
        <v>82.071783507243197</v>
      </c>
      <c r="L403" t="str">
        <f>IF(EVCleanedDataset[[#This Row],[Score]]&gt;50,"Yes","No")</f>
        <v>Yes</v>
      </c>
    </row>
    <row r="404" spans="1:12" x14ac:dyDescent="0.3">
      <c r="A404" t="s">
        <v>2986</v>
      </c>
      <c r="B404" t="s">
        <v>49</v>
      </c>
      <c r="C404" t="s">
        <v>188</v>
      </c>
      <c r="D404">
        <v>11.00269216</v>
      </c>
      <c r="E404">
        <v>77.038707900000006</v>
      </c>
      <c r="F404">
        <f>IF(COUNTIF($C$5:C404,C404)=1,1,0)</f>
        <v>0</v>
      </c>
      <c r="G404" s="2" t="str">
        <f t="shared" si="12"/>
        <v/>
      </c>
      <c r="H404" s="2">
        <f>MAX(0, MyBattery - (EVCleanedDataset[[#This Row],[Distance(km)]]/VehicleRangeKm)*100)</f>
        <v>0</v>
      </c>
      <c r="I404" s="2">
        <f>6371*ACOS(SIN(RADIANS(MyLat))*SIN(RADIANS(EVCleanedDataset[[#This Row],[Latitude]]))+COS(RADIANS(MyLat))*COS(RADIANS(EVCleanedDataset[[#This Row],[Latitude]]))*COS(RADIANS(EVCleanedDataset[[#This Row],[Longitude]]-MyLong)))</f>
        <v>266.48324733600913</v>
      </c>
      <c r="J404">
        <f t="shared" si="13"/>
        <v>8</v>
      </c>
      <c r="K40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38.669863552392755</v>
      </c>
      <c r="L404" t="str">
        <f>IF(EVCleanedDataset[[#This Row],[Score]]&gt;50,"Yes","No")</f>
        <v>No</v>
      </c>
    </row>
    <row r="405" spans="1:12" x14ac:dyDescent="0.3">
      <c r="A405" t="s">
        <v>2746</v>
      </c>
      <c r="B405" t="s">
        <v>68</v>
      </c>
      <c r="C405" t="s">
        <v>69</v>
      </c>
      <c r="D405">
        <v>23.1347369</v>
      </c>
      <c r="E405">
        <v>72.541764999999998</v>
      </c>
      <c r="F405">
        <f>IF(COUNTIF($C$5:C405,C405)=1,1,0)</f>
        <v>0</v>
      </c>
      <c r="G405" s="2" t="str">
        <f t="shared" si="12"/>
        <v/>
      </c>
      <c r="H405" s="2">
        <f>MAX(0, MyBattery - (EVCleanedDataset[[#This Row],[Distance(km)]]/VehicleRangeKm)*100)</f>
        <v>0</v>
      </c>
      <c r="I405" s="2">
        <f>6371*ACOS(SIN(RADIANS(MyLat))*SIN(RADIANS(EVCleanedDataset[[#This Row],[Latitude]]))+COS(RADIANS(MyLat))*COS(RADIANS(EVCleanedDataset[[#This Row],[Latitude]]))*COS(RADIANS(EVCleanedDataset[[#This Row],[Longitude]]-MyLong)))</f>
        <v>1208.8899725461413</v>
      </c>
      <c r="J405">
        <f t="shared" si="13"/>
        <v>5</v>
      </c>
      <c r="K405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32.163422766028113</v>
      </c>
      <c r="L405" t="str">
        <f>IF(EVCleanedDataset[[#This Row],[Score]]&gt;50,"Yes","No")</f>
        <v>No</v>
      </c>
    </row>
    <row r="406" spans="1:12" x14ac:dyDescent="0.3">
      <c r="A406" t="s">
        <v>3221</v>
      </c>
      <c r="B406" t="s">
        <v>49</v>
      </c>
      <c r="C406" t="s">
        <v>2767</v>
      </c>
      <c r="D406">
        <v>12.297694</v>
      </c>
      <c r="E406">
        <v>79.733649999999997</v>
      </c>
      <c r="F406">
        <f>IF(COUNTIF($C$5:C406,C406)=1,1,0)</f>
        <v>1</v>
      </c>
      <c r="G406" s="2">
        <f t="shared" si="12"/>
        <v>265.25921742957337</v>
      </c>
      <c r="H406" s="2">
        <f>MAX(0, MyBattery - (EVCleanedDataset[[#This Row],[Distance(km)]]/VehicleRangeKm)*100)</f>
        <v>0</v>
      </c>
      <c r="I406" s="2">
        <f>6371*ACOS(SIN(RADIANS(MyLat))*SIN(RADIANS(EVCleanedDataset[[#This Row],[Latitude]]))+COS(RADIANS(MyLat))*COS(RADIANS(EVCleanedDataset[[#This Row],[Latitude]]))*COS(RADIANS(EVCleanedDataset[[#This Row],[Longitude]]-MyLong)))</f>
        <v>265.25921742957337</v>
      </c>
      <c r="J406">
        <f t="shared" si="13"/>
        <v>2</v>
      </c>
      <c r="K40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58.691322692066883</v>
      </c>
      <c r="L406" t="str">
        <f>IF(EVCleanedDataset[[#This Row],[Score]]&gt;50,"Yes","No")</f>
        <v>Yes</v>
      </c>
    </row>
    <row r="407" spans="1:12" x14ac:dyDescent="0.3">
      <c r="A407" t="s">
        <v>3011</v>
      </c>
      <c r="B407" t="s">
        <v>502</v>
      </c>
      <c r="C407" t="s">
        <v>1357</v>
      </c>
      <c r="D407">
        <v>17.373680499999999</v>
      </c>
      <c r="E407">
        <v>82.586259400000003</v>
      </c>
      <c r="F407">
        <f>IF(COUNTIF($C$5:C407,C407)=1,1,0)</f>
        <v>1</v>
      </c>
      <c r="G407" s="2">
        <f t="shared" si="12"/>
        <v>702.24850383693911</v>
      </c>
      <c r="H407" s="2">
        <f>MAX(0, MyBattery - (EVCleanedDataset[[#This Row],[Distance(km)]]/VehicleRangeKm)*100)</f>
        <v>0</v>
      </c>
      <c r="I407" s="2">
        <f>6371*ACOS(SIN(RADIANS(MyLat))*SIN(RADIANS(EVCleanedDataset[[#This Row],[Latitude]]))+COS(RADIANS(MyLat))*COS(RADIANS(EVCleanedDataset[[#This Row],[Latitude]]))*COS(RADIANS(EVCleanedDataset[[#This Row],[Longitude]]-MyLong)))</f>
        <v>702.24850383693911</v>
      </c>
      <c r="J407">
        <f t="shared" si="13"/>
        <v>9</v>
      </c>
      <c r="K40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27.704040662032352</v>
      </c>
      <c r="L407" t="str">
        <f>IF(EVCleanedDataset[[#This Row],[Score]]&gt;50,"Yes","No")</f>
        <v>No</v>
      </c>
    </row>
    <row r="408" spans="1:12" x14ac:dyDescent="0.3">
      <c r="A408" t="s">
        <v>2951</v>
      </c>
      <c r="B408" t="s">
        <v>49</v>
      </c>
      <c r="C408" t="s">
        <v>1031</v>
      </c>
      <c r="D408">
        <v>11.213022</v>
      </c>
      <c r="E408">
        <v>77.441968000000003</v>
      </c>
      <c r="F408">
        <f>IF(COUNTIF($C$5:C408,C408)=1,1,0)</f>
        <v>1</v>
      </c>
      <c r="G408" s="2">
        <f t="shared" si="12"/>
        <v>237.74974114821009</v>
      </c>
      <c r="H408" s="2">
        <f>MAX(0, MyBattery - (EVCleanedDataset[[#This Row],[Distance(km)]]/VehicleRangeKm)*100)</f>
        <v>0</v>
      </c>
      <c r="I408" s="2">
        <f>6371*ACOS(SIN(RADIANS(MyLat))*SIN(RADIANS(EVCleanedDataset[[#This Row],[Latitude]]))+COS(RADIANS(MyLat))*COS(RADIANS(EVCleanedDataset[[#This Row],[Latitude]]))*COS(RADIANS(EVCleanedDataset[[#This Row],[Longitude]]-MyLong)))</f>
        <v>237.74974114821009</v>
      </c>
      <c r="J408">
        <f t="shared" si="13"/>
        <v>6</v>
      </c>
      <c r="K408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45.839843586195954</v>
      </c>
      <c r="L408" t="str">
        <f>IF(EVCleanedDataset[[#This Row],[Score]]&gt;50,"Yes","No")</f>
        <v>No</v>
      </c>
    </row>
    <row r="409" spans="1:12" x14ac:dyDescent="0.3">
      <c r="A409" t="s">
        <v>966</v>
      </c>
      <c r="B409" t="s">
        <v>49</v>
      </c>
      <c r="C409" t="s">
        <v>1008</v>
      </c>
      <c r="D409">
        <v>12.8570595</v>
      </c>
      <c r="E409">
        <v>80.069485700000001</v>
      </c>
      <c r="F409">
        <f>IF(COUNTIF($C$5:C409,C409)=1,1,0)</f>
        <v>0</v>
      </c>
      <c r="G409" s="2" t="str">
        <f t="shared" si="12"/>
        <v/>
      </c>
      <c r="H409" s="2">
        <f>MAX(0, MyBattery - (EVCleanedDataset[[#This Row],[Distance(km)]]/VehicleRangeKm)*100)</f>
        <v>0</v>
      </c>
      <c r="I409" s="2">
        <f>6371*ACOS(SIN(RADIANS(MyLat))*SIN(RADIANS(EVCleanedDataset[[#This Row],[Latitude]]))+COS(RADIANS(MyLat))*COS(RADIANS(EVCleanedDataset[[#This Row],[Latitude]]))*COS(RADIANS(EVCleanedDataset[[#This Row],[Longitude]]-MyLong)))</f>
        <v>279.61601286677876</v>
      </c>
      <c r="J409">
        <f t="shared" si="13"/>
        <v>3</v>
      </c>
      <c r="K409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55.106557085603782</v>
      </c>
      <c r="L409" t="str">
        <f>IF(EVCleanedDataset[[#This Row],[Score]]&gt;50,"Yes","No")</f>
        <v>Yes</v>
      </c>
    </row>
    <row r="410" spans="1:12" x14ac:dyDescent="0.3">
      <c r="A410" t="s">
        <v>2369</v>
      </c>
      <c r="B410" t="s">
        <v>41</v>
      </c>
      <c r="C410" t="s">
        <v>1120</v>
      </c>
      <c r="D410">
        <v>19.872921999999999</v>
      </c>
      <c r="E410">
        <v>75.318612999999999</v>
      </c>
      <c r="F410">
        <f>IF(COUNTIF($C$5:C410,C410)=1,1,0)</f>
        <v>0</v>
      </c>
      <c r="G410" s="2" t="str">
        <f t="shared" si="12"/>
        <v/>
      </c>
      <c r="H410" s="2">
        <f>MAX(0, MyBattery - (EVCleanedDataset[[#This Row],[Distance(km)]]/VehicleRangeKm)*100)</f>
        <v>0</v>
      </c>
      <c r="I410" s="2">
        <f>6371*ACOS(SIN(RADIANS(MyLat))*SIN(RADIANS(EVCleanedDataset[[#This Row],[Latitude]]))+COS(RADIANS(MyLat))*COS(RADIANS(EVCleanedDataset[[#This Row],[Latitude]]))*COS(RADIANS(EVCleanedDataset[[#This Row],[Longitude]]-MyLong)))</f>
        <v>762.92128647394736</v>
      </c>
      <c r="J410">
        <f t="shared" si="13"/>
        <v>0</v>
      </c>
      <c r="K410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56.641374191518231</v>
      </c>
      <c r="L410" t="str">
        <f>IF(EVCleanedDataset[[#This Row],[Score]]&gt;50,"Yes","No")</f>
        <v>Yes</v>
      </c>
    </row>
    <row r="411" spans="1:12" x14ac:dyDescent="0.3">
      <c r="A411" t="s">
        <v>2278</v>
      </c>
      <c r="B411" t="s">
        <v>386</v>
      </c>
      <c r="C411" t="s">
        <v>1435</v>
      </c>
      <c r="D411">
        <v>10.039145</v>
      </c>
      <c r="E411">
        <v>76.315573999999998</v>
      </c>
      <c r="F411">
        <f>IF(COUNTIF($C$5:C411,C411)=1,1,0)</f>
        <v>0</v>
      </c>
      <c r="G411" s="2" t="str">
        <f t="shared" si="12"/>
        <v/>
      </c>
      <c r="H411" s="2">
        <f>MAX(0, MyBattery - (EVCleanedDataset[[#This Row],[Distance(km)]]/VehicleRangeKm)*100)</f>
        <v>0</v>
      </c>
      <c r="I411" s="2">
        <f>6371*ACOS(SIN(RADIANS(MyLat))*SIN(RADIANS(EVCleanedDataset[[#This Row],[Latitude]]))+COS(RADIANS(MyLat))*COS(RADIANS(EVCleanedDataset[[#This Row],[Latitude]]))*COS(RADIANS(EVCleanedDataset[[#This Row],[Longitude]]-MyLong)))</f>
        <v>391.3564362308216</v>
      </c>
      <c r="J411">
        <f t="shared" si="13"/>
        <v>7</v>
      </c>
      <c r="K411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39.816086879589101</v>
      </c>
      <c r="L411" t="str">
        <f>IF(EVCleanedDataset[[#This Row],[Score]]&gt;50,"Yes","No")</f>
        <v>No</v>
      </c>
    </row>
    <row r="412" spans="1:12" x14ac:dyDescent="0.3">
      <c r="A412" t="s">
        <v>1382</v>
      </c>
      <c r="B412" t="s">
        <v>313</v>
      </c>
      <c r="C412" t="s">
        <v>1383</v>
      </c>
      <c r="D412">
        <v>20.831755699999999</v>
      </c>
      <c r="E412">
        <v>85.241660300000007</v>
      </c>
      <c r="F412">
        <f>IF(COUNTIF($C$5:C412,C412)=1,1,0)</f>
        <v>1</v>
      </c>
      <c r="G412" s="2">
        <f t="shared" si="12"/>
        <v>1166.6462295387844</v>
      </c>
      <c r="H412" s="2">
        <f>MAX(0, MyBattery - (EVCleanedDataset[[#This Row],[Distance(km)]]/VehicleRangeKm)*100)</f>
        <v>0</v>
      </c>
      <c r="I412" s="2">
        <f>6371*ACOS(SIN(RADIANS(MyLat))*SIN(RADIANS(EVCleanedDataset[[#This Row],[Latitude]]))+COS(RADIANS(MyLat))*COS(RADIANS(EVCleanedDataset[[#This Row],[Latitude]]))*COS(RADIANS(EVCleanedDataset[[#This Row],[Longitude]]-MyLong)))</f>
        <v>1166.8135352037534</v>
      </c>
      <c r="J412">
        <f t="shared" si="13"/>
        <v>4</v>
      </c>
      <c r="K412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36.23380369478641</v>
      </c>
      <c r="L412" t="str">
        <f>IF(EVCleanedDataset[[#This Row],[Score]]&gt;50,"Yes","No")</f>
        <v>No</v>
      </c>
    </row>
    <row r="413" spans="1:12" x14ac:dyDescent="0.3">
      <c r="A413" t="s">
        <v>3083</v>
      </c>
      <c r="B413" t="s">
        <v>405</v>
      </c>
      <c r="C413" t="s">
        <v>1064</v>
      </c>
      <c r="D413">
        <v>22.7941</v>
      </c>
      <c r="E413">
        <v>86.183800000000005</v>
      </c>
      <c r="F413">
        <f>IF(COUNTIF($C$5:C413,C413)=1,1,0)</f>
        <v>1</v>
      </c>
      <c r="G413" s="2">
        <f t="shared" si="12"/>
        <v>1388.5224398188029</v>
      </c>
      <c r="H413" s="2">
        <f>MAX(0, MyBattery - (EVCleanedDataset[[#This Row],[Distance(km)]]/VehicleRangeKm)*100)</f>
        <v>0</v>
      </c>
      <c r="I413" s="2">
        <f>6371*ACOS(SIN(RADIANS(MyLat))*SIN(RADIANS(EVCleanedDataset[[#This Row],[Latitude]]))+COS(RADIANS(MyLat))*COS(RADIANS(EVCleanedDataset[[#This Row],[Latitude]]))*COS(RADIANS(EVCleanedDataset[[#This Row],[Longitude]]-MyLong)))</f>
        <v>1391.3046137746487</v>
      </c>
      <c r="J413">
        <f t="shared" si="13"/>
        <v>1</v>
      </c>
      <c r="K413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42.30180552752492</v>
      </c>
      <c r="L413" t="str">
        <f>IF(EVCleanedDataset[[#This Row],[Score]]&gt;50,"Yes","No")</f>
        <v>No</v>
      </c>
    </row>
    <row r="414" spans="1:12" x14ac:dyDescent="0.3">
      <c r="A414" t="s">
        <v>2873</v>
      </c>
      <c r="B414" t="s">
        <v>386</v>
      </c>
      <c r="C414" t="s">
        <v>1435</v>
      </c>
      <c r="D414">
        <v>9.9779338000000006</v>
      </c>
      <c r="E414">
        <v>76.2808706</v>
      </c>
      <c r="F414">
        <f>IF(COUNTIF($C$5:C414,C414)=1,1,0)</f>
        <v>0</v>
      </c>
      <c r="G414" s="2" t="str">
        <f t="shared" si="12"/>
        <v/>
      </c>
      <c r="H414" s="2">
        <f>MAX(0, MyBattery - (EVCleanedDataset[[#This Row],[Distance(km)]]/VehicleRangeKm)*100)</f>
        <v>0</v>
      </c>
      <c r="I414" s="2">
        <f>6371*ACOS(SIN(RADIANS(MyLat))*SIN(RADIANS(EVCleanedDataset[[#This Row],[Latitude]]))+COS(RADIANS(MyLat))*COS(RADIANS(EVCleanedDataset[[#This Row],[Latitude]]))*COS(RADIANS(EVCleanedDataset[[#This Row],[Longitude]]-MyLong)))</f>
        <v>399.04862842965809</v>
      </c>
      <c r="J414">
        <f t="shared" si="13"/>
        <v>8</v>
      </c>
      <c r="K414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36.34805319196947</v>
      </c>
      <c r="L414" t="str">
        <f>IF(EVCleanedDataset[[#This Row],[Score]]&gt;50,"Yes","No")</f>
        <v>No</v>
      </c>
    </row>
    <row r="415" spans="1:12" x14ac:dyDescent="0.3">
      <c r="A415" t="s">
        <v>3264</v>
      </c>
      <c r="B415" t="s">
        <v>386</v>
      </c>
      <c r="C415" t="s">
        <v>1435</v>
      </c>
      <c r="D415">
        <v>9.9685000000000006</v>
      </c>
      <c r="E415">
        <v>76.312878999999995</v>
      </c>
      <c r="F415">
        <f>IF(COUNTIF($C$5:C415,C415)=1,1,0)</f>
        <v>0</v>
      </c>
      <c r="G415" s="2" t="str">
        <f t="shared" si="12"/>
        <v/>
      </c>
      <c r="H415" s="2">
        <f>MAX(0, MyBattery - (EVCleanedDataset[[#This Row],[Distance(km)]]/VehicleRangeKm)*100)</f>
        <v>0</v>
      </c>
      <c r="I415" s="2">
        <f>6371*ACOS(SIN(RADIANS(MyLat))*SIN(RADIANS(EVCleanedDataset[[#This Row],[Latitude]]))+COS(RADIANS(MyLat))*COS(RADIANS(EVCleanedDataset[[#This Row],[Latitude]]))*COS(RADIANS(EVCleanedDataset[[#This Row],[Longitude]]-MyLong)))</f>
        <v>398.85633980000745</v>
      </c>
      <c r="J415">
        <f t="shared" si="13"/>
        <v>5</v>
      </c>
      <c r="K415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46.351431167512516</v>
      </c>
      <c r="L415" t="str">
        <f>IF(EVCleanedDataset[[#This Row],[Score]]&gt;50,"Yes","No")</f>
        <v>No</v>
      </c>
    </row>
    <row r="416" spans="1:12" x14ac:dyDescent="0.3">
      <c r="A416" t="s">
        <v>3205</v>
      </c>
      <c r="B416" t="s">
        <v>49</v>
      </c>
      <c r="C416" t="s">
        <v>997</v>
      </c>
      <c r="D416">
        <v>12.54250304</v>
      </c>
      <c r="E416">
        <v>78.201532740000005</v>
      </c>
      <c r="F416">
        <f>IF(COUNTIF($C$5:C416,C416)=1,1,0)</f>
        <v>0</v>
      </c>
      <c r="G416" s="2" t="str">
        <f t="shared" si="12"/>
        <v/>
      </c>
      <c r="H416" s="2">
        <f>MAX(0, MyBattery - (EVCleanedDataset[[#This Row],[Distance(km)]]/VehicleRangeKm)*100)</f>
        <v>31.67011554256036</v>
      </c>
      <c r="I416" s="2">
        <f>6371*ACOS(SIN(RADIANS(MyLat))*SIN(RADIANS(EVCleanedDataset[[#This Row],[Latitude]]))+COS(RADIANS(MyLat))*COS(RADIANS(EVCleanedDataset[[#This Row],[Latitude]]))*COS(RADIANS(EVCleanedDataset[[#This Row],[Longitude]]-MyLong)))</f>
        <v>114.98965337231891</v>
      </c>
      <c r="J416">
        <f t="shared" si="13"/>
        <v>2</v>
      </c>
      <c r="K416" s="5">
        <f>((1-(EVCleanedDataset[[#This Row],[Distance(km)]]/MAX($I$5:$I$1121)))*0.4 + (1-(EVCleanedDataset[[#This Row],[QueueLength]]/MAX($J$5:$J$1121)))*0.3 + (EVCleanedDataset[[#This Row],[EstimatedBatteryOnArrival]]/100)*0.3 + (ROW()/10000000))*100</f>
        <v>70.824460180628151</v>
      </c>
      <c r="L416" t="str">
        <f>IF(EVCleanedDataset[[#This Row],[Score]]&gt;50,"Yes","No")</f>
        <v>Yes</v>
      </c>
    </row>
    <row r="417" spans="1:12" x14ac:dyDescent="0.3">
      <c r="A417" t="s">
        <v>2871</v>
      </c>
      <c r="B417" t="s">
        <v>49</v>
      </c>
      <c r="C417" t="s">
        <v>1008</v>
      </c>
      <c r="D417">
        <v>12.9149592</v>
      </c>
      <c r="E417">
        <v>80.192066600000004</v>
      </c>
      <c r="F417">
        <f>IF(COUNTIF($C$5:C417,C417)=1,1,0)</f>
        <v>0</v>
      </c>
      <c r="G417" s="2" t="str">
        <f t="shared" si="12"/>
        <v/>
      </c>
      <c r="H417" s="2">
        <f>MAX(0, MyBattery - (EVCleanedDataset[[#This Row],[Distance(km)]]/VehicleRangeKm)*100)</f>
        <v>0</v>
      </c>
      <c r="I417" s="2">
        <f>6371*ACOS(SIN(RADIANS(MyLat))*SIN(RADIANS(EVCleanedDataset[[#This Row],[Latitude]]))+COS(RADIANS(MyLat))*COS(RADIANS(EVCleanedDataset[[#This Row],[Latitude]]))*COS(RADIANS(EVCleanedDataset[[#This Row],[Longitude]]-MyLong)))</f>
        <v>291.47792828572159</v>
      </c>
      <c r="J417">
        <f t="shared" si="13"/>
        <v>9</v>
      </c>
      <c r="K41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34.89887315750665</v>
      </c>
      <c r="L417" t="str">
        <f>IF(EVCleanedDataset[[#This Row],[Score]]&gt;50,"Yes","No")</f>
        <v>No</v>
      </c>
    </row>
    <row r="418" spans="1:12" x14ac:dyDescent="0.3">
      <c r="A418" t="s">
        <v>1445</v>
      </c>
      <c r="B418" t="s">
        <v>41</v>
      </c>
      <c r="C418" t="s">
        <v>221</v>
      </c>
      <c r="D418">
        <v>19.959451900000001</v>
      </c>
      <c r="E418">
        <v>73.759105399999996</v>
      </c>
      <c r="F418">
        <f>IF(COUNTIF($C$5:C418,C418)=1,1,0)</f>
        <v>0</v>
      </c>
      <c r="G418" s="2" t="str">
        <f t="shared" si="12"/>
        <v/>
      </c>
      <c r="H418" s="2">
        <f>MAX(0, MyBattery - (EVCleanedDataset[[#This Row],[Distance(km)]]/VehicleRangeKm)*100)</f>
        <v>0</v>
      </c>
      <c r="I418" s="2">
        <f>6371*ACOS(SIN(RADIANS(MyLat))*SIN(RADIANS(EVCleanedDataset[[#This Row],[Latitude]]))+COS(RADIANS(MyLat))*COS(RADIANS(EVCleanedDataset[[#This Row],[Latitude]]))*COS(RADIANS(EVCleanedDataset[[#This Row],[Longitude]]-MyLong)))</f>
        <v>837.89184125233294</v>
      </c>
      <c r="J418">
        <f t="shared" si="13"/>
        <v>6</v>
      </c>
      <c r="K41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35.3283292532386</v>
      </c>
      <c r="L418" t="str">
        <f>IF(EVCleanedDataset[[#This Row],[Score]]&gt;50,"Yes","No")</f>
        <v>No</v>
      </c>
    </row>
    <row r="419" spans="1:12" x14ac:dyDescent="0.3">
      <c r="A419" t="s">
        <v>347</v>
      </c>
      <c r="B419" t="s">
        <v>49</v>
      </c>
      <c r="C419" t="s">
        <v>1008</v>
      </c>
      <c r="D419">
        <v>13.0734394</v>
      </c>
      <c r="E419">
        <v>80.221495700000006</v>
      </c>
      <c r="F419">
        <f>IF(COUNTIF($C$5:C419,C419)=1,1,0)</f>
        <v>0</v>
      </c>
      <c r="G419" s="2" t="str">
        <f t="shared" si="12"/>
        <v/>
      </c>
      <c r="H419" s="2">
        <f>MAX(0, MyBattery - (EVCleanedDataset[[#This Row],[Distance(km)]]/VehicleRangeKm)*100)</f>
        <v>0</v>
      </c>
      <c r="I419" s="2">
        <f>6371*ACOS(SIN(RADIANS(MyLat))*SIN(RADIANS(EVCleanedDataset[[#This Row],[Latitude]]))+COS(RADIANS(MyLat))*COS(RADIANS(EVCleanedDataset[[#This Row],[Latitude]]))*COS(RADIANS(EVCleanedDataset[[#This Row],[Longitude]]-MyLong)))</f>
        <v>292.15798933364982</v>
      </c>
      <c r="J419">
        <f t="shared" si="13"/>
        <v>3</v>
      </c>
      <c r="K41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54.886981746096843</v>
      </c>
      <c r="L419" t="str">
        <f>IF(EVCleanedDataset[[#This Row],[Score]]&gt;50,"Yes","No")</f>
        <v>Yes</v>
      </c>
    </row>
    <row r="420" spans="1:12" x14ac:dyDescent="0.3">
      <c r="A420" t="s">
        <v>2903</v>
      </c>
      <c r="B420" t="s">
        <v>49</v>
      </c>
      <c r="C420" t="s">
        <v>1008</v>
      </c>
      <c r="D420">
        <v>12.9966632</v>
      </c>
      <c r="E420">
        <v>80.251779200000001</v>
      </c>
      <c r="F420">
        <f>IF(COUNTIF($C$5:C420,C420)=1,1,0)</f>
        <v>0</v>
      </c>
      <c r="G420" s="2" t="str">
        <f t="shared" si="12"/>
        <v/>
      </c>
      <c r="H420" s="2">
        <f>MAX(0, MyBattery - (EVCleanedDataset[[#This Row],[Distance(km)]]/VehicleRangeKm)*100)</f>
        <v>0</v>
      </c>
      <c r="I420" s="2">
        <f>6371*ACOS(SIN(RADIANS(MyLat))*SIN(RADIANS(EVCleanedDataset[[#This Row],[Latitude]]))+COS(RADIANS(MyLat))*COS(RADIANS(EVCleanedDataset[[#This Row],[Latitude]]))*COS(RADIANS(EVCleanedDataset[[#This Row],[Longitude]]-MyLong)))</f>
        <v>296.47132969475786</v>
      </c>
      <c r="J420">
        <f t="shared" si="13"/>
        <v>0</v>
      </c>
      <c r="K42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64.811442688040614</v>
      </c>
      <c r="L420" t="str">
        <f>IF(EVCleanedDataset[[#This Row],[Score]]&gt;50,"Yes","No")</f>
        <v>Yes</v>
      </c>
    </row>
    <row r="421" spans="1:12" x14ac:dyDescent="0.3">
      <c r="A421" t="s">
        <v>641</v>
      </c>
      <c r="B421" t="s">
        <v>41</v>
      </c>
      <c r="C421" t="s">
        <v>221</v>
      </c>
      <c r="D421">
        <v>19.994445484869701</v>
      </c>
      <c r="E421">
        <v>73.764436759524003</v>
      </c>
      <c r="F421">
        <f>IF(COUNTIF($C$5:C421,C421)=1,1,0)</f>
        <v>0</v>
      </c>
      <c r="G421" s="2" t="str">
        <f t="shared" si="12"/>
        <v/>
      </c>
      <c r="H421" s="2">
        <f>MAX(0, MyBattery - (EVCleanedDataset[[#This Row],[Distance(km)]]/VehicleRangeKm)*100)</f>
        <v>0</v>
      </c>
      <c r="I421" s="2">
        <f>6371*ACOS(SIN(RADIANS(MyLat))*SIN(RADIANS(EVCleanedDataset[[#This Row],[Latitude]]))+COS(RADIANS(MyLat))*COS(RADIANS(EVCleanedDataset[[#This Row],[Latitude]]))*COS(RADIANS(EVCleanedDataset[[#This Row],[Longitude]]-MyLong)))</f>
        <v>841.01714483178762</v>
      </c>
      <c r="J421">
        <f t="shared" si="13"/>
        <v>7</v>
      </c>
      <c r="K421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31.940285574418848</v>
      </c>
      <c r="L421" t="str">
        <f>IF(EVCleanedDataset[[#This Row],[Score]]&gt;50,"Yes","No")</f>
        <v>No</v>
      </c>
    </row>
    <row r="422" spans="1:12" x14ac:dyDescent="0.3">
      <c r="A422" t="s">
        <v>3283</v>
      </c>
      <c r="B422" t="s">
        <v>41</v>
      </c>
      <c r="C422" t="s">
        <v>2430</v>
      </c>
      <c r="D422">
        <v>18.206924999999998</v>
      </c>
      <c r="E422">
        <v>74.608566699999997</v>
      </c>
      <c r="F422">
        <f>IF(COUNTIF($C$5:C422,C422)=1,1,0)</f>
        <v>1</v>
      </c>
      <c r="G422" s="2">
        <f t="shared" si="12"/>
        <v>624.44329067084152</v>
      </c>
      <c r="H422" s="2">
        <f>MAX(0, MyBattery - (EVCleanedDataset[[#This Row],[Distance(km)]]/VehicleRangeKm)*100)</f>
        <v>0</v>
      </c>
      <c r="I422" s="2">
        <f>6371*ACOS(SIN(RADIANS(MyLat))*SIN(RADIANS(EVCleanedDataset[[#This Row],[Latitude]]))+COS(RADIANS(MyLat))*COS(RADIANS(EVCleanedDataset[[#This Row],[Latitude]]))*COS(RADIANS(EVCleanedDataset[[#This Row],[Longitude]]-MyLong)))</f>
        <v>624.44329067084152</v>
      </c>
      <c r="J422">
        <f t="shared" si="13"/>
        <v>4</v>
      </c>
      <c r="K422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45.733631901177198</v>
      </c>
      <c r="L422" t="str">
        <f>IF(EVCleanedDataset[[#This Row],[Score]]&gt;50,"Yes","No")</f>
        <v>No</v>
      </c>
    </row>
    <row r="423" spans="1:12" x14ac:dyDescent="0.3">
      <c r="A423" t="s">
        <v>3187</v>
      </c>
      <c r="B423" t="s">
        <v>386</v>
      </c>
      <c r="C423" t="s">
        <v>1909</v>
      </c>
      <c r="D423">
        <v>9.6362799999999993</v>
      </c>
      <c r="E423">
        <v>76.3352</v>
      </c>
      <c r="F423">
        <f>IF(COUNTIF($C$5:C423,C423)=1,1,0)</f>
        <v>1</v>
      </c>
      <c r="G423" s="2">
        <f t="shared" si="12"/>
        <v>433.1292753001423</v>
      </c>
      <c r="H423" s="2">
        <f>MAX(0, MyBattery - (EVCleanedDataset[[#This Row],[Distance(km)]]/VehicleRangeKm)*100)</f>
        <v>0</v>
      </c>
      <c r="I423" s="2">
        <f>6371*ACOS(SIN(RADIANS(MyLat))*SIN(RADIANS(EVCleanedDataset[[#This Row],[Latitude]]))+COS(RADIANS(MyLat))*COS(RADIANS(EVCleanedDataset[[#This Row],[Latitude]]))*COS(RADIANS(EVCleanedDataset[[#This Row],[Longitude]]-MyLong)))</f>
        <v>433.1292753001423</v>
      </c>
      <c r="J423">
        <f t="shared" si="13"/>
        <v>1</v>
      </c>
      <c r="K423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59.084546871379032</v>
      </c>
      <c r="L423" t="str">
        <f>IF(EVCleanedDataset[[#This Row],[Score]]&gt;50,"Yes","No")</f>
        <v>Yes</v>
      </c>
    </row>
    <row r="424" spans="1:12" x14ac:dyDescent="0.3">
      <c r="A424" t="s">
        <v>2770</v>
      </c>
      <c r="B424" t="s">
        <v>18</v>
      </c>
      <c r="C424" t="s">
        <v>1085</v>
      </c>
      <c r="D424">
        <v>26.7737236</v>
      </c>
      <c r="E424">
        <v>80.900507700000006</v>
      </c>
      <c r="F424">
        <f>IF(COUNTIF($C$5:C424,C424)=1,1,0)</f>
        <v>1</v>
      </c>
      <c r="G424" s="2">
        <f t="shared" si="12"/>
        <v>1533.2591733248014</v>
      </c>
      <c r="H424" s="2">
        <f>MAX(0, MyBattery - (EVCleanedDataset[[#This Row],[Distance(km)]]/VehicleRangeKm)*100)</f>
        <v>0</v>
      </c>
      <c r="I424" s="2">
        <f>6371*ACOS(SIN(RADIANS(MyLat))*SIN(RADIANS(EVCleanedDataset[[#This Row],[Latitude]]))+COS(RADIANS(MyLat))*COS(RADIANS(EVCleanedDataset[[#This Row],[Latitude]]))*COS(RADIANS(EVCleanedDataset[[#This Row],[Longitude]]-MyLong)))</f>
        <v>1533.2591733248014</v>
      </c>
      <c r="J424">
        <f t="shared" si="13"/>
        <v>8</v>
      </c>
      <c r="K424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16.482218410452454</v>
      </c>
      <c r="L424" t="str">
        <f>IF(EVCleanedDataset[[#This Row],[Score]]&gt;50,"Yes","No")</f>
        <v>No</v>
      </c>
    </row>
    <row r="425" spans="1:12" x14ac:dyDescent="0.3">
      <c r="A425" t="s">
        <v>977</v>
      </c>
      <c r="B425" t="s">
        <v>418</v>
      </c>
      <c r="C425" t="s">
        <v>978</v>
      </c>
      <c r="D425">
        <v>24.525355000000001</v>
      </c>
      <c r="E425">
        <v>84.932181999999997</v>
      </c>
      <c r="F425">
        <f>IF(COUNTIF($C$5:C425,C425)=1,1,0)</f>
        <v>1</v>
      </c>
      <c r="G425" s="2">
        <f t="shared" si="12"/>
        <v>1465.1296418277877</v>
      </c>
      <c r="H425" s="2">
        <f>MAX(0, MyBattery - (EVCleanedDataset[[#This Row],[Distance(km)]]/VehicleRangeKm)*100)</f>
        <v>0</v>
      </c>
      <c r="I425" s="2">
        <f>6371*ACOS(SIN(RADIANS(MyLat))*SIN(RADIANS(EVCleanedDataset[[#This Row],[Latitude]]))+COS(RADIANS(MyLat))*COS(RADIANS(EVCleanedDataset[[#This Row],[Latitude]]))*COS(RADIANS(EVCleanedDataset[[#This Row],[Longitude]]-MyLong)))</f>
        <v>1465.1296418277877</v>
      </c>
      <c r="J425">
        <f t="shared" si="13"/>
        <v>5</v>
      </c>
      <c r="K425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27.675531395957769</v>
      </c>
      <c r="L425" t="str">
        <f>IF(EVCleanedDataset[[#This Row],[Score]]&gt;50,"Yes","No")</f>
        <v>No</v>
      </c>
    </row>
    <row r="426" spans="1:12" x14ac:dyDescent="0.3">
      <c r="A426" t="s">
        <v>3172</v>
      </c>
      <c r="B426" t="s">
        <v>115</v>
      </c>
      <c r="C426" t="s">
        <v>1163</v>
      </c>
      <c r="D426">
        <v>17.31694482</v>
      </c>
      <c r="E426">
        <v>78.40246655</v>
      </c>
      <c r="F426">
        <f>IF(COUNTIF($C$5:C426,C426)=1,1,0)</f>
        <v>0</v>
      </c>
      <c r="G426" s="2" t="str">
        <f t="shared" si="12"/>
        <v/>
      </c>
      <c r="H426" s="2">
        <f>MAX(0, MyBattery - (EVCleanedDataset[[#This Row],[Distance(km)]]/VehicleRangeKm)*100)</f>
        <v>0</v>
      </c>
      <c r="I426" s="2">
        <f>6371*ACOS(SIN(RADIANS(MyLat))*SIN(RADIANS(EVCleanedDataset[[#This Row],[Latitude]]))+COS(RADIANS(MyLat))*COS(RADIANS(EVCleanedDataset[[#This Row],[Latitude]]))*COS(RADIANS(EVCleanedDataset[[#This Row],[Longitude]]-MyLong)))</f>
        <v>450.84225274316617</v>
      </c>
      <c r="J426">
        <f t="shared" si="13"/>
        <v>2</v>
      </c>
      <c r="K426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55.440997035530479</v>
      </c>
      <c r="L426" t="str">
        <f>IF(EVCleanedDataset[[#This Row],[Score]]&gt;50,"Yes","No")</f>
        <v>Yes</v>
      </c>
    </row>
    <row r="427" spans="1:12" x14ac:dyDescent="0.3">
      <c r="A427" t="s">
        <v>1133</v>
      </c>
      <c r="B427" t="s">
        <v>18</v>
      </c>
      <c r="C427" t="s">
        <v>1085</v>
      </c>
      <c r="D427">
        <v>26.863725129999999</v>
      </c>
      <c r="E427">
        <v>81.010275660000005</v>
      </c>
      <c r="F427">
        <f>IF(COUNTIF($C$5:C427,C427)=1,1,0)</f>
        <v>0</v>
      </c>
      <c r="G427" s="2" t="str">
        <f t="shared" si="12"/>
        <v/>
      </c>
      <c r="H427" s="2">
        <f>MAX(0, MyBattery - (EVCleanedDataset[[#This Row],[Distance(km)]]/VehicleRangeKm)*100)</f>
        <v>0</v>
      </c>
      <c r="I427" s="2">
        <f>6371*ACOS(SIN(RADIANS(MyLat))*SIN(RADIANS(EVCleanedDataset[[#This Row],[Latitude]]))+COS(RADIANS(MyLat))*COS(RADIANS(EVCleanedDataset[[#This Row],[Latitude]]))*COS(RADIANS(EVCleanedDataset[[#This Row],[Longitude]]-MyLong)))</f>
        <v>1545.6089231739961</v>
      </c>
      <c r="J427">
        <f t="shared" si="13"/>
        <v>9</v>
      </c>
      <c r="K427" s="5">
        <f>((1-(EVCleanedDataset[[#This Row],[Distance(km)]]/MAX($I$5:$I$1121)))*0.4 + (1-(EVCleanedDataset[[#This Row],[QueueLength]]/MAX($J$5:$J$1121)))*0.3 + (EVCleanedDataset[[#This Row],[EstimatedBatteryOnArrival]]/100)*0.3 + (ROW()/10000000))*100</f>
        <v>12.932606627002539</v>
      </c>
      <c r="L427" t="str">
        <f>IF(EVCleanedDataset[[#This Row],[Score]]&gt;50,"Yes","No")</f>
        <v>No</v>
      </c>
    </row>
    <row r="428" spans="1:12" x14ac:dyDescent="0.3">
      <c r="A428" t="s">
        <v>2912</v>
      </c>
      <c r="B428" t="s">
        <v>18</v>
      </c>
      <c r="C428" t="s">
        <v>1085</v>
      </c>
      <c r="D428">
        <v>26.897955700000001</v>
      </c>
      <c r="E428">
        <v>80.966458900000006</v>
      </c>
      <c r="F428">
        <f>IF(COUNTIF($C$5:C428,C428)=1,1,0)</f>
        <v>0</v>
      </c>
      <c r="G428" s="2" t="str">
        <f t="shared" si="12"/>
        <v/>
      </c>
      <c r="H428" s="2">
        <f>MAX(0, MyBattery - (EVCleanedDataset[[#This Row],[Distance(km)]]/VehicleRangeKm)*100)</f>
        <v>0</v>
      </c>
      <c r="I428" s="2">
        <f>6371*ACOS(SIN(RADIANS(MyLat))*SIN(RADIANS(EVCleanedDataset[[#This Row],[Latitude]]))+COS(RADIANS(MyLat))*COS(RADIANS(EVCleanedDataset[[#This Row],[Latitude]]))*COS(RADIANS(EVCleanedDataset[[#This Row],[Longitude]]-MyLong)))</f>
        <v>1548.2419461689301</v>
      </c>
      <c r="J428">
        <f t="shared" si="13"/>
        <v>6</v>
      </c>
      <c r="K428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22.886498678857002</v>
      </c>
      <c r="L428" t="str">
        <f>IF(EVCleanedDataset[[#This Row],[Score]]&gt;50,"Yes","No")</f>
        <v>No</v>
      </c>
    </row>
    <row r="429" spans="1:12" x14ac:dyDescent="0.3">
      <c r="A429" t="s">
        <v>2976</v>
      </c>
      <c r="B429" t="s">
        <v>405</v>
      </c>
      <c r="C429" t="s">
        <v>1170</v>
      </c>
      <c r="D429">
        <v>23.664729999999999</v>
      </c>
      <c r="E429">
        <v>86.073024000000004</v>
      </c>
      <c r="F429">
        <f>IF(COUNTIF($C$5:C429,C429)=1,1,0)</f>
        <v>1</v>
      </c>
      <c r="G429" s="2">
        <f t="shared" si="12"/>
        <v>1456.939187678907</v>
      </c>
      <c r="H429" s="2">
        <f>MAX(0, MyBattery - (EVCleanedDataset[[#This Row],[Distance(km)]]/VehicleRangeKm)*100)</f>
        <v>0</v>
      </c>
      <c r="I429" s="2">
        <f>6371*ACOS(SIN(RADIANS(MyLat))*SIN(RADIANS(EVCleanedDataset[[#This Row],[Latitude]]))+COS(RADIANS(MyLat))*COS(RADIANS(EVCleanedDataset[[#This Row],[Latitude]]))*COS(RADIANS(EVCleanedDataset[[#This Row],[Longitude]]-MyLong)))</f>
        <v>1456.939187678907</v>
      </c>
      <c r="J429">
        <f t="shared" si="13"/>
        <v>3</v>
      </c>
      <c r="K429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34.485695579119053</v>
      </c>
      <c r="L429" t="str">
        <f>IF(EVCleanedDataset[[#This Row],[Score]]&gt;50,"Yes","No")</f>
        <v>No</v>
      </c>
    </row>
    <row r="430" spans="1:12" x14ac:dyDescent="0.3">
      <c r="A430" t="s">
        <v>2961</v>
      </c>
      <c r="B430" t="s">
        <v>41</v>
      </c>
      <c r="C430" t="s">
        <v>42</v>
      </c>
      <c r="D430">
        <v>18.495772200000001</v>
      </c>
      <c r="E430">
        <v>73.978935930000006</v>
      </c>
      <c r="F430">
        <f>IF(COUNTIF($C$5:C430,C430)=1,1,0)</f>
        <v>0</v>
      </c>
      <c r="G430" s="2" t="str">
        <f t="shared" si="12"/>
        <v/>
      </c>
      <c r="H430" s="2">
        <f>MAX(0, MyBattery - (EVCleanedDataset[[#This Row],[Distance(km)]]/VehicleRangeKm)*100)</f>
        <v>0</v>
      </c>
      <c r="I430" s="2">
        <f>6371*ACOS(SIN(RADIANS(MyLat))*SIN(RADIANS(EVCleanedDataset[[#This Row],[Latitude]]))+COS(RADIANS(MyLat))*COS(RADIANS(EVCleanedDataset[[#This Row],[Latitude]]))*COS(RADIANS(EVCleanedDataset[[#This Row],[Longitude]]-MyLong)))</f>
        <v>687.14820738469314</v>
      </c>
      <c r="J430">
        <f t="shared" si="13"/>
        <v>0</v>
      </c>
      <c r="K430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57.968755510856987</v>
      </c>
      <c r="L430" t="str">
        <f>IF(EVCleanedDataset[[#This Row],[Score]]&gt;50,"Yes","No")</f>
        <v>Yes</v>
      </c>
    </row>
    <row r="431" spans="1:12" x14ac:dyDescent="0.3">
      <c r="A431" t="s">
        <v>710</v>
      </c>
      <c r="B431" t="s">
        <v>41</v>
      </c>
      <c r="C431" t="s">
        <v>42</v>
      </c>
      <c r="D431">
        <v>18.4845962800607</v>
      </c>
      <c r="E431">
        <v>73.849681999794498</v>
      </c>
      <c r="F431">
        <f>IF(COUNTIF($C$5:C431,C431)=1,1,0)</f>
        <v>0</v>
      </c>
      <c r="G431" s="2" t="str">
        <f t="shared" si="12"/>
        <v/>
      </c>
      <c r="H431" s="2">
        <f>MAX(0, MyBattery - (EVCleanedDataset[[#This Row],[Distance(km)]]/VehicleRangeKm)*100)</f>
        <v>0</v>
      </c>
      <c r="I431" s="2">
        <f>6371*ACOS(SIN(RADIANS(MyLat))*SIN(RADIANS(EVCleanedDataset[[#This Row],[Latitude]]))+COS(RADIANS(MyLat))*COS(RADIANS(EVCleanedDataset[[#This Row],[Latitude]]))*COS(RADIANS(EVCleanedDataset[[#This Row],[Longitude]]-MyLong)))</f>
        <v>693.87372001240453</v>
      </c>
      <c r="J431">
        <f t="shared" si="13"/>
        <v>7</v>
      </c>
      <c r="K431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34.51763341799375</v>
      </c>
      <c r="L431" t="str">
        <f>IF(EVCleanedDataset[[#This Row],[Score]]&gt;50,"Yes","No")</f>
        <v>No</v>
      </c>
    </row>
    <row r="432" spans="1:12" x14ac:dyDescent="0.3">
      <c r="A432" t="s">
        <v>2988</v>
      </c>
      <c r="B432" t="s">
        <v>41</v>
      </c>
      <c r="C432" t="s">
        <v>42</v>
      </c>
      <c r="D432">
        <v>18.4995583</v>
      </c>
      <c r="E432">
        <v>73.868563899999998</v>
      </c>
      <c r="F432">
        <f>IF(COUNTIF($C$5:C432,C432)=1,1,0)</f>
        <v>0</v>
      </c>
      <c r="G432" s="2" t="str">
        <f t="shared" si="12"/>
        <v/>
      </c>
      <c r="H432" s="2">
        <f>MAX(0, MyBattery - (EVCleanedDataset[[#This Row],[Distance(km)]]/VehicleRangeKm)*100)</f>
        <v>0</v>
      </c>
      <c r="I432" s="2">
        <f>6371*ACOS(SIN(RADIANS(MyLat))*SIN(RADIANS(EVCleanedDataset[[#This Row],[Latitude]]))+COS(RADIANS(MyLat))*COS(RADIANS(EVCleanedDataset[[#This Row],[Latitude]]))*COS(RADIANS(EVCleanedDataset[[#This Row],[Longitude]]-MyLong)))</f>
        <v>694.09250513005372</v>
      </c>
      <c r="J432">
        <f t="shared" si="13"/>
        <v>4</v>
      </c>
      <c r="K432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44.513811350924762</v>
      </c>
      <c r="L432" t="str">
        <f>IF(EVCleanedDataset[[#This Row],[Score]]&gt;50,"Yes","No")</f>
        <v>No</v>
      </c>
    </row>
    <row r="433" spans="1:12" x14ac:dyDescent="0.3">
      <c r="A433" t="s">
        <v>2373</v>
      </c>
      <c r="B433" t="s">
        <v>41</v>
      </c>
      <c r="C433" t="s">
        <v>42</v>
      </c>
      <c r="D433">
        <v>18.518739709999998</v>
      </c>
      <c r="E433">
        <v>73.936183999999997</v>
      </c>
      <c r="F433">
        <f>IF(COUNTIF($C$5:C433,C433)=1,1,0)</f>
        <v>0</v>
      </c>
      <c r="G433" s="2" t="str">
        <f t="shared" si="12"/>
        <v/>
      </c>
      <c r="H433" s="2">
        <f>MAX(0, MyBattery - (EVCleanedDataset[[#This Row],[Distance(km)]]/VehicleRangeKm)*100)</f>
        <v>0</v>
      </c>
      <c r="I433" s="2">
        <f>6371*ACOS(SIN(RADIANS(MyLat))*SIN(RADIANS(EVCleanedDataset[[#This Row],[Latitude]]))+COS(RADIANS(MyLat))*COS(RADIANS(EVCleanedDataset[[#This Row],[Latitude]]))*COS(RADIANS(EVCleanedDataset[[#This Row],[Longitude]]-MyLong)))</f>
        <v>691.79542988916899</v>
      </c>
      <c r="J433">
        <f t="shared" si="13"/>
        <v>1</v>
      </c>
      <c r="K433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54.554055103933877</v>
      </c>
      <c r="L433" t="str">
        <f>IF(EVCleanedDataset[[#This Row],[Score]]&gt;50,"Yes","No")</f>
        <v>Yes</v>
      </c>
    </row>
    <row r="434" spans="1:12" x14ac:dyDescent="0.3">
      <c r="A434" t="s">
        <v>404</v>
      </c>
      <c r="B434" t="s">
        <v>115</v>
      </c>
      <c r="C434" t="s">
        <v>1163</v>
      </c>
      <c r="D434">
        <v>17.452666000000001</v>
      </c>
      <c r="E434">
        <v>78.380342999999996</v>
      </c>
      <c r="F434">
        <f>IF(COUNTIF($C$5:C434,C434)=1,1,0)</f>
        <v>0</v>
      </c>
      <c r="G434" s="2" t="str">
        <f t="shared" si="12"/>
        <v/>
      </c>
      <c r="H434" s="2">
        <f>MAX(0, MyBattery - (EVCleanedDataset[[#This Row],[Distance(km)]]/VehicleRangeKm)*100)</f>
        <v>0</v>
      </c>
      <c r="I434" s="2">
        <f>6371*ACOS(SIN(RADIANS(MyLat))*SIN(RADIANS(EVCleanedDataset[[#This Row],[Latitude]]))+COS(RADIANS(MyLat))*COS(RADIANS(EVCleanedDataset[[#This Row],[Latitude]]))*COS(RADIANS(EVCleanedDataset[[#This Row],[Longitude]]-MyLong)))</f>
        <v>465.14882305367178</v>
      </c>
      <c r="J434">
        <f t="shared" si="13"/>
        <v>8</v>
      </c>
      <c r="K434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35.190494465993567</v>
      </c>
      <c r="L434" t="str">
        <f>IF(EVCleanedDataset[[#This Row],[Score]]&gt;50,"Yes","No")</f>
        <v>No</v>
      </c>
    </row>
    <row r="435" spans="1:12" x14ac:dyDescent="0.3">
      <c r="A435" t="s">
        <v>3195</v>
      </c>
      <c r="B435" t="s">
        <v>115</v>
      </c>
      <c r="C435" t="s">
        <v>1163</v>
      </c>
      <c r="D435">
        <v>17.494851000000001</v>
      </c>
      <c r="E435">
        <v>78.336466999999999</v>
      </c>
      <c r="F435">
        <f>IF(COUNTIF($C$5:C435,C435)=1,1,0)</f>
        <v>0</v>
      </c>
      <c r="G435" s="2" t="str">
        <f t="shared" si="12"/>
        <v/>
      </c>
      <c r="H435" s="2">
        <f>MAX(0, MyBattery - (EVCleanedDataset[[#This Row],[Distance(km)]]/VehicleRangeKm)*100)</f>
        <v>0</v>
      </c>
      <c r="I435" s="2">
        <f>6371*ACOS(SIN(RADIANS(MyLat))*SIN(RADIANS(EVCleanedDataset[[#This Row],[Latitude]]))+COS(RADIANS(MyLat))*COS(RADIANS(EVCleanedDataset[[#This Row],[Latitude]]))*COS(RADIANS(EVCleanedDataset[[#This Row],[Longitude]]-MyLong)))</f>
        <v>468.86797086354693</v>
      </c>
      <c r="J435">
        <f t="shared" si="13"/>
        <v>5</v>
      </c>
      <c r="K43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45.125362814678169</v>
      </c>
      <c r="L435" t="str">
        <f>IF(EVCleanedDataset[[#This Row],[Score]]&gt;50,"Yes","No")</f>
        <v>No</v>
      </c>
    </row>
    <row r="436" spans="1:12" x14ac:dyDescent="0.3">
      <c r="A436" t="s">
        <v>2887</v>
      </c>
      <c r="B436" t="s">
        <v>386</v>
      </c>
      <c r="C436" t="s">
        <v>2009</v>
      </c>
      <c r="D436">
        <v>11.248533</v>
      </c>
      <c r="E436">
        <v>75.833448700000005</v>
      </c>
      <c r="F436">
        <f>IF(COUNTIF($C$5:C436,C436)=1,1,0)</f>
        <v>0</v>
      </c>
      <c r="G436" s="2" t="str">
        <f t="shared" si="12"/>
        <v/>
      </c>
      <c r="H436" s="2">
        <f>MAX(0, MyBattery - (EVCleanedDataset[[#This Row],[Distance(km)]]/VehicleRangeKm)*100)</f>
        <v>0</v>
      </c>
      <c r="I436" s="2">
        <f>6371*ACOS(SIN(RADIANS(MyLat))*SIN(RADIANS(EVCleanedDataset[[#This Row],[Latitude]]))+COS(RADIANS(MyLat))*COS(RADIANS(EVCleanedDataset[[#This Row],[Latitude]]))*COS(RADIANS(EVCleanedDataset[[#This Row],[Longitude]]-MyLong)))</f>
        <v>298.03884391313403</v>
      </c>
      <c r="J436">
        <f t="shared" si="13"/>
        <v>2</v>
      </c>
      <c r="K43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58.117480682176556</v>
      </c>
      <c r="L436" t="str">
        <f>IF(EVCleanedDataset[[#This Row],[Score]]&gt;50,"Yes","No")</f>
        <v>Yes</v>
      </c>
    </row>
    <row r="437" spans="1:12" x14ac:dyDescent="0.3">
      <c r="A437" t="s">
        <v>310</v>
      </c>
      <c r="B437" t="s">
        <v>41</v>
      </c>
      <c r="C437" t="s">
        <v>42</v>
      </c>
      <c r="D437">
        <v>18.561918909924401</v>
      </c>
      <c r="E437">
        <v>73.916680726985405</v>
      </c>
      <c r="F437">
        <f>IF(COUNTIF($C$5:C437,C437)=1,1,0)</f>
        <v>0</v>
      </c>
      <c r="G437" s="2" t="str">
        <f t="shared" si="12"/>
        <v/>
      </c>
      <c r="H437" s="2">
        <f>MAX(0, MyBattery - (EVCleanedDataset[[#This Row],[Distance(km)]]/VehicleRangeKm)*100)</f>
        <v>0</v>
      </c>
      <c r="I437" s="2">
        <f>6371*ACOS(SIN(RADIANS(MyLat))*SIN(RADIANS(EVCleanedDataset[[#This Row],[Latitude]]))+COS(RADIANS(MyLat))*COS(RADIANS(EVCleanedDataset[[#This Row],[Latitude]]))*COS(RADIANS(EVCleanedDataset[[#This Row],[Longitude]]-MyLong)))</f>
        <v>696.92060945208516</v>
      </c>
      <c r="J437">
        <f t="shared" si="13"/>
        <v>9</v>
      </c>
      <c r="K43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27.797659845889971</v>
      </c>
      <c r="L437" t="str">
        <f>IF(EVCleanedDataset[[#This Row],[Score]]&gt;50,"Yes","No")</f>
        <v>No</v>
      </c>
    </row>
    <row r="438" spans="1:12" x14ac:dyDescent="0.3">
      <c r="A438" t="s">
        <v>2337</v>
      </c>
      <c r="B438" t="s">
        <v>41</v>
      </c>
      <c r="C438" t="s">
        <v>42</v>
      </c>
      <c r="D438">
        <v>18.55368</v>
      </c>
      <c r="E438">
        <v>73.806960000000004</v>
      </c>
      <c r="F438">
        <f>IF(COUNTIF($C$5:C438,C438)=1,1,0)</f>
        <v>0</v>
      </c>
      <c r="G438" s="2" t="str">
        <f t="shared" si="12"/>
        <v/>
      </c>
      <c r="H438" s="2">
        <f>MAX(0, MyBattery - (EVCleanedDataset[[#This Row],[Distance(km)]]/VehicleRangeKm)*100)</f>
        <v>0</v>
      </c>
      <c r="I438" s="2">
        <f>6371*ACOS(SIN(RADIANS(MyLat))*SIN(RADIANS(EVCleanedDataset[[#This Row],[Latitude]]))+COS(RADIANS(MyLat))*COS(RADIANS(EVCleanedDataset[[#This Row],[Latitude]]))*COS(RADIANS(EVCleanedDataset[[#This Row],[Longitude]]-MyLong)))</f>
        <v>702.7482739701353</v>
      </c>
      <c r="J438">
        <f t="shared" si="13"/>
        <v>6</v>
      </c>
      <c r="K438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37.695597083680859</v>
      </c>
      <c r="L438" t="str">
        <f>IF(EVCleanedDataset[[#This Row],[Score]]&gt;50,"Yes","No")</f>
        <v>No</v>
      </c>
    </row>
    <row r="439" spans="1:12" x14ac:dyDescent="0.3">
      <c r="A439" t="s">
        <v>3082</v>
      </c>
      <c r="B439" t="s">
        <v>115</v>
      </c>
      <c r="C439" t="s">
        <v>1163</v>
      </c>
      <c r="D439">
        <v>17.391095</v>
      </c>
      <c r="E439">
        <v>78.558503999999999</v>
      </c>
      <c r="F439">
        <f>IF(COUNTIF($C$5:C439,C439)=1,1,0)</f>
        <v>0</v>
      </c>
      <c r="G439" s="2" t="str">
        <f t="shared" si="12"/>
        <v/>
      </c>
      <c r="H439" s="2">
        <f>MAX(0, MyBattery - (EVCleanedDataset[[#This Row],[Distance(km)]]/VehicleRangeKm)*100)</f>
        <v>0</v>
      </c>
      <c r="I439" s="2">
        <f>6371*ACOS(SIN(RADIANS(MyLat))*SIN(RADIANS(EVCleanedDataset[[#This Row],[Latitude]]))+COS(RADIANS(MyLat))*COS(RADIANS(EVCleanedDataset[[#This Row],[Latitude]]))*COS(RADIANS(EVCleanedDataset[[#This Row],[Longitude]]-MyLong)))</f>
        <v>462.57998750879756</v>
      </c>
      <c r="J439">
        <f t="shared" si="13"/>
        <v>3</v>
      </c>
      <c r="K43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51.902204824200659</v>
      </c>
      <c r="L439" t="str">
        <f>IF(EVCleanedDataset[[#This Row],[Score]]&gt;50,"Yes","No")</f>
        <v>Yes</v>
      </c>
    </row>
    <row r="440" spans="1:12" x14ac:dyDescent="0.3">
      <c r="A440" t="s">
        <v>1238</v>
      </c>
      <c r="B440" t="s">
        <v>115</v>
      </c>
      <c r="C440" t="s">
        <v>116</v>
      </c>
      <c r="D440">
        <v>17.478362000000001</v>
      </c>
      <c r="E440">
        <v>78.473772299999993</v>
      </c>
      <c r="F440">
        <f>IF(COUNTIF($C$5:C440,C440)=1,1,0)</f>
        <v>0</v>
      </c>
      <c r="G440" s="2" t="str">
        <f t="shared" si="12"/>
        <v/>
      </c>
      <c r="H440" s="2">
        <f>MAX(0, MyBattery - (EVCleanedDataset[[#This Row],[Distance(km)]]/VehicleRangeKm)*100)</f>
        <v>0</v>
      </c>
      <c r="I440" s="2">
        <f>6371*ACOS(SIN(RADIANS(MyLat))*SIN(RADIANS(EVCleanedDataset[[#This Row],[Latitude]]))+COS(RADIANS(MyLat))*COS(RADIANS(EVCleanedDataset[[#This Row],[Latitude]]))*COS(RADIANS(EVCleanedDataset[[#This Row],[Longitude]]-MyLong)))</f>
        <v>469.9861926519319</v>
      </c>
      <c r="J440">
        <f t="shared" si="13"/>
        <v>0</v>
      </c>
      <c r="K440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61.772493592975778</v>
      </c>
      <c r="L440" t="str">
        <f>IF(EVCleanedDataset[[#This Row],[Score]]&gt;50,"Yes","No")</f>
        <v>Yes</v>
      </c>
    </row>
    <row r="441" spans="1:12" x14ac:dyDescent="0.3">
      <c r="A441" t="s">
        <v>128</v>
      </c>
      <c r="B441" t="s">
        <v>41</v>
      </c>
      <c r="C441" t="s">
        <v>125</v>
      </c>
      <c r="D441">
        <v>16.843299999999999</v>
      </c>
      <c r="E441">
        <v>74.585899999999995</v>
      </c>
      <c r="F441">
        <f>IF(COUNTIF($C$5:C441,C441)=1,1,0)</f>
        <v>1</v>
      </c>
      <c r="G441" s="2">
        <f t="shared" si="12"/>
        <v>501.32983927835181</v>
      </c>
      <c r="H441" s="2">
        <f>MAX(0, MyBattery - (EVCleanedDataset[[#This Row],[Distance(km)]]/VehicleRangeKm)*100)</f>
        <v>0</v>
      </c>
      <c r="I441" s="2">
        <f>6371*ACOS(SIN(RADIANS(MyLat))*SIN(RADIANS(EVCleanedDataset[[#This Row],[Latitude]]))+COS(RADIANS(MyLat))*COS(RADIANS(EVCleanedDataset[[#This Row],[Latitude]]))*COS(RADIANS(EVCleanedDataset[[#This Row],[Longitude]]-MyLong)))</f>
        <v>501.32983927835181</v>
      </c>
      <c r="J441">
        <f t="shared" si="13"/>
        <v>7</v>
      </c>
      <c r="K441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37.890179737117421</v>
      </c>
      <c r="L441" t="str">
        <f>IF(EVCleanedDataset[[#This Row],[Score]]&gt;50,"Yes","No")</f>
        <v>No</v>
      </c>
    </row>
    <row r="442" spans="1:12" x14ac:dyDescent="0.3">
      <c r="A442" t="s">
        <v>2770</v>
      </c>
      <c r="B442" t="s">
        <v>14</v>
      </c>
      <c r="C442" t="s">
        <v>1393</v>
      </c>
      <c r="D442">
        <v>26.409925999999999</v>
      </c>
      <c r="E442">
        <v>74.661818999999994</v>
      </c>
      <c r="F442">
        <f>IF(COUNTIF($C$5:C442,C442)=1,1,0)</f>
        <v>0</v>
      </c>
      <c r="G442" s="2" t="str">
        <f t="shared" si="12"/>
        <v/>
      </c>
      <c r="H442" s="2">
        <f>MAX(0, MyBattery - (EVCleanedDataset[[#This Row],[Distance(km)]]/VehicleRangeKm)*100)</f>
        <v>0</v>
      </c>
      <c r="I442" s="2">
        <f>6371*ACOS(SIN(RADIANS(MyLat))*SIN(RADIANS(EVCleanedDataset[[#This Row],[Latitude]]))+COS(RADIANS(MyLat))*COS(RADIANS(EVCleanedDataset[[#This Row],[Latitude]]))*COS(RADIANS(EVCleanedDataset[[#This Row],[Longitude]]-MyLong)))</f>
        <v>1482.9156974026439</v>
      </c>
      <c r="J442">
        <f t="shared" si="13"/>
        <v>4</v>
      </c>
      <c r="K442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30.697508248021084</v>
      </c>
      <c r="L442" t="str">
        <f>IF(EVCleanedDataset[[#This Row],[Score]]&gt;50,"Yes","No")</f>
        <v>No</v>
      </c>
    </row>
    <row r="443" spans="1:12" x14ac:dyDescent="0.3">
      <c r="A443" t="s">
        <v>704</v>
      </c>
      <c r="B443" t="s">
        <v>41</v>
      </c>
      <c r="C443" t="s">
        <v>42</v>
      </c>
      <c r="D443">
        <v>18.707715404018099</v>
      </c>
      <c r="E443">
        <v>73.682293073016893</v>
      </c>
      <c r="F443">
        <f>IF(COUNTIF($C$5:C443,C443)=1,1,0)</f>
        <v>0</v>
      </c>
      <c r="G443" s="2" t="str">
        <f t="shared" si="12"/>
        <v/>
      </c>
      <c r="H443" s="2">
        <f>MAX(0, MyBattery - (EVCleanedDataset[[#This Row],[Distance(km)]]/VehicleRangeKm)*100)</f>
        <v>0</v>
      </c>
      <c r="I443" s="2">
        <f>6371*ACOS(SIN(RADIANS(MyLat))*SIN(RADIANS(EVCleanedDataset[[#This Row],[Latitude]]))+COS(RADIANS(MyLat))*COS(RADIANS(EVCleanedDataset[[#This Row],[Latitude]]))*COS(RADIANS(EVCleanedDataset[[#This Row],[Longitude]]-MyLong)))</f>
        <v>724.31566509473635</v>
      </c>
      <c r="J443">
        <f t="shared" si="13"/>
        <v>1</v>
      </c>
      <c r="K443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53.984556386499008</v>
      </c>
      <c r="L443" t="str">
        <f>IF(EVCleanedDataset[[#This Row],[Score]]&gt;50,"Yes","No")</f>
        <v>Yes</v>
      </c>
    </row>
    <row r="444" spans="1:12" x14ac:dyDescent="0.3">
      <c r="A444" t="s">
        <v>3176</v>
      </c>
      <c r="B444" t="s">
        <v>8</v>
      </c>
      <c r="C444" t="s">
        <v>2329</v>
      </c>
      <c r="D444">
        <v>28.288074999999999</v>
      </c>
      <c r="E444">
        <v>77.295115999999993</v>
      </c>
      <c r="F444">
        <f>IF(COUNTIF($C$5:C444,C444)=1,1,0)</f>
        <v>1</v>
      </c>
      <c r="G444" s="2">
        <f t="shared" si="12"/>
        <v>1661.3256904686486</v>
      </c>
      <c r="H444" s="2">
        <f>MAX(0, MyBattery - (EVCleanedDataset[[#This Row],[Distance(km)]]/VehicleRangeKm)*100)</f>
        <v>0</v>
      </c>
      <c r="I444" s="2">
        <f>6371*ACOS(SIN(RADIANS(MyLat))*SIN(RADIANS(EVCleanedDataset[[#This Row],[Latitude]]))+COS(RADIANS(MyLat))*COS(RADIANS(EVCleanedDataset[[#This Row],[Latitude]]))*COS(RADIANS(EVCleanedDataset[[#This Row],[Longitude]]-MyLong)))</f>
        <v>1661.3256904686486</v>
      </c>
      <c r="J444">
        <f t="shared" si="13"/>
        <v>8</v>
      </c>
      <c r="K444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14.239306592521942</v>
      </c>
      <c r="L444" t="str">
        <f>IF(EVCleanedDataset[[#This Row],[Score]]&gt;50,"Yes","No")</f>
        <v>No</v>
      </c>
    </row>
    <row r="445" spans="1:12" x14ac:dyDescent="0.3">
      <c r="A445" t="s">
        <v>489</v>
      </c>
      <c r="B445" t="s">
        <v>511</v>
      </c>
      <c r="C445" t="s">
        <v>1136</v>
      </c>
      <c r="D445">
        <v>22.7229189</v>
      </c>
      <c r="E445">
        <v>75.879361299999999</v>
      </c>
      <c r="F445">
        <f>IF(COUNTIF($C$5:C445,C445)=1,1,0)</f>
        <v>0</v>
      </c>
      <c r="G445" s="2" t="str">
        <f t="shared" si="12"/>
        <v/>
      </c>
      <c r="H445" s="2">
        <f>MAX(0, MyBattery - (EVCleanedDataset[[#This Row],[Distance(km)]]/VehicleRangeKm)*100)</f>
        <v>0</v>
      </c>
      <c r="I445" s="2">
        <f>6371*ACOS(SIN(RADIANS(MyLat))*SIN(RADIANS(EVCleanedDataset[[#This Row],[Latitude]]))+COS(RADIANS(MyLat))*COS(RADIANS(EVCleanedDataset[[#This Row],[Latitude]]))*COS(RADIANS(EVCleanedDataset[[#This Row],[Longitude]]-MyLong)))</f>
        <v>1056.9175465236401</v>
      </c>
      <c r="J445">
        <f t="shared" si="13"/>
        <v>5</v>
      </c>
      <c r="K445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34.825651575097268</v>
      </c>
      <c r="L445" t="str">
        <f>IF(EVCleanedDataset[[#This Row],[Score]]&gt;50,"Yes","No")</f>
        <v>No</v>
      </c>
    </row>
    <row r="446" spans="1:12" x14ac:dyDescent="0.3">
      <c r="A446" t="s">
        <v>645</v>
      </c>
      <c r="B446" t="s">
        <v>386</v>
      </c>
      <c r="C446" t="s">
        <v>1831</v>
      </c>
      <c r="D446">
        <v>10.9882867</v>
      </c>
      <c r="E446">
        <v>76.225087400000007</v>
      </c>
      <c r="F446">
        <f>IF(COUNTIF($C$5:C446,C446)=1,1,0)</f>
        <v>0</v>
      </c>
      <c r="G446" s="2" t="str">
        <f t="shared" si="12"/>
        <v/>
      </c>
      <c r="H446" s="2">
        <f>MAX(0, MyBattery - (EVCleanedDataset[[#This Row],[Distance(km)]]/VehicleRangeKm)*100)</f>
        <v>0</v>
      </c>
      <c r="I446" s="2">
        <f>6371*ACOS(SIN(RADIANS(MyLat))*SIN(RADIANS(EVCleanedDataset[[#This Row],[Latitude]]))+COS(RADIANS(MyLat))*COS(RADIANS(EVCleanedDataset[[#This Row],[Latitude]]))*COS(RADIANS(EVCleanedDataset[[#This Row],[Longitude]]-MyLong)))</f>
        <v>298.76427235775873</v>
      </c>
      <c r="J446">
        <f t="shared" si="13"/>
        <v>2</v>
      </c>
      <c r="K44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58.104874651330306</v>
      </c>
      <c r="L446" t="str">
        <f>IF(EVCleanedDataset[[#This Row],[Score]]&gt;50,"Yes","No")</f>
        <v>Yes</v>
      </c>
    </row>
    <row r="447" spans="1:12" x14ac:dyDescent="0.3">
      <c r="A447" t="s">
        <v>844</v>
      </c>
      <c r="B447" t="s">
        <v>8</v>
      </c>
      <c r="C447" t="s">
        <v>9</v>
      </c>
      <c r="D447">
        <v>28.4195244</v>
      </c>
      <c r="E447">
        <v>77.088514399999994</v>
      </c>
      <c r="F447">
        <f>IF(COUNTIF($C$5:C447,C447)=1,1,0)</f>
        <v>1</v>
      </c>
      <c r="G447" s="2">
        <f t="shared" si="12"/>
        <v>1658.2776949700151</v>
      </c>
      <c r="H447" s="2">
        <f>MAX(0, MyBattery - (EVCleanedDataset[[#This Row],[Distance(km)]]/VehicleRangeKm)*100)</f>
        <v>0</v>
      </c>
      <c r="I447" s="2">
        <f>6371*ACOS(SIN(RADIANS(MyLat))*SIN(RADIANS(EVCleanedDataset[[#This Row],[Latitude]]))+COS(RADIANS(MyLat))*COS(RADIANS(EVCleanedDataset[[#This Row],[Latitude]]))*COS(RADIANS(EVCleanedDataset[[#This Row],[Longitude]]-MyLong)))</f>
        <v>1676.3964173812092</v>
      </c>
      <c r="J447">
        <f t="shared" si="13"/>
        <v>9</v>
      </c>
      <c r="K44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10.642036327032583</v>
      </c>
      <c r="L447" t="str">
        <f>IF(EVCleanedDataset[[#This Row],[Score]]&gt;50,"Yes","No")</f>
        <v>No</v>
      </c>
    </row>
    <row r="448" spans="1:12" x14ac:dyDescent="0.3">
      <c r="A448" t="s">
        <v>2020</v>
      </c>
      <c r="B448" t="s">
        <v>49</v>
      </c>
      <c r="C448" t="s">
        <v>2021</v>
      </c>
      <c r="D448">
        <v>11.2064644</v>
      </c>
      <c r="E448">
        <v>78.881240599999998</v>
      </c>
      <c r="F448">
        <f>IF(COUNTIF($C$5:C448,C448)=1,1,0)</f>
        <v>1</v>
      </c>
      <c r="G448" s="2">
        <f t="shared" si="12"/>
        <v>279.42240929464828</v>
      </c>
      <c r="H448" s="2">
        <f>MAX(0, MyBattery - (EVCleanedDataset[[#This Row],[Distance(km)]]/VehicleRangeKm)*100)</f>
        <v>0</v>
      </c>
      <c r="I448" s="2">
        <f>6371*ACOS(SIN(RADIANS(MyLat))*SIN(RADIANS(EVCleanedDataset[[#This Row],[Latitude]]))+COS(RADIANS(MyLat))*COS(RADIANS(EVCleanedDataset[[#This Row],[Latitude]]))*COS(RADIANS(EVCleanedDataset[[#This Row],[Longitude]]-MyLong)))</f>
        <v>279.42240929464828</v>
      </c>
      <c r="J448">
        <f t="shared" si="13"/>
        <v>6</v>
      </c>
      <c r="K448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45.110338092639218</v>
      </c>
      <c r="L448" t="str">
        <f>IF(EVCleanedDataset[[#This Row],[Score]]&gt;50,"Yes","No")</f>
        <v>No</v>
      </c>
    </row>
    <row r="449" spans="1:12" x14ac:dyDescent="0.3">
      <c r="A449" t="s">
        <v>3229</v>
      </c>
      <c r="B449" t="s">
        <v>49</v>
      </c>
      <c r="C449" t="s">
        <v>2748</v>
      </c>
      <c r="D449">
        <v>11.004619999999999</v>
      </c>
      <c r="E449">
        <v>78.788759999999996</v>
      </c>
      <c r="F449">
        <f>IF(COUNTIF($C$5:C449,C449)=1,1,0)</f>
        <v>0</v>
      </c>
      <c r="G449" s="2" t="str">
        <f t="shared" si="12"/>
        <v/>
      </c>
      <c r="H449" s="2">
        <f>MAX(0, MyBattery - (EVCleanedDataset[[#This Row],[Distance(km)]]/VehicleRangeKm)*100)</f>
        <v>0</v>
      </c>
      <c r="I449" s="2">
        <f>6371*ACOS(SIN(RADIANS(MyLat))*SIN(RADIANS(EVCleanedDataset[[#This Row],[Latitude]]))+COS(RADIANS(MyLat))*COS(RADIANS(EVCleanedDataset[[#This Row],[Latitude]]))*COS(RADIANS(EVCleanedDataset[[#This Row],[Longitude]]-MyLong)))</f>
        <v>294.03446452760505</v>
      </c>
      <c r="J449">
        <f t="shared" si="13"/>
        <v>3</v>
      </c>
      <c r="K44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54.854414890829077</v>
      </c>
      <c r="L449" t="str">
        <f>IF(EVCleanedDataset[[#This Row],[Score]]&gt;50,"Yes","No")</f>
        <v>Yes</v>
      </c>
    </row>
    <row r="450" spans="1:12" x14ac:dyDescent="0.3">
      <c r="A450" t="s">
        <v>907</v>
      </c>
      <c r="B450" t="s">
        <v>49</v>
      </c>
      <c r="C450" t="s">
        <v>2748</v>
      </c>
      <c r="D450">
        <v>10.799797</v>
      </c>
      <c r="E450">
        <v>78.680705200000006</v>
      </c>
      <c r="F450">
        <f>IF(COUNTIF($C$5:C450,C450)=1,1,0)</f>
        <v>0</v>
      </c>
      <c r="G450" s="2" t="str">
        <f t="shared" si="12"/>
        <v/>
      </c>
      <c r="H450" s="2">
        <f>MAX(0, MyBattery - (EVCleanedDataset[[#This Row],[Distance(km)]]/VehicleRangeKm)*100)</f>
        <v>0</v>
      </c>
      <c r="I450" s="2">
        <f>6371*ACOS(SIN(RADIANS(MyLat))*SIN(RADIANS(EVCleanedDataset[[#This Row],[Latitude]]))+COS(RADIANS(MyLat))*COS(RADIANS(EVCleanedDataset[[#This Row],[Latitude]]))*COS(RADIANS(EVCleanedDataset[[#This Row],[Longitude]]-MyLong)))</f>
        <v>309.5239055273355</v>
      </c>
      <c r="J450">
        <f t="shared" si="13"/>
        <v>0</v>
      </c>
      <c r="K45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64.58312409391111</v>
      </c>
      <c r="L450" t="str">
        <f>IF(EVCleanedDataset[[#This Row],[Score]]&gt;50,"Yes","No")</f>
        <v>Yes</v>
      </c>
    </row>
    <row r="451" spans="1:12" x14ac:dyDescent="0.3">
      <c r="A451" t="s">
        <v>3194</v>
      </c>
      <c r="B451" t="s">
        <v>8</v>
      </c>
      <c r="C451" t="s">
        <v>9</v>
      </c>
      <c r="D451">
        <v>28.462298000000001</v>
      </c>
      <c r="E451">
        <v>77.048472000000004</v>
      </c>
      <c r="F451">
        <f>IF(COUNTIF($C$5:C451,C451)=1,1,0)</f>
        <v>0</v>
      </c>
      <c r="G451" s="2" t="str">
        <f t="shared" si="12"/>
        <v/>
      </c>
      <c r="H451" s="2">
        <f>MAX(0, MyBattery - (EVCleanedDataset[[#This Row],[Distance(km)]]/VehicleRangeKm)*100)</f>
        <v>0</v>
      </c>
      <c r="I451" s="2">
        <f>6371*ACOS(SIN(RADIANS(MyLat))*SIN(RADIANS(EVCleanedDataset[[#This Row],[Latitude]]))+COS(RADIANS(MyLat))*COS(RADIANS(EVCleanedDataset[[#This Row],[Latitude]]))*COS(RADIANS(EVCleanedDataset[[#This Row],[Longitude]]-MyLong)))</f>
        <v>1681.2701117792028</v>
      </c>
      <c r="J451">
        <f t="shared" si="13"/>
        <v>7</v>
      </c>
      <c r="K451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17.223379217554374</v>
      </c>
      <c r="L451" t="str">
        <f>IF(EVCleanedDataset[[#This Row],[Score]]&gt;50,"Yes","No")</f>
        <v>No</v>
      </c>
    </row>
    <row r="452" spans="1:12" x14ac:dyDescent="0.3">
      <c r="A452" t="s">
        <v>3309</v>
      </c>
      <c r="B452" t="s">
        <v>115</v>
      </c>
      <c r="C452" t="s">
        <v>2384</v>
      </c>
      <c r="D452">
        <v>17.150628000000001</v>
      </c>
      <c r="E452">
        <v>79.577475000000007</v>
      </c>
      <c r="F452">
        <f>IF(COUNTIF($C$5:C452,C452)=1,1,0)</f>
        <v>0</v>
      </c>
      <c r="G452" s="2" t="str">
        <f t="shared" si="12"/>
        <v/>
      </c>
      <c r="H452" s="2">
        <f>MAX(0, MyBattery - (EVCleanedDataset[[#This Row],[Distance(km)]]/VehicleRangeKm)*100)</f>
        <v>0</v>
      </c>
      <c r="I452" s="2">
        <f>6371*ACOS(SIN(RADIANS(MyLat))*SIN(RADIANS(EVCleanedDataset[[#This Row],[Latitude]]))+COS(RADIANS(MyLat))*COS(RADIANS(EVCleanedDataset[[#This Row],[Latitude]]))*COS(RADIANS(EVCleanedDataset[[#This Row],[Longitude]]-MyLong)))</f>
        <v>475.97750702171044</v>
      </c>
      <c r="J452">
        <f t="shared" si="13"/>
        <v>4</v>
      </c>
      <c r="K45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48.334341136072062</v>
      </c>
      <c r="L452" t="str">
        <f>IF(EVCleanedDataset[[#This Row],[Score]]&gt;50,"Yes","No")</f>
        <v>No</v>
      </c>
    </row>
    <row r="453" spans="1:12" x14ac:dyDescent="0.3">
      <c r="A453" t="s">
        <v>2780</v>
      </c>
      <c r="B453" t="s">
        <v>45</v>
      </c>
      <c r="C453" t="s">
        <v>46</v>
      </c>
      <c r="D453">
        <v>28.524799999999999</v>
      </c>
      <c r="E453">
        <v>77.100999999999999</v>
      </c>
      <c r="F453">
        <f>IF(COUNTIF($C$5:C453,C453)=1,1,0)</f>
        <v>1</v>
      </c>
      <c r="G453" s="2">
        <f t="shared" ref="G453:G516" si="14">IF(F453=1, IF(C453=MyCity, "", _xlfn.MINIFS($I$5:$I$1121,$C$5:$C$1121,C453)), "")</f>
        <v>1687.7078726047566</v>
      </c>
      <c r="H453" s="2">
        <f>MAX(0, MyBattery - (EVCleanedDataset[[#This Row],[Distance(km)]]/VehicleRangeKm)*100)</f>
        <v>0</v>
      </c>
      <c r="I453" s="2">
        <f>6371*ACOS(SIN(RADIANS(MyLat))*SIN(RADIANS(EVCleanedDataset[[#This Row],[Latitude]]))+COS(RADIANS(MyLat))*COS(RADIANS(EVCleanedDataset[[#This Row],[Latitude]]))*COS(RADIANS(EVCleanedDataset[[#This Row],[Longitude]]-MyLong)))</f>
        <v>1688.0625118570365</v>
      </c>
      <c r="J453">
        <f t="shared" ref="J453:J516" si="15">MOD(ROW()*7,10)</f>
        <v>1</v>
      </c>
      <c r="K45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37.104428910353882</v>
      </c>
      <c r="L453" t="str">
        <f>IF(EVCleanedDataset[[#This Row],[Score]]&gt;50,"Yes","No")</f>
        <v>No</v>
      </c>
    </row>
    <row r="454" spans="1:12" x14ac:dyDescent="0.3">
      <c r="A454" t="s">
        <v>3233</v>
      </c>
      <c r="B454" t="s">
        <v>502</v>
      </c>
      <c r="C454" t="s">
        <v>2116</v>
      </c>
      <c r="D454">
        <v>17.075886199999999</v>
      </c>
      <c r="E454">
        <v>82.121731400000002</v>
      </c>
      <c r="F454">
        <f>IF(COUNTIF($C$5:C454,C454)=1,1,0)</f>
        <v>1</v>
      </c>
      <c r="G454" s="2">
        <f t="shared" si="14"/>
        <v>643.08540740699573</v>
      </c>
      <c r="H454" s="2">
        <f>MAX(0, MyBattery - (EVCleanedDataset[[#This Row],[Distance(km)]]/VehicleRangeKm)*100)</f>
        <v>0</v>
      </c>
      <c r="I454" s="2">
        <f>6371*ACOS(SIN(RADIANS(MyLat))*SIN(RADIANS(EVCleanedDataset[[#This Row],[Latitude]]))+COS(RADIANS(MyLat))*COS(RADIANS(EVCleanedDataset[[#This Row],[Latitude]]))*COS(RADIANS(EVCleanedDataset[[#This Row],[Longitude]]-MyLong)))</f>
        <v>643.08540740699573</v>
      </c>
      <c r="J454">
        <f t="shared" si="15"/>
        <v>8</v>
      </c>
      <c r="K454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32.074097996388502</v>
      </c>
      <c r="L454" t="str">
        <f>IF(EVCleanedDataset[[#This Row],[Score]]&gt;50,"Yes","No")</f>
        <v>No</v>
      </c>
    </row>
    <row r="455" spans="1:12" x14ac:dyDescent="0.3">
      <c r="A455" t="s">
        <v>2530</v>
      </c>
      <c r="B455" t="s">
        <v>49</v>
      </c>
      <c r="C455" t="s">
        <v>1338</v>
      </c>
      <c r="D455">
        <v>9.938364</v>
      </c>
      <c r="E455">
        <v>78.150085000000004</v>
      </c>
      <c r="F455">
        <f>IF(COUNTIF($C$5:C455,C455)=1,1,0)</f>
        <v>0</v>
      </c>
      <c r="G455" s="2" t="str">
        <f t="shared" si="14"/>
        <v/>
      </c>
      <c r="H455" s="2">
        <f>MAX(0, MyBattery - (EVCleanedDataset[[#This Row],[Distance(km)]]/VehicleRangeKm)*100)</f>
        <v>0</v>
      </c>
      <c r="I455" s="2">
        <f>6371*ACOS(SIN(RADIANS(MyLat))*SIN(RADIANS(EVCleanedDataset[[#This Row],[Latitude]]))+COS(RADIANS(MyLat))*COS(RADIANS(EVCleanedDataset[[#This Row],[Latitude]]))*COS(RADIANS(EVCleanedDataset[[#This Row],[Longitude]]-MyLong)))</f>
        <v>385.07958205203516</v>
      </c>
      <c r="J455">
        <f t="shared" si="15"/>
        <v>5</v>
      </c>
      <c r="K455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46.593133959268222</v>
      </c>
      <c r="L455" t="str">
        <f>IF(EVCleanedDataset[[#This Row],[Score]]&gt;50,"Yes","No")</f>
        <v>No</v>
      </c>
    </row>
    <row r="456" spans="1:12" x14ac:dyDescent="0.3">
      <c r="A456" t="s">
        <v>3239</v>
      </c>
      <c r="B456" t="s">
        <v>45</v>
      </c>
      <c r="C456" t="s">
        <v>45</v>
      </c>
      <c r="D456">
        <v>28.527674000000001</v>
      </c>
      <c r="E456">
        <v>77.273003000000003</v>
      </c>
      <c r="F456">
        <f>IF(COUNTIF($C$5:C456,C456)=1,1,0)</f>
        <v>1</v>
      </c>
      <c r="G456" s="2">
        <f t="shared" si="14"/>
        <v>1688.0000478418592</v>
      </c>
      <c r="H456" s="2">
        <f>MAX(0, MyBattery - (EVCleanedDataset[[#This Row],[Distance(km)]]/VehicleRangeKm)*100)</f>
        <v>0</v>
      </c>
      <c r="I456" s="2">
        <f>6371*ACOS(SIN(RADIANS(MyLat))*SIN(RADIANS(EVCleanedDataset[[#This Row],[Latitude]]))+COS(RADIANS(MyLat))*COS(RADIANS(EVCleanedDataset[[#This Row],[Latitude]]))*COS(RADIANS(EVCleanedDataset[[#This Row],[Longitude]]-MyLong)))</f>
        <v>1688.0000478418592</v>
      </c>
      <c r="J456">
        <f t="shared" si="15"/>
        <v>2</v>
      </c>
      <c r="K45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33.77221964730343</v>
      </c>
      <c r="L456" t="str">
        <f>IF(EVCleanedDataset[[#This Row],[Score]]&gt;50,"Yes","No")</f>
        <v>No</v>
      </c>
    </row>
    <row r="457" spans="1:12" x14ac:dyDescent="0.3">
      <c r="A457" t="s">
        <v>3103</v>
      </c>
      <c r="B457" t="s">
        <v>45</v>
      </c>
      <c r="C457" t="s">
        <v>46</v>
      </c>
      <c r="D457">
        <v>28.551778689999999</v>
      </c>
      <c r="E457">
        <v>77.203316599999994</v>
      </c>
      <c r="F457">
        <f>IF(COUNTIF($C$5:C457,C457)=1,1,0)</f>
        <v>0</v>
      </c>
      <c r="G457" s="2" t="str">
        <f t="shared" si="14"/>
        <v/>
      </c>
      <c r="H457" s="2">
        <f>MAX(0, MyBattery - (EVCleanedDataset[[#This Row],[Distance(km)]]/VehicleRangeKm)*100)</f>
        <v>0</v>
      </c>
      <c r="I457" s="2">
        <f>6371*ACOS(SIN(RADIANS(MyLat))*SIN(RADIANS(EVCleanedDataset[[#This Row],[Latitude]]))+COS(RADIANS(MyLat))*COS(RADIANS(EVCleanedDataset[[#This Row],[Latitude]]))*COS(RADIANS(EVCleanedDataset[[#This Row],[Longitude]]-MyLong)))</f>
        <v>1690.8118943978488</v>
      </c>
      <c r="J457">
        <f t="shared" si="15"/>
        <v>9</v>
      </c>
      <c r="K45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10.389646233772611</v>
      </c>
      <c r="L457" t="str">
        <f>IF(EVCleanedDataset[[#This Row],[Score]]&gt;50,"Yes","No")</f>
        <v>No</v>
      </c>
    </row>
    <row r="458" spans="1:12" x14ac:dyDescent="0.3">
      <c r="A458" t="s">
        <v>3105</v>
      </c>
      <c r="B458" t="s">
        <v>45</v>
      </c>
      <c r="C458" t="s">
        <v>46</v>
      </c>
      <c r="D458">
        <v>28.555604639999999</v>
      </c>
      <c r="E458">
        <v>77.233710540000004</v>
      </c>
      <c r="F458">
        <f>IF(COUNTIF($C$5:C458,C458)=1,1,0)</f>
        <v>0</v>
      </c>
      <c r="G458" s="2" t="str">
        <f t="shared" si="14"/>
        <v/>
      </c>
      <c r="H458" s="2">
        <f>MAX(0, MyBattery - (EVCleanedDataset[[#This Row],[Distance(km)]]/VehicleRangeKm)*100)</f>
        <v>0</v>
      </c>
      <c r="I458" s="2">
        <f>6371*ACOS(SIN(RADIANS(MyLat))*SIN(RADIANS(EVCleanedDataset[[#This Row],[Latitude]]))+COS(RADIANS(MyLat))*COS(RADIANS(EVCleanedDataset[[#This Row],[Latitude]]))*COS(RADIANS(EVCleanedDataset[[#This Row],[Longitude]]-MyLong)))</f>
        <v>1691.1759256456339</v>
      </c>
      <c r="J458">
        <f t="shared" si="15"/>
        <v>6</v>
      </c>
      <c r="K45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20.383280150373036</v>
      </c>
      <c r="L458" t="str">
        <f>IF(EVCleanedDataset[[#This Row],[Score]]&gt;50,"Yes","No")</f>
        <v>No</v>
      </c>
    </row>
    <row r="459" spans="1:12" x14ac:dyDescent="0.3">
      <c r="A459" t="s">
        <v>3237</v>
      </c>
      <c r="B459" t="s">
        <v>45</v>
      </c>
      <c r="C459" t="s">
        <v>45</v>
      </c>
      <c r="D459">
        <v>28.564624999999999</v>
      </c>
      <c r="E459">
        <v>77.177460999999994</v>
      </c>
      <c r="F459">
        <f>IF(COUNTIF($C$5:C459,C459)=1,1,0)</f>
        <v>0</v>
      </c>
      <c r="G459" s="2" t="str">
        <f t="shared" si="14"/>
        <v/>
      </c>
      <c r="H459" s="2">
        <f>MAX(0, MyBattery - (EVCleanedDataset[[#This Row],[Distance(km)]]/VehicleRangeKm)*100)</f>
        <v>0</v>
      </c>
      <c r="I459" s="2">
        <f>6371*ACOS(SIN(RADIANS(MyLat))*SIN(RADIANS(EVCleanedDataset[[#This Row],[Latitude]]))+COS(RADIANS(MyLat))*COS(RADIANS(EVCleanedDataset[[#This Row],[Latitude]]))*COS(RADIANS(EVCleanedDataset[[#This Row],[Longitude]]-MyLong)))</f>
        <v>1692.2967053170996</v>
      </c>
      <c r="J459">
        <f t="shared" si="15"/>
        <v>3</v>
      </c>
      <c r="K45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30.363659460147129</v>
      </c>
      <c r="L459" t="str">
        <f>IF(EVCleanedDataset[[#This Row],[Score]]&gt;50,"Yes","No")</f>
        <v>No</v>
      </c>
    </row>
    <row r="460" spans="1:12" x14ac:dyDescent="0.3">
      <c r="A460" t="s">
        <v>3204</v>
      </c>
      <c r="B460" t="s">
        <v>49</v>
      </c>
      <c r="C460" t="s">
        <v>1338</v>
      </c>
      <c r="D460">
        <v>9.9870810530000007</v>
      </c>
      <c r="E460">
        <v>78.241544439999998</v>
      </c>
      <c r="F460">
        <f>IF(COUNTIF($C$5:C460,C460)=1,1,0)</f>
        <v>0</v>
      </c>
      <c r="G460" s="2" t="str">
        <f t="shared" si="14"/>
        <v/>
      </c>
      <c r="H460" s="2">
        <f>MAX(0, MyBattery - (EVCleanedDataset[[#This Row],[Distance(km)]]/VehicleRangeKm)*100)</f>
        <v>0</v>
      </c>
      <c r="I460" s="2">
        <f>6371*ACOS(SIN(RADIANS(MyLat))*SIN(RADIANS(EVCleanedDataset[[#This Row],[Latitude]]))+COS(RADIANS(MyLat))*COS(RADIANS(EVCleanedDataset[[#This Row],[Latitude]]))*COS(RADIANS(EVCleanedDataset[[#This Row],[Longitude]]-MyLong)))</f>
        <v>381.61950142189016</v>
      </c>
      <c r="J460">
        <f t="shared" si="15"/>
        <v>0</v>
      </c>
      <c r="K460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63.320454661443669</v>
      </c>
      <c r="L460" t="str">
        <f>IF(EVCleanedDataset[[#This Row],[Score]]&gt;50,"Yes","No")</f>
        <v>Yes</v>
      </c>
    </row>
    <row r="461" spans="1:12" x14ac:dyDescent="0.3">
      <c r="A461" t="s">
        <v>2397</v>
      </c>
      <c r="B461" t="s">
        <v>41</v>
      </c>
      <c r="C461" t="s">
        <v>2398</v>
      </c>
      <c r="D461">
        <v>17.273724300000001</v>
      </c>
      <c r="E461">
        <v>74.180275600000002</v>
      </c>
      <c r="F461">
        <f>IF(COUNTIF($C$5:C461,C461)=1,1,0)</f>
        <v>0</v>
      </c>
      <c r="G461" s="2" t="str">
        <f t="shared" si="14"/>
        <v/>
      </c>
      <c r="H461" s="2">
        <f>MAX(0, MyBattery - (EVCleanedDataset[[#This Row],[Distance(km)]]/VehicleRangeKm)*100)</f>
        <v>0</v>
      </c>
      <c r="I461" s="2">
        <f>6371*ACOS(SIN(RADIANS(MyLat))*SIN(RADIANS(EVCleanedDataset[[#This Row],[Latitude]]))+COS(RADIANS(MyLat))*COS(RADIANS(EVCleanedDataset[[#This Row],[Latitude]]))*COS(RADIANS(EVCleanedDataset[[#This Row],[Longitude]]-MyLong)))</f>
        <v>565.70117362684698</v>
      </c>
      <c r="J461">
        <f t="shared" si="15"/>
        <v>7</v>
      </c>
      <c r="K461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36.762902360256447</v>
      </c>
      <c r="L461" t="str">
        <f>IF(EVCleanedDataset[[#This Row],[Score]]&gt;50,"Yes","No")</f>
        <v>No</v>
      </c>
    </row>
    <row r="462" spans="1:12" x14ac:dyDescent="0.3">
      <c r="A462" t="s">
        <v>149</v>
      </c>
      <c r="B462" t="s">
        <v>150</v>
      </c>
      <c r="C462" t="s">
        <v>1341</v>
      </c>
      <c r="D462">
        <v>13.067</v>
      </c>
      <c r="E462">
        <v>77.45</v>
      </c>
      <c r="F462">
        <f>IF(COUNTIF($C$5:C462,C462)=1,1,0)</f>
        <v>0</v>
      </c>
      <c r="G462" s="2" t="str">
        <f t="shared" si="14"/>
        <v/>
      </c>
      <c r="H462" s="2">
        <f>MAX(0, MyBattery - (EVCleanedDataset[[#This Row],[Distance(km)]]/VehicleRangeKm)*100)</f>
        <v>59.076924136097205</v>
      </c>
      <c r="I462" s="2">
        <f>6371*ACOS(SIN(RADIANS(MyLat))*SIN(RADIANS(EVCleanedDataset[[#This Row],[Latitude]]))+COS(RADIANS(MyLat))*COS(RADIANS(EVCleanedDataset[[#This Row],[Latitude]]))*COS(RADIANS(EVCleanedDataset[[#This Row],[Longitude]]-MyLong)))</f>
        <v>32.769227591708386</v>
      </c>
      <c r="J462">
        <f t="shared" si="15"/>
        <v>4</v>
      </c>
      <c r="K462" s="5">
        <f>((1-(EVCleanedDataset[[#This Row],[Distance(km)]]/MAX($I$5:$I$1121)))*0.4 + (1-(EVCleanedDataset[[#This Row],[QueueLength]]/MAX($J$5:$J$1121)))*0.3 + (EVCleanedDataset[[#This Row],[EstimatedBatteryOnArrival]]/100)*0.3 + (ROW()/10000000))*100</f>
        <v>73.820404036370007</v>
      </c>
      <c r="L462" t="str">
        <f>IF(EVCleanedDataset[[#This Row],[Score]]&gt;50,"Yes","No")</f>
        <v>Yes</v>
      </c>
    </row>
    <row r="463" spans="1:12" x14ac:dyDescent="0.3">
      <c r="A463" t="s">
        <v>2781</v>
      </c>
      <c r="B463" t="s">
        <v>49</v>
      </c>
      <c r="C463" t="s">
        <v>50</v>
      </c>
      <c r="D463">
        <v>11.3217</v>
      </c>
      <c r="E463">
        <v>76.916300000000007</v>
      </c>
      <c r="F463">
        <f>IF(COUNTIF($C$5:C463,C463)=1,1,0)</f>
        <v>0</v>
      </c>
      <c r="G463" s="2" t="str">
        <f t="shared" si="14"/>
        <v/>
      </c>
      <c r="H463" s="2">
        <f>MAX(0, MyBattery - (EVCleanedDataset[[#This Row],[Distance(km)]]/VehicleRangeKm)*100)</f>
        <v>0</v>
      </c>
      <c r="I463" s="2">
        <f>6371*ACOS(SIN(RADIANS(MyLat))*SIN(RADIANS(EVCleanedDataset[[#This Row],[Latitude]]))+COS(RADIANS(MyLat))*COS(RADIANS(EVCleanedDataset[[#This Row],[Latitude]]))*COS(RADIANS(EVCleanedDataset[[#This Row],[Longitude]]-MyLong)))</f>
        <v>235.32029536528256</v>
      </c>
      <c r="J463">
        <f t="shared" si="15"/>
        <v>1</v>
      </c>
      <c r="K463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62.549612503585465</v>
      </c>
      <c r="L463" t="str">
        <f>IF(EVCleanedDataset[[#This Row],[Score]]&gt;50,"Yes","No")</f>
        <v>Yes</v>
      </c>
    </row>
    <row r="464" spans="1:12" x14ac:dyDescent="0.3">
      <c r="A464" t="s">
        <v>3244</v>
      </c>
      <c r="B464" t="s">
        <v>45</v>
      </c>
      <c r="C464" t="s">
        <v>45</v>
      </c>
      <c r="D464">
        <v>28.627092000000001</v>
      </c>
      <c r="E464">
        <v>77.121841000000003</v>
      </c>
      <c r="F464">
        <f>IF(COUNTIF($C$5:C464,C464)=1,1,0)</f>
        <v>0</v>
      </c>
      <c r="G464" s="2" t="str">
        <f t="shared" si="14"/>
        <v/>
      </c>
      <c r="H464" s="2">
        <f>MAX(0, MyBattery - (EVCleanedDataset[[#This Row],[Distance(km)]]/VehicleRangeKm)*100)</f>
        <v>0</v>
      </c>
      <c r="I464" s="2">
        <f>6371*ACOS(SIN(RADIANS(MyLat))*SIN(RADIANS(EVCleanedDataset[[#This Row],[Latitude]]))+COS(RADIANS(MyLat))*COS(RADIANS(EVCleanedDataset[[#This Row],[Latitude]]))*COS(RADIANS(EVCleanedDataset[[#This Row],[Longitude]]-MyLong)))</f>
        <v>1699.3764976121442</v>
      </c>
      <c r="J464">
        <f t="shared" si="15"/>
        <v>8</v>
      </c>
      <c r="K46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13.573038751521004</v>
      </c>
      <c r="L464" t="str">
        <f>IF(EVCleanedDataset[[#This Row],[Score]]&gt;50,"Yes","No")</f>
        <v>No</v>
      </c>
    </row>
    <row r="465" spans="1:12" x14ac:dyDescent="0.3">
      <c r="A465" t="s">
        <v>694</v>
      </c>
      <c r="B465" t="s">
        <v>14</v>
      </c>
      <c r="C465" t="s">
        <v>214</v>
      </c>
      <c r="D465">
        <v>26.8433189</v>
      </c>
      <c r="E465">
        <v>75.8037396</v>
      </c>
      <c r="F465">
        <f>IF(COUNTIF($C$5:C465,C465)=1,1,0)</f>
        <v>0</v>
      </c>
      <c r="G465" s="2" t="str">
        <f t="shared" si="14"/>
        <v/>
      </c>
      <c r="H465" s="2">
        <f>MAX(0, MyBattery - (EVCleanedDataset[[#This Row],[Distance(km)]]/VehicleRangeKm)*100)</f>
        <v>0</v>
      </c>
      <c r="I465" s="2">
        <f>6371*ACOS(SIN(RADIANS(MyLat))*SIN(RADIANS(EVCleanedDataset[[#This Row],[Latitude]]))+COS(RADIANS(MyLat))*COS(RADIANS(EVCleanedDataset[[#This Row],[Latitude]]))*COS(RADIANS(EVCleanedDataset[[#This Row],[Longitude]]-MyLong)))</f>
        <v>1511.2993891476312</v>
      </c>
      <c r="J465">
        <f t="shared" si="15"/>
        <v>5</v>
      </c>
      <c r="K465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26.867258620639912</v>
      </c>
      <c r="L465" t="str">
        <f>IF(EVCleanedDataset[[#This Row],[Score]]&gt;50,"Yes","No")</f>
        <v>No</v>
      </c>
    </row>
    <row r="466" spans="1:12" x14ac:dyDescent="0.3">
      <c r="A466" t="s">
        <v>3020</v>
      </c>
      <c r="B466" t="s">
        <v>502</v>
      </c>
      <c r="C466" t="s">
        <v>1346</v>
      </c>
      <c r="D466">
        <v>13.6207096</v>
      </c>
      <c r="E466">
        <v>79.382814600000003</v>
      </c>
      <c r="F466">
        <f>IF(COUNTIF($C$5:C466,C466)=1,1,0)</f>
        <v>0</v>
      </c>
      <c r="G466" s="2" t="str">
        <f t="shared" si="14"/>
        <v/>
      </c>
      <c r="H466" s="2">
        <f>MAX(0, MyBattery - (EVCleanedDataset[[#This Row],[Distance(km)]]/VehicleRangeKm)*100)</f>
        <v>2.7321030740270373</v>
      </c>
      <c r="I466" s="2">
        <f>6371*ACOS(SIN(RADIANS(MyLat))*SIN(RADIANS(EVCleanedDataset[[#This Row],[Latitude]]))+COS(RADIANS(MyLat))*COS(RADIANS(EVCleanedDataset[[#This Row],[Latitude]]))*COS(RADIANS(EVCleanedDataset[[#This Row],[Longitude]]-MyLong)))</f>
        <v>201.80369077791889</v>
      </c>
      <c r="J466">
        <f t="shared" si="15"/>
        <v>2</v>
      </c>
      <c r="K466" s="5">
        <f>((1-(EVCleanedDataset[[#This Row],[Distance(km)]]/MAX($I$5:$I$1121)))*0.4 + (1-(EVCleanedDataset[[#This Row],[QueueLength]]/MAX($J$5:$J$1121)))*0.3 + (EVCleanedDataset[[#This Row],[EstimatedBatteryOnArrival]]/100)*0.3 + (ROW()/10000000))*100</f>
        <v>60.62299042789158</v>
      </c>
      <c r="L466" t="str">
        <f>IF(EVCleanedDataset[[#This Row],[Score]]&gt;50,"Yes","No")</f>
        <v>Yes</v>
      </c>
    </row>
    <row r="467" spans="1:12" x14ac:dyDescent="0.3">
      <c r="A467" t="s">
        <v>3126</v>
      </c>
      <c r="B467" t="s">
        <v>45</v>
      </c>
      <c r="C467" t="s">
        <v>46</v>
      </c>
      <c r="D467">
        <v>28.622371019999999</v>
      </c>
      <c r="E467">
        <v>77.21148694</v>
      </c>
      <c r="F467">
        <f>IF(COUNTIF($C$5:C467,C467)=1,1,0)</f>
        <v>0</v>
      </c>
      <c r="G467" s="2" t="str">
        <f t="shared" si="14"/>
        <v/>
      </c>
      <c r="H467" s="2">
        <f>MAX(0, MyBattery - (EVCleanedDataset[[#This Row],[Distance(km)]]/VehicleRangeKm)*100)</f>
        <v>0</v>
      </c>
      <c r="I467" s="2">
        <f>6371*ACOS(SIN(RADIANS(MyLat))*SIN(RADIANS(EVCleanedDataset[[#This Row],[Latitude]]))+COS(RADIANS(MyLat))*COS(RADIANS(EVCleanedDataset[[#This Row],[Latitude]]))*COS(RADIANS(EVCleanedDataset[[#This Row],[Longitude]]-MyLong)))</f>
        <v>1698.6426066860383</v>
      </c>
      <c r="J467">
        <f t="shared" si="15"/>
        <v>9</v>
      </c>
      <c r="K46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10.252589671165993</v>
      </c>
      <c r="L467" t="str">
        <f>IF(EVCleanedDataset[[#This Row],[Score]]&gt;50,"Yes","No")</f>
        <v>No</v>
      </c>
    </row>
    <row r="468" spans="1:12" x14ac:dyDescent="0.3">
      <c r="A468" t="s">
        <v>3033</v>
      </c>
      <c r="B468" t="s">
        <v>45</v>
      </c>
      <c r="C468" t="s">
        <v>45</v>
      </c>
      <c r="D468">
        <v>28.617966200000001</v>
      </c>
      <c r="E468">
        <v>77.248789400000007</v>
      </c>
      <c r="F468">
        <f>IF(COUNTIF($C$5:C468,C468)=1,1,0)</f>
        <v>0</v>
      </c>
      <c r="G468" s="2" t="str">
        <f t="shared" si="14"/>
        <v/>
      </c>
      <c r="H468" s="2">
        <f>MAX(0, MyBattery - (EVCleanedDataset[[#This Row],[Distance(km)]]/VehicleRangeKm)*100)</f>
        <v>0</v>
      </c>
      <c r="I468" s="2">
        <f>6371*ACOS(SIN(RADIANS(MyLat))*SIN(RADIANS(EVCleanedDataset[[#This Row],[Latitude]]))+COS(RADIANS(MyLat))*COS(RADIANS(EVCleanedDataset[[#This Row],[Latitude]]))*COS(RADIANS(EVCleanedDataset[[#This Row],[Longitude]]-MyLong)))</f>
        <v>1698.0807655965496</v>
      </c>
      <c r="J468">
        <f t="shared" si="15"/>
        <v>6</v>
      </c>
      <c r="K46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20.26244043529184</v>
      </c>
      <c r="L468" t="str">
        <f>IF(EVCleanedDataset[[#This Row],[Score]]&gt;50,"Yes","No")</f>
        <v>No</v>
      </c>
    </row>
    <row r="469" spans="1:12" x14ac:dyDescent="0.3">
      <c r="A469" t="s">
        <v>3127</v>
      </c>
      <c r="B469" t="s">
        <v>45</v>
      </c>
      <c r="C469" t="s">
        <v>46</v>
      </c>
      <c r="D469">
        <v>28.624637119999999</v>
      </c>
      <c r="E469">
        <v>77.214051589999997</v>
      </c>
      <c r="F469">
        <f>IF(COUNTIF($C$5:C469,C469)=1,1,0)</f>
        <v>0</v>
      </c>
      <c r="G469" s="2" t="str">
        <f t="shared" si="14"/>
        <v/>
      </c>
      <c r="H469" s="2">
        <f>MAX(0, MyBattery - (EVCleanedDataset[[#This Row],[Distance(km)]]/VehicleRangeKm)*100)</f>
        <v>0</v>
      </c>
      <c r="I469" s="2">
        <f>6371*ACOS(SIN(RADIANS(MyLat))*SIN(RADIANS(EVCleanedDataset[[#This Row],[Latitude]]))+COS(RADIANS(MyLat))*COS(RADIANS(EVCleanedDataset[[#This Row],[Latitude]]))*COS(RADIANS(EVCleanedDataset[[#This Row],[Longitude]]-MyLong)))</f>
        <v>1698.8892913152031</v>
      </c>
      <c r="J469">
        <f t="shared" si="15"/>
        <v>3</v>
      </c>
      <c r="K46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30.248288938320893</v>
      </c>
      <c r="L469" t="str">
        <f>IF(EVCleanedDataset[[#This Row],[Score]]&gt;50,"Yes","No")</f>
        <v>No</v>
      </c>
    </row>
    <row r="470" spans="1:12" x14ac:dyDescent="0.3">
      <c r="A470" t="s">
        <v>3130</v>
      </c>
      <c r="B470" t="s">
        <v>45</v>
      </c>
      <c r="C470" t="s">
        <v>46</v>
      </c>
      <c r="D470">
        <v>28.62891677</v>
      </c>
      <c r="E470">
        <v>77.219752889999995</v>
      </c>
      <c r="F470">
        <f>IF(COUNTIF($C$5:C470,C470)=1,1,0)</f>
        <v>0</v>
      </c>
      <c r="G470" s="2" t="str">
        <f t="shared" si="14"/>
        <v/>
      </c>
      <c r="H470" s="2">
        <f>MAX(0, MyBattery - (EVCleanedDataset[[#This Row],[Distance(km)]]/VehicleRangeKm)*100)</f>
        <v>0</v>
      </c>
      <c r="I470" s="2">
        <f>6371*ACOS(SIN(RADIANS(MyLat))*SIN(RADIANS(EVCleanedDataset[[#This Row],[Latitude]]))+COS(RADIANS(MyLat))*COS(RADIANS(EVCleanedDataset[[#This Row],[Latitude]]))*COS(RADIANS(EVCleanedDataset[[#This Row],[Longitude]]-MyLong)))</f>
        <v>1699.3535695808725</v>
      </c>
      <c r="J470">
        <f t="shared" si="15"/>
        <v>0</v>
      </c>
      <c r="K47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40.240167007448115</v>
      </c>
      <c r="L470" t="str">
        <f>IF(EVCleanedDataset[[#This Row],[Score]]&gt;50,"Yes","No")</f>
        <v>No</v>
      </c>
    </row>
    <row r="471" spans="1:12" x14ac:dyDescent="0.3">
      <c r="A471" t="s">
        <v>3139</v>
      </c>
      <c r="B471" t="s">
        <v>45</v>
      </c>
      <c r="C471" t="s">
        <v>46</v>
      </c>
      <c r="D471">
        <v>28.633852130000001</v>
      </c>
      <c r="E471">
        <v>77.221857600000007</v>
      </c>
      <c r="F471">
        <f>IF(COUNTIF($C$5:C471,C471)=1,1,0)</f>
        <v>0</v>
      </c>
      <c r="G471" s="2" t="str">
        <f t="shared" si="14"/>
        <v/>
      </c>
      <c r="H471" s="2">
        <f>MAX(0, MyBattery - (EVCleanedDataset[[#This Row],[Distance(km)]]/VehicleRangeKm)*100)</f>
        <v>0</v>
      </c>
      <c r="I471" s="2">
        <f>6371*ACOS(SIN(RADIANS(MyLat))*SIN(RADIANS(EVCleanedDataset[[#This Row],[Latitude]]))+COS(RADIANS(MyLat))*COS(RADIANS(EVCleanedDataset[[#This Row],[Latitude]]))*COS(RADIANS(EVCleanedDataset[[#This Row],[Longitude]]-MyLong)))</f>
        <v>1699.8980516893653</v>
      </c>
      <c r="J471">
        <f t="shared" si="15"/>
        <v>7</v>
      </c>
      <c r="K47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16.897306956169679</v>
      </c>
      <c r="L471" t="str">
        <f>IF(EVCleanedDataset[[#This Row],[Score]]&gt;50,"Yes","No")</f>
        <v>No</v>
      </c>
    </row>
    <row r="472" spans="1:12" x14ac:dyDescent="0.3">
      <c r="A472" t="s">
        <v>428</v>
      </c>
      <c r="B472" t="s">
        <v>41</v>
      </c>
      <c r="C472" t="s">
        <v>119</v>
      </c>
      <c r="D472">
        <v>18.989356000000001</v>
      </c>
      <c r="E472">
        <v>72.825233999999995</v>
      </c>
      <c r="F472">
        <f>IF(COUNTIF($C$5:C472,C472)=1,1,0)</f>
        <v>0</v>
      </c>
      <c r="G472" s="2" t="str">
        <f t="shared" si="14"/>
        <v/>
      </c>
      <c r="H472" s="2">
        <f>MAX(0, MyBattery - (EVCleanedDataset[[#This Row],[Distance(km)]]/VehicleRangeKm)*100)</f>
        <v>0</v>
      </c>
      <c r="I472" s="2">
        <f>6371*ACOS(SIN(RADIANS(MyLat))*SIN(RADIANS(EVCleanedDataset[[#This Row],[Latitude]]))+COS(RADIANS(MyLat))*COS(RADIANS(EVCleanedDataset[[#This Row],[Latitude]]))*COS(RADIANS(EVCleanedDataset[[#This Row],[Longitude]]-MyLong)))</f>
        <v>803.94921631684781</v>
      </c>
      <c r="J472">
        <f t="shared" si="15"/>
        <v>4</v>
      </c>
      <c r="K47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42.590048090786361</v>
      </c>
      <c r="L472" t="str">
        <f>IF(EVCleanedDataset[[#This Row],[Score]]&gt;50,"Yes","No")</f>
        <v>No</v>
      </c>
    </row>
    <row r="473" spans="1:12" x14ac:dyDescent="0.3">
      <c r="A473" t="s">
        <v>1258</v>
      </c>
      <c r="B473" t="s">
        <v>18</v>
      </c>
      <c r="C473" t="s">
        <v>1259</v>
      </c>
      <c r="D473">
        <v>28.6461808</v>
      </c>
      <c r="E473">
        <v>77.320789099999999</v>
      </c>
      <c r="F473">
        <f>IF(COUNTIF($C$5:C473,C473)=1,1,0)</f>
        <v>1</v>
      </c>
      <c r="G473" s="2">
        <f t="shared" si="14"/>
        <v>1698.0034362045733</v>
      </c>
      <c r="H473" s="2">
        <f>MAX(0, MyBattery - (EVCleanedDataset[[#This Row],[Distance(km)]]/VehicleRangeKm)*100)</f>
        <v>0</v>
      </c>
      <c r="I473" s="2">
        <f>6371*ACOS(SIN(RADIANS(MyLat))*SIN(RADIANS(EVCleanedDataset[[#This Row],[Latitude]]))+COS(RADIANS(MyLat))*COS(RADIANS(EVCleanedDataset[[#This Row],[Latitude]]))*COS(RADIANS(EVCleanedDataset[[#This Row],[Longitude]]-MyLong)))</f>
        <v>1701.1032648580899</v>
      </c>
      <c r="J473">
        <f t="shared" si="15"/>
        <v>1</v>
      </c>
      <c r="K47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36.876217395589883</v>
      </c>
      <c r="L473" t="str">
        <f>IF(EVCleanedDataset[[#This Row],[Score]]&gt;50,"Yes","No")</f>
        <v>No</v>
      </c>
    </row>
    <row r="474" spans="1:12" x14ac:dyDescent="0.3">
      <c r="A474" t="s">
        <v>396</v>
      </c>
      <c r="B474" t="s">
        <v>150</v>
      </c>
      <c r="C474" t="s">
        <v>1341</v>
      </c>
      <c r="D474">
        <v>12.960699999999999</v>
      </c>
      <c r="E474">
        <v>77.529185999999996</v>
      </c>
      <c r="F474">
        <f>IF(COUNTIF($C$5:C474,C474)=1,1,0)</f>
        <v>0</v>
      </c>
      <c r="G474" s="2" t="str">
        <f t="shared" si="14"/>
        <v/>
      </c>
      <c r="H474" s="2">
        <f>MAX(0, MyBattery - (EVCleanedDataset[[#This Row],[Distance(km)]]/VehicleRangeKm)*100)</f>
        <v>55.600159296929633</v>
      </c>
      <c r="I474" s="2">
        <f>6371*ACOS(SIN(RADIANS(MyLat))*SIN(RADIANS(EVCleanedDataset[[#This Row],[Latitude]]))+COS(RADIANS(MyLat))*COS(RADIANS(EVCleanedDataset[[#This Row],[Latitude]]))*COS(RADIANS(EVCleanedDataset[[#This Row],[Longitude]]-MyLong)))</f>
        <v>43.199522109211095</v>
      </c>
      <c r="J474">
        <f t="shared" si="15"/>
        <v>8</v>
      </c>
      <c r="K474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59.261472462534336</v>
      </c>
      <c r="L474" t="str">
        <f>IF(EVCleanedDataset[[#This Row],[Score]]&gt;50,"Yes","No")</f>
        <v>Yes</v>
      </c>
    </row>
    <row r="475" spans="1:12" x14ac:dyDescent="0.3">
      <c r="A475" t="s">
        <v>2892</v>
      </c>
      <c r="B475" t="s">
        <v>41</v>
      </c>
      <c r="C475" t="s">
        <v>119</v>
      </c>
      <c r="D475">
        <v>19.024608894870401</v>
      </c>
      <c r="E475">
        <v>72.842820210727993</v>
      </c>
      <c r="F475">
        <f>IF(COUNTIF($C$5:C475,C475)=1,1,0)</f>
        <v>0</v>
      </c>
      <c r="G475" s="2" t="str">
        <f t="shared" si="14"/>
        <v/>
      </c>
      <c r="H475" s="2">
        <f>MAX(0, MyBattery - (EVCleanedDataset[[#This Row],[Distance(km)]]/VehicleRangeKm)*100)</f>
        <v>0</v>
      </c>
      <c r="I475" s="2">
        <f>6371*ACOS(SIN(RADIANS(MyLat))*SIN(RADIANS(EVCleanedDataset[[#This Row],[Latitude]]))+COS(RADIANS(MyLat))*COS(RADIANS(EVCleanedDataset[[#This Row],[Latitude]]))*COS(RADIANS(EVCleanedDataset[[#This Row],[Longitude]]-MyLong)))</f>
        <v>805.81244663062512</v>
      </c>
      <c r="J475">
        <f t="shared" si="15"/>
        <v>5</v>
      </c>
      <c r="K475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39.224109889030181</v>
      </c>
      <c r="L475" t="str">
        <f>IF(EVCleanedDataset[[#This Row],[Score]]&gt;50,"Yes","No")</f>
        <v>No</v>
      </c>
    </row>
    <row r="476" spans="1:12" x14ac:dyDescent="0.3">
      <c r="A476" t="s">
        <v>2882</v>
      </c>
      <c r="B476" t="s">
        <v>14</v>
      </c>
      <c r="C476" t="s">
        <v>214</v>
      </c>
      <c r="D476">
        <v>26.901567</v>
      </c>
      <c r="E476">
        <v>75.751925999999997</v>
      </c>
      <c r="F476">
        <f>IF(COUNTIF($C$5:C476,C476)=1,1,0)</f>
        <v>0</v>
      </c>
      <c r="G476" s="2" t="str">
        <f t="shared" si="14"/>
        <v/>
      </c>
      <c r="H476" s="2">
        <f>MAX(0, MyBattery - (EVCleanedDataset[[#This Row],[Distance(km)]]/VehicleRangeKm)*100)</f>
        <v>0</v>
      </c>
      <c r="I476" s="2">
        <f>6371*ACOS(SIN(RADIANS(MyLat))*SIN(RADIANS(EVCleanedDataset[[#This Row],[Latitude]]))+COS(RADIANS(MyLat))*COS(RADIANS(EVCleanedDataset[[#This Row],[Latitude]]))*COS(RADIANS(EVCleanedDataset[[#This Row],[Longitude]]-MyLong)))</f>
        <v>1518.3758651347287</v>
      </c>
      <c r="J476">
        <f t="shared" si="15"/>
        <v>2</v>
      </c>
      <c r="K47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36.743422664507357</v>
      </c>
      <c r="L476" t="str">
        <f>IF(EVCleanedDataset[[#This Row],[Score]]&gt;50,"Yes","No")</f>
        <v>No</v>
      </c>
    </row>
    <row r="477" spans="1:12" x14ac:dyDescent="0.3">
      <c r="A477" t="s">
        <v>2495</v>
      </c>
      <c r="B477" t="s">
        <v>14</v>
      </c>
      <c r="C477" t="s">
        <v>214</v>
      </c>
      <c r="D477">
        <v>26.9013484</v>
      </c>
      <c r="E477">
        <v>75.785012600000002</v>
      </c>
      <c r="F477">
        <f>IF(COUNTIF($C$5:C477,C477)=1,1,0)</f>
        <v>0</v>
      </c>
      <c r="G477" s="2" t="str">
        <f t="shared" si="14"/>
        <v/>
      </c>
      <c r="H477" s="2">
        <f>MAX(0, MyBattery - (EVCleanedDataset[[#This Row],[Distance(km)]]/VehicleRangeKm)*100)</f>
        <v>0</v>
      </c>
      <c r="I477" s="2">
        <f>6371*ACOS(SIN(RADIANS(MyLat))*SIN(RADIANS(EVCleanedDataset[[#This Row],[Latitude]]))+COS(RADIANS(MyLat))*COS(RADIANS(EVCleanedDataset[[#This Row],[Latitude]]))*COS(RADIANS(EVCleanedDataset[[#This Row],[Longitude]]-MyLong)))</f>
        <v>1517.9342546672171</v>
      </c>
      <c r="J477">
        <f t="shared" si="15"/>
        <v>9</v>
      </c>
      <c r="K47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13.41783423082375</v>
      </c>
      <c r="L477" t="str">
        <f>IF(EVCleanedDataset[[#This Row],[Score]]&gt;50,"Yes","No")</f>
        <v>No</v>
      </c>
    </row>
    <row r="478" spans="1:12" x14ac:dyDescent="0.3">
      <c r="A478" t="s">
        <v>1193</v>
      </c>
      <c r="B478" t="s">
        <v>45</v>
      </c>
      <c r="C478" t="s">
        <v>45</v>
      </c>
      <c r="D478">
        <v>28.676245999999999</v>
      </c>
      <c r="E478">
        <v>77.317679999999996</v>
      </c>
      <c r="F478">
        <f>IF(COUNTIF($C$5:C478,C478)=1,1,0)</f>
        <v>0</v>
      </c>
      <c r="G478" s="2" t="str">
        <f t="shared" si="14"/>
        <v/>
      </c>
      <c r="H478" s="2">
        <f>MAX(0, MyBattery - (EVCleanedDataset[[#This Row],[Distance(km)]]/VehicleRangeKm)*100)</f>
        <v>0</v>
      </c>
      <c r="I478" s="2">
        <f>6371*ACOS(SIN(RADIANS(MyLat))*SIN(RADIANS(EVCleanedDataset[[#This Row],[Latitude]]))+COS(RADIANS(MyLat))*COS(RADIANS(EVCleanedDataset[[#This Row],[Latitude]]))*COS(RADIANS(EVCleanedDataset[[#This Row],[Longitude]]-MyLong)))</f>
        <v>1704.4502908965214</v>
      </c>
      <c r="J478">
        <f t="shared" si="15"/>
        <v>6</v>
      </c>
      <c r="K47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20.150976868220468</v>
      </c>
      <c r="L478" t="str">
        <f>IF(EVCleanedDataset[[#This Row],[Score]]&gt;50,"Yes","No")</f>
        <v>No</v>
      </c>
    </row>
    <row r="479" spans="1:12" x14ac:dyDescent="0.3">
      <c r="A479" t="s">
        <v>2960</v>
      </c>
      <c r="B479" t="s">
        <v>45</v>
      </c>
      <c r="C479" t="s">
        <v>45</v>
      </c>
      <c r="D479">
        <v>28.703312</v>
      </c>
      <c r="E479">
        <v>77.181109000000006</v>
      </c>
      <c r="F479">
        <f>IF(COUNTIF($C$5:C479,C479)=1,1,0)</f>
        <v>0</v>
      </c>
      <c r="G479" s="2" t="str">
        <f t="shared" si="14"/>
        <v/>
      </c>
      <c r="H479" s="2">
        <f>MAX(0, MyBattery - (EVCleanedDataset[[#This Row],[Distance(km)]]/VehicleRangeKm)*100)</f>
        <v>0</v>
      </c>
      <c r="I479" s="2">
        <f>6371*ACOS(SIN(RADIANS(MyLat))*SIN(RADIANS(EVCleanedDataset[[#This Row],[Latitude]]))+COS(RADIANS(MyLat))*COS(RADIANS(EVCleanedDataset[[#This Row],[Latitude]]))*COS(RADIANS(EVCleanedDataset[[#This Row],[Longitude]]-MyLong)))</f>
        <v>1707.7056774380662</v>
      </c>
      <c r="J479">
        <f t="shared" si="15"/>
        <v>3</v>
      </c>
      <c r="K47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30.093968092461392</v>
      </c>
      <c r="L479" t="str">
        <f>IF(EVCleanedDataset[[#This Row],[Score]]&gt;50,"Yes","No")</f>
        <v>No</v>
      </c>
    </row>
    <row r="480" spans="1:12" x14ac:dyDescent="0.3">
      <c r="A480" t="s">
        <v>2770</v>
      </c>
      <c r="B480" t="s">
        <v>45</v>
      </c>
      <c r="C480" t="s">
        <v>45</v>
      </c>
      <c r="D480">
        <v>28.709831000000001</v>
      </c>
      <c r="E480">
        <v>77.17765</v>
      </c>
      <c r="F480">
        <f>IF(COUNTIF($C$5:C480,C480)=1,1,0)</f>
        <v>0</v>
      </c>
      <c r="G480" s="2" t="str">
        <f t="shared" si="14"/>
        <v/>
      </c>
      <c r="H480" s="2">
        <f>MAX(0, MyBattery - (EVCleanedDataset[[#This Row],[Distance(km)]]/VehicleRangeKm)*100)</f>
        <v>0</v>
      </c>
      <c r="I480" s="2">
        <f>6371*ACOS(SIN(RADIANS(MyLat))*SIN(RADIANS(EVCleanedDataset[[#This Row],[Latitude]]))+COS(RADIANS(MyLat))*COS(RADIANS(EVCleanedDataset[[#This Row],[Latitude]]))*COS(RADIANS(EVCleanedDataset[[#This Row],[Longitude]]-MyLong)))</f>
        <v>1708.4381109929068</v>
      </c>
      <c r="J480">
        <f t="shared" si="15"/>
        <v>0</v>
      </c>
      <c r="K48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40.081149365645416</v>
      </c>
      <c r="L480" t="str">
        <f>IF(EVCleanedDataset[[#This Row],[Score]]&gt;50,"Yes","No")</f>
        <v>No</v>
      </c>
    </row>
    <row r="481" spans="1:12" x14ac:dyDescent="0.3">
      <c r="A481" t="s">
        <v>3252</v>
      </c>
      <c r="B481" t="s">
        <v>68</v>
      </c>
      <c r="C481" t="s">
        <v>69</v>
      </c>
      <c r="D481">
        <v>22.935403999999998</v>
      </c>
      <c r="E481">
        <v>72.520954000000003</v>
      </c>
      <c r="F481">
        <f>IF(COUNTIF($C$5:C481,C481)=1,1,0)</f>
        <v>0</v>
      </c>
      <c r="G481" s="2" t="str">
        <f t="shared" si="14"/>
        <v/>
      </c>
      <c r="H481" s="2">
        <f>MAX(0, MyBattery - (EVCleanedDataset[[#This Row],[Distance(km)]]/VehicleRangeKm)*100)</f>
        <v>0</v>
      </c>
      <c r="I481" s="2">
        <f>6371*ACOS(SIN(RADIANS(MyLat))*SIN(RADIANS(EVCleanedDataset[[#This Row],[Latitude]]))+COS(RADIANS(MyLat))*COS(RADIANS(EVCleanedDataset[[#This Row],[Latitude]]))*COS(RADIANS(EVCleanedDataset[[#This Row],[Longitude]]-MyLong)))</f>
        <v>1190.1033811020636</v>
      </c>
      <c r="J481">
        <f t="shared" si="15"/>
        <v>7</v>
      </c>
      <c r="K481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25.826567175526105</v>
      </c>
      <c r="L481" t="str">
        <f>IF(EVCleanedDataset[[#This Row],[Score]]&gt;50,"Yes","No")</f>
        <v>No</v>
      </c>
    </row>
    <row r="482" spans="1:12" x14ac:dyDescent="0.3">
      <c r="A482" t="s">
        <v>2860</v>
      </c>
      <c r="B482" t="s">
        <v>150</v>
      </c>
      <c r="C482" t="s">
        <v>1341</v>
      </c>
      <c r="D482">
        <v>13.057629</v>
      </c>
      <c r="E482">
        <v>77.587150699999995</v>
      </c>
      <c r="F482">
        <f>IF(COUNTIF($C$5:C482,C482)=1,1,0)</f>
        <v>0</v>
      </c>
      <c r="G482" s="2" t="str">
        <f t="shared" si="14"/>
        <v/>
      </c>
      <c r="H482" s="2">
        <f>MAX(0, MyBattery - (EVCleanedDataset[[#This Row],[Distance(km)]]/VehicleRangeKm)*100)</f>
        <v>59.04846355051923</v>
      </c>
      <c r="I482" s="2">
        <f>6371*ACOS(SIN(RADIANS(MyLat))*SIN(RADIANS(EVCleanedDataset[[#This Row],[Latitude]]))+COS(RADIANS(MyLat))*COS(RADIANS(EVCleanedDataset[[#This Row],[Latitude]]))*COS(RADIANS(EVCleanedDataset[[#This Row],[Longitude]]-MyLong)))</f>
        <v>32.85460934844231</v>
      </c>
      <c r="J482">
        <f t="shared" si="15"/>
        <v>4</v>
      </c>
      <c r="K482" s="5">
        <f>((1-(EVCleanedDataset[[#This Row],[Distance(km)]]/MAX($I$5:$I$1121)))*0.4 + (1-(EVCleanedDataset[[#This Row],[QueueLength]]/MAX($J$5:$J$1121)))*0.3 + (EVCleanedDataset[[#This Row],[EstimatedBatteryOnArrival]]/100)*0.3 + (ROW()/10000000))*100</f>
        <v>73.81057038137979</v>
      </c>
      <c r="L482" t="str">
        <f>IF(EVCleanedDataset[[#This Row],[Score]]&gt;50,"Yes","No")</f>
        <v>Yes</v>
      </c>
    </row>
    <row r="483" spans="1:12" x14ac:dyDescent="0.3">
      <c r="A483" t="s">
        <v>1460</v>
      </c>
      <c r="B483" t="s">
        <v>41</v>
      </c>
      <c r="C483" t="s">
        <v>119</v>
      </c>
      <c r="D483">
        <v>19.106317499999999</v>
      </c>
      <c r="E483">
        <v>72.860321900000002</v>
      </c>
      <c r="F483">
        <f>IF(COUNTIF($C$5:C483,C483)=1,1,0)</f>
        <v>0</v>
      </c>
      <c r="G483" s="2" t="str">
        <f t="shared" si="14"/>
        <v/>
      </c>
      <c r="H483" s="2">
        <f>MAX(0, MyBattery - (EVCleanedDataset[[#This Row],[Distance(km)]]/VehicleRangeKm)*100)</f>
        <v>0</v>
      </c>
      <c r="I483" s="2">
        <f>6371*ACOS(SIN(RADIANS(MyLat))*SIN(RADIANS(EVCleanedDataset[[#This Row],[Latitude]]))+COS(RADIANS(MyLat))*COS(RADIANS(EVCleanedDataset[[#This Row],[Latitude]]))*COS(RADIANS(EVCleanedDataset[[#This Row],[Longitude]]-MyLong)))</f>
        <v>811.7292855761001</v>
      </c>
      <c r="J483">
        <f t="shared" si="15"/>
        <v>1</v>
      </c>
      <c r="K483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52.453888551417634</v>
      </c>
      <c r="L483" t="str">
        <f>IF(EVCleanedDataset[[#This Row],[Score]]&gt;50,"Yes","No")</f>
        <v>Yes</v>
      </c>
    </row>
    <row r="484" spans="1:12" x14ac:dyDescent="0.3">
      <c r="A484" t="s">
        <v>831</v>
      </c>
      <c r="B484" t="s">
        <v>49</v>
      </c>
      <c r="C484" t="s">
        <v>188</v>
      </c>
      <c r="D484">
        <v>11.138138477319</v>
      </c>
      <c r="E484">
        <v>76.940731032283907</v>
      </c>
      <c r="F484">
        <f>IF(COUNTIF($C$5:C484,C484)=1,1,0)</f>
        <v>0</v>
      </c>
      <c r="G484" s="2" t="str">
        <f t="shared" si="14"/>
        <v/>
      </c>
      <c r="H484" s="2">
        <f>MAX(0, MyBattery - (EVCleanedDataset[[#This Row],[Distance(km)]]/VehicleRangeKm)*100)</f>
        <v>0</v>
      </c>
      <c r="I484" s="2">
        <f>6371*ACOS(SIN(RADIANS(MyLat))*SIN(RADIANS(EVCleanedDataset[[#This Row],[Latitude]]))+COS(RADIANS(MyLat))*COS(RADIANS(EVCleanedDataset[[#This Row],[Latitude]]))*COS(RADIANS(EVCleanedDataset[[#This Row],[Longitude]]-MyLong)))</f>
        <v>254.25757142767492</v>
      </c>
      <c r="J484">
        <f t="shared" si="15"/>
        <v>8</v>
      </c>
      <c r="K48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38.884798821499587</v>
      </c>
      <c r="L484" t="str">
        <f>IF(EVCleanedDataset[[#This Row],[Score]]&gt;50,"Yes","No")</f>
        <v>No</v>
      </c>
    </row>
    <row r="485" spans="1:12" x14ac:dyDescent="0.3">
      <c r="A485" t="s">
        <v>2234</v>
      </c>
      <c r="B485" t="s">
        <v>150</v>
      </c>
      <c r="C485" t="s">
        <v>1341</v>
      </c>
      <c r="D485">
        <v>13.04279</v>
      </c>
      <c r="E485">
        <v>77.609300000000005</v>
      </c>
      <c r="F485">
        <f>IF(COUNTIF($C$5:C485,C485)=1,1,0)</f>
        <v>0</v>
      </c>
      <c r="G485" s="2" t="str">
        <f t="shared" si="14"/>
        <v/>
      </c>
      <c r="H485" s="2">
        <f>MAX(0, MyBattery - (EVCleanedDataset[[#This Row],[Distance(km)]]/VehicleRangeKm)*100)</f>
        <v>58.35414273236028</v>
      </c>
      <c r="I485" s="2">
        <f>6371*ACOS(SIN(RADIANS(MyLat))*SIN(RADIANS(EVCleanedDataset[[#This Row],[Latitude]]))+COS(RADIANS(MyLat))*COS(RADIANS(EVCleanedDataset[[#This Row],[Latitude]]))*COS(RADIANS(EVCleanedDataset[[#This Row],[Longitude]]-MyLong)))</f>
        <v>34.937571802919159</v>
      </c>
      <c r="J485">
        <f t="shared" si="15"/>
        <v>5</v>
      </c>
      <c r="K485" s="5">
        <f>((1-(EVCleanedDataset[[#This Row],[Distance(km)]]/MAX($I$5:$I$1121)))*0.4 + (1-(EVCleanedDataset[[#This Row],[QueueLength]]/MAX($J$5:$J$1121)))*0.3 + (EVCleanedDataset[[#This Row],[EstimatedBatteryOnArrival]]/100)*0.3 + (ROW()/10000000))*100</f>
        <v>70.232487279800267</v>
      </c>
      <c r="L485" t="str">
        <f>IF(EVCleanedDataset[[#This Row],[Score]]&gt;50,"Yes","No")</f>
        <v>Yes</v>
      </c>
    </row>
    <row r="486" spans="1:12" x14ac:dyDescent="0.3">
      <c r="A486" t="s">
        <v>299</v>
      </c>
      <c r="B486" t="s">
        <v>150</v>
      </c>
      <c r="C486" t="s">
        <v>1341</v>
      </c>
      <c r="D486">
        <v>13.169102000000001</v>
      </c>
      <c r="E486">
        <v>77.632018000000002</v>
      </c>
      <c r="F486">
        <f>IF(COUNTIF($C$5:C486,C486)=1,1,0)</f>
        <v>0</v>
      </c>
      <c r="G486" s="2" t="str">
        <f t="shared" si="14"/>
        <v/>
      </c>
      <c r="H486" s="2">
        <f>MAX(0, MyBattery - (EVCleanedDataset[[#This Row],[Distance(km)]]/VehicleRangeKm)*100)</f>
        <v>62.507004492009756</v>
      </c>
      <c r="I486" s="2">
        <f>6371*ACOS(SIN(RADIANS(MyLat))*SIN(RADIANS(EVCleanedDataset[[#This Row],[Latitude]]))+COS(RADIANS(MyLat))*COS(RADIANS(EVCleanedDataset[[#This Row],[Latitude]]))*COS(RADIANS(EVCleanedDataset[[#This Row],[Longitude]]-MyLong)))</f>
        <v>22.478986523970725</v>
      </c>
      <c r="J486">
        <f t="shared" si="15"/>
        <v>2</v>
      </c>
      <c r="K486" s="5">
        <f>((1-(EVCleanedDataset[[#This Row],[Distance(km)]]/MAX($I$5:$I$1121)))*0.4 + (1-(EVCleanedDataset[[#This Row],[QueueLength]]/MAX($J$5:$J$1121)))*0.3 + (EVCleanedDataset[[#This Row],[EstimatedBatteryOnArrival]]/100)*0.3 + (ROW()/10000000))*100</f>
        <v>81.696570533114055</v>
      </c>
      <c r="L486" t="str">
        <f>IF(EVCleanedDataset[[#This Row],[Score]]&gt;50,"Yes","No")</f>
        <v>Yes</v>
      </c>
    </row>
    <row r="487" spans="1:12" x14ac:dyDescent="0.3">
      <c r="A487" t="s">
        <v>3284</v>
      </c>
      <c r="B487" t="s">
        <v>313</v>
      </c>
      <c r="C487" t="s">
        <v>2437</v>
      </c>
      <c r="D487">
        <v>21.498343999999999</v>
      </c>
      <c r="E487">
        <v>83.956558000000001</v>
      </c>
      <c r="F487">
        <f>IF(COUNTIF($C$5:C487,C487)=1,1,0)</f>
        <v>1</v>
      </c>
      <c r="G487" s="2">
        <f t="shared" si="14"/>
        <v>1133.0654952208095</v>
      </c>
      <c r="H487" s="2">
        <f>MAX(0, MyBattery - (EVCleanedDataset[[#This Row],[Distance(km)]]/VehicleRangeKm)*100)</f>
        <v>0</v>
      </c>
      <c r="I487" s="2">
        <f>6371*ACOS(SIN(RADIANS(MyLat))*SIN(RADIANS(EVCleanedDataset[[#This Row],[Latitude]]))+COS(RADIANS(MyLat))*COS(RADIANS(EVCleanedDataset[[#This Row],[Latitude]]))*COS(RADIANS(EVCleanedDataset[[#This Row],[Longitude]]-MyLong)))</f>
        <v>1133.0654952208095</v>
      </c>
      <c r="J487">
        <f t="shared" si="15"/>
        <v>9</v>
      </c>
      <c r="K487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20.158991002882363</v>
      </c>
      <c r="L487" t="str">
        <f>IF(EVCleanedDataset[[#This Row],[Score]]&gt;50,"Yes","No")</f>
        <v>No</v>
      </c>
    </row>
    <row r="488" spans="1:12" x14ac:dyDescent="0.3">
      <c r="A488" t="s">
        <v>959</v>
      </c>
      <c r="B488" t="s">
        <v>150</v>
      </c>
      <c r="C488" t="s">
        <v>1341</v>
      </c>
      <c r="D488">
        <v>12.91371</v>
      </c>
      <c r="E488">
        <v>77.644164000000004</v>
      </c>
      <c r="F488">
        <f>IF(COUNTIF($C$5:C488,C488)=1,1,0)</f>
        <v>0</v>
      </c>
      <c r="G488" s="2" t="str">
        <f t="shared" si="14"/>
        <v/>
      </c>
      <c r="H488" s="2">
        <f>MAX(0, MyBattery - (EVCleanedDataset[[#This Row],[Distance(km)]]/VehicleRangeKm)*100)</f>
        <v>53.408776528993982</v>
      </c>
      <c r="I488" s="2">
        <f>6371*ACOS(SIN(RADIANS(MyLat))*SIN(RADIANS(EVCleanedDataset[[#This Row],[Latitude]]))+COS(RADIANS(MyLat))*COS(RADIANS(EVCleanedDataset[[#This Row],[Latitude]]))*COS(RADIANS(EVCleanedDataset[[#This Row],[Longitude]]-MyLong)))</f>
        <v>49.77367041301806</v>
      </c>
      <c r="J488">
        <f t="shared" si="15"/>
        <v>6</v>
      </c>
      <c r="K488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65.155716717063754</v>
      </c>
      <c r="L488" t="str">
        <f>IF(EVCleanedDataset[[#This Row],[Score]]&gt;50,"Yes","No")</f>
        <v>Yes</v>
      </c>
    </row>
    <row r="489" spans="1:12" x14ac:dyDescent="0.3">
      <c r="A489" t="s">
        <v>526</v>
      </c>
      <c r="B489" t="s">
        <v>41</v>
      </c>
      <c r="C489" t="s">
        <v>119</v>
      </c>
      <c r="D489">
        <v>19.153811418286601</v>
      </c>
      <c r="E489">
        <v>72.855795719373106</v>
      </c>
      <c r="F489">
        <f>IF(COUNTIF($C$5:C489,C489)=1,1,0)</f>
        <v>0</v>
      </c>
      <c r="G489" s="2" t="str">
        <f t="shared" si="14"/>
        <v/>
      </c>
      <c r="H489" s="2">
        <f>MAX(0, MyBattery - (EVCleanedDataset[[#This Row],[Distance(km)]]/VehicleRangeKm)*100)</f>
        <v>0</v>
      </c>
      <c r="I489" s="2">
        <f>6371*ACOS(SIN(RADIANS(MyLat))*SIN(RADIANS(EVCleanedDataset[[#This Row],[Latitude]]))+COS(RADIANS(MyLat))*COS(RADIANS(EVCleanedDataset[[#This Row],[Latitude]]))*COS(RADIANS(EVCleanedDataset[[#This Row],[Longitude]]-MyLong)))</f>
        <v>816.15647924680263</v>
      </c>
      <c r="J489">
        <f t="shared" si="15"/>
        <v>3</v>
      </c>
      <c r="K489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45.709738662178097</v>
      </c>
      <c r="L489" t="str">
        <f>IF(EVCleanedDataset[[#This Row],[Score]]&gt;50,"Yes","No")</f>
        <v>No</v>
      </c>
    </row>
    <row r="490" spans="1:12" x14ac:dyDescent="0.3">
      <c r="A490" t="s">
        <v>3053</v>
      </c>
      <c r="B490" t="s">
        <v>68</v>
      </c>
      <c r="C490" t="s">
        <v>69</v>
      </c>
      <c r="D490">
        <v>23.013038609999999</v>
      </c>
      <c r="E490">
        <v>72.524215569999996</v>
      </c>
      <c r="F490">
        <f>IF(COUNTIF($C$5:C490,C490)=1,1,0)</f>
        <v>0</v>
      </c>
      <c r="G490" s="2" t="str">
        <f t="shared" si="14"/>
        <v/>
      </c>
      <c r="H490" s="2">
        <f>MAX(0, MyBattery - (EVCleanedDataset[[#This Row],[Distance(km)]]/VehicleRangeKm)*100)</f>
        <v>0</v>
      </c>
      <c r="I490" s="2">
        <f>6371*ACOS(SIN(RADIANS(MyLat))*SIN(RADIANS(EVCleanedDataset[[#This Row],[Latitude]]))+COS(RADIANS(MyLat))*COS(RADIANS(EVCleanedDataset[[#This Row],[Latitude]]))*COS(RADIANS(EVCleanedDataset[[#This Row],[Longitude]]-MyLong)))</f>
        <v>1197.6313076702106</v>
      </c>
      <c r="J490">
        <f t="shared" si="15"/>
        <v>0</v>
      </c>
      <c r="K490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49.028137301431642</v>
      </c>
      <c r="L490" t="str">
        <f>IF(EVCleanedDataset[[#This Row],[Score]]&gt;50,"Yes","No")</f>
        <v>No</v>
      </c>
    </row>
    <row r="491" spans="1:12" x14ac:dyDescent="0.3">
      <c r="A491" t="s">
        <v>3250</v>
      </c>
      <c r="B491" t="s">
        <v>68</v>
      </c>
      <c r="C491" t="s">
        <v>69</v>
      </c>
      <c r="D491">
        <v>23.014261000000001</v>
      </c>
      <c r="E491">
        <v>72.503946999999997</v>
      </c>
      <c r="F491">
        <f>IF(COUNTIF($C$5:C491,C491)=1,1,0)</f>
        <v>0</v>
      </c>
      <c r="G491" s="2" t="str">
        <f t="shared" si="14"/>
        <v/>
      </c>
      <c r="H491" s="2">
        <f>MAX(0, MyBattery - (EVCleanedDataset[[#This Row],[Distance(km)]]/VehicleRangeKm)*100)</f>
        <v>0</v>
      </c>
      <c r="I491" s="2">
        <f>6371*ACOS(SIN(RADIANS(MyLat))*SIN(RADIANS(EVCleanedDataset[[#This Row],[Latitude]]))+COS(RADIANS(MyLat))*COS(RADIANS(EVCleanedDataset[[#This Row],[Latitude]]))*COS(RADIANS(EVCleanedDataset[[#This Row],[Longitude]]-MyLong)))</f>
        <v>1198.6975982260922</v>
      </c>
      <c r="J491">
        <f t="shared" si="15"/>
        <v>7</v>
      </c>
      <c r="K491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25.676137666121896</v>
      </c>
      <c r="L491" t="str">
        <f>IF(EVCleanedDataset[[#This Row],[Score]]&gt;50,"Yes","No")</f>
        <v>No</v>
      </c>
    </row>
    <row r="492" spans="1:12" x14ac:dyDescent="0.3">
      <c r="A492" t="s">
        <v>508</v>
      </c>
      <c r="B492" t="s">
        <v>68</v>
      </c>
      <c r="C492" t="s">
        <v>69</v>
      </c>
      <c r="D492">
        <v>23.028197299999999</v>
      </c>
      <c r="E492">
        <v>72.543289200000004</v>
      </c>
      <c r="F492">
        <f>IF(COUNTIF($C$5:C492,C492)=1,1,0)</f>
        <v>0</v>
      </c>
      <c r="G492" s="2" t="str">
        <f t="shared" si="14"/>
        <v/>
      </c>
      <c r="H492" s="2">
        <f>MAX(0, MyBattery - (EVCleanedDataset[[#This Row],[Distance(km)]]/VehicleRangeKm)*100)</f>
        <v>0</v>
      </c>
      <c r="I492" s="2">
        <f>6371*ACOS(SIN(RADIANS(MyLat))*SIN(RADIANS(EVCleanedDataset[[#This Row],[Latitude]]))+COS(RADIANS(MyLat))*COS(RADIANS(EVCleanedDataset[[#This Row],[Latitude]]))*COS(RADIANS(EVCleanedDataset[[#This Row],[Longitude]]-MyLong)))</f>
        <v>1198.246932916313</v>
      </c>
      <c r="J492">
        <f t="shared" si="15"/>
        <v>4</v>
      </c>
      <c r="K492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35.684041163226695</v>
      </c>
      <c r="L492" t="str">
        <f>IF(EVCleanedDataset[[#This Row],[Score]]&gt;50,"Yes","No")</f>
        <v>No</v>
      </c>
    </row>
    <row r="493" spans="1:12" x14ac:dyDescent="0.3">
      <c r="A493" t="s">
        <v>2981</v>
      </c>
      <c r="B493" t="s">
        <v>68</v>
      </c>
      <c r="C493" t="s">
        <v>69</v>
      </c>
      <c r="D493">
        <v>23.052278699999999</v>
      </c>
      <c r="E493">
        <v>72.571088200000005</v>
      </c>
      <c r="F493">
        <f>IF(COUNTIF($C$5:C493,C493)=1,1,0)</f>
        <v>0</v>
      </c>
      <c r="G493" s="2" t="str">
        <f t="shared" si="14"/>
        <v/>
      </c>
      <c r="H493" s="2">
        <f>MAX(0, MyBattery - (EVCleanedDataset[[#This Row],[Distance(km)]]/VehicleRangeKm)*100)</f>
        <v>0</v>
      </c>
      <c r="I493" s="2">
        <f>6371*ACOS(SIN(RADIANS(MyLat))*SIN(RADIANS(EVCleanedDataset[[#This Row],[Latitude]]))+COS(RADIANS(MyLat))*COS(RADIANS(EVCleanedDataset[[#This Row],[Latitude]]))*COS(RADIANS(EVCleanedDataset[[#This Row],[Longitude]]-MyLong)))</f>
        <v>1199.3516166112934</v>
      </c>
      <c r="J493">
        <f t="shared" si="15"/>
        <v>1</v>
      </c>
      <c r="K493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45.664702397393526</v>
      </c>
      <c r="L493" t="str">
        <f>IF(EVCleanedDataset[[#This Row],[Score]]&gt;50,"Yes","No")</f>
        <v>No</v>
      </c>
    </row>
    <row r="494" spans="1:12" x14ac:dyDescent="0.3">
      <c r="A494" t="s">
        <v>2889</v>
      </c>
      <c r="B494" t="s">
        <v>68</v>
      </c>
      <c r="C494" t="s">
        <v>2198</v>
      </c>
      <c r="D494">
        <v>21.145173700000001</v>
      </c>
      <c r="E494">
        <v>72.756948699999995</v>
      </c>
      <c r="F494">
        <f>IF(COUNTIF($C$5:C494,C494)=1,1,0)</f>
        <v>0</v>
      </c>
      <c r="G494" s="2" t="str">
        <f t="shared" si="14"/>
        <v/>
      </c>
      <c r="H494" s="2">
        <f>MAX(0, MyBattery - (EVCleanedDataset[[#This Row],[Distance(km)]]/VehicleRangeKm)*100)</f>
        <v>0</v>
      </c>
      <c r="I494" s="2">
        <f>6371*ACOS(SIN(RADIANS(MyLat))*SIN(RADIANS(EVCleanedDataset[[#This Row],[Latitude]]))+COS(RADIANS(MyLat))*COS(RADIANS(EVCleanedDataset[[#This Row],[Latitude]]))*COS(RADIANS(EVCleanedDataset[[#This Row],[Longitude]]-MyLong)))</f>
        <v>1004.3348126893811</v>
      </c>
      <c r="J494">
        <f t="shared" si="15"/>
        <v>8</v>
      </c>
      <c r="K494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25.747139149742317</v>
      </c>
      <c r="L494" t="str">
        <f>IF(EVCleanedDataset[[#This Row],[Score]]&gt;50,"Yes","No")</f>
        <v>No</v>
      </c>
    </row>
    <row r="495" spans="1:12" x14ac:dyDescent="0.3">
      <c r="A495" t="s">
        <v>3038</v>
      </c>
      <c r="B495" t="s">
        <v>150</v>
      </c>
      <c r="C495" t="s">
        <v>1341</v>
      </c>
      <c r="D495">
        <v>12.96365147</v>
      </c>
      <c r="E495">
        <v>77.70295917</v>
      </c>
      <c r="F495">
        <f>IF(COUNTIF($C$5:C495,C495)=1,1,0)</f>
        <v>0</v>
      </c>
      <c r="G495" s="2" t="str">
        <f t="shared" si="14"/>
        <v/>
      </c>
      <c r="H495" s="2">
        <f>MAX(0, MyBattery - (EVCleanedDataset[[#This Row],[Distance(km)]]/VehicleRangeKm)*100)</f>
        <v>54.514988657044626</v>
      </c>
      <c r="I495" s="2">
        <f>6371*ACOS(SIN(RADIANS(MyLat))*SIN(RADIANS(EVCleanedDataset[[#This Row],[Latitude]]))+COS(RADIANS(MyLat))*COS(RADIANS(EVCleanedDataset[[#This Row],[Latitude]]))*COS(RADIANS(EVCleanedDataset[[#This Row],[Longitude]]-MyLong)))</f>
        <v>46.45503402886613</v>
      </c>
      <c r="J495">
        <f t="shared" si="15"/>
        <v>5</v>
      </c>
      <c r="K495" s="5">
        <f>((1-(EVCleanedDataset[[#This Row],[Distance(km)]]/MAX($I$5:$I$1121)))*0.4 + (1-(EVCleanedDataset[[#This Row],[QueueLength]]/MAX($J$5:$J$1121)))*0.3 + (EVCleanedDataset[[#This Row],[EstimatedBatteryOnArrival]]/100)*0.3 + (ROW()/10000000))*100</f>
        <v>68.879110298785946</v>
      </c>
      <c r="L495" t="str">
        <f>IF(EVCleanedDataset[[#This Row],[Score]]&gt;50,"Yes","No")</f>
        <v>Yes</v>
      </c>
    </row>
    <row r="496" spans="1:12" x14ac:dyDescent="0.3">
      <c r="A496" t="s">
        <v>3352</v>
      </c>
      <c r="B496" t="s">
        <v>463</v>
      </c>
      <c r="C496" t="s">
        <v>1141</v>
      </c>
      <c r="D496">
        <v>23.273895899999999</v>
      </c>
      <c r="E496">
        <v>87.809499200000005</v>
      </c>
      <c r="F496">
        <f>IF(COUNTIF($C$5:C496,C496)=1,1,0)</f>
        <v>1</v>
      </c>
      <c r="G496" s="2">
        <f t="shared" si="14"/>
        <v>1522.9576997656766</v>
      </c>
      <c r="H496" s="2">
        <f>MAX(0, MyBattery - (EVCleanedDataset[[#This Row],[Distance(km)]]/VehicleRangeKm)*100)</f>
        <v>0</v>
      </c>
      <c r="I496" s="2">
        <f>6371*ACOS(SIN(RADIANS(MyLat))*SIN(RADIANS(EVCleanedDataset[[#This Row],[Latitude]]))+COS(RADIANS(MyLat))*COS(RADIANS(EVCleanedDataset[[#This Row],[Latitude]]))*COS(RADIANS(EVCleanedDataset[[#This Row],[Longitude]]-MyLong)))</f>
        <v>1545.8013409343309</v>
      </c>
      <c r="J496">
        <f t="shared" si="15"/>
        <v>2</v>
      </c>
      <c r="K49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36.263259723041905</v>
      </c>
      <c r="L496" t="str">
        <f>IF(EVCleanedDataset[[#This Row],[Score]]&gt;50,"Yes","No")</f>
        <v>No</v>
      </c>
    </row>
    <row r="497" spans="1:12" x14ac:dyDescent="0.3">
      <c r="A497" t="s">
        <v>2823</v>
      </c>
      <c r="B497" t="s">
        <v>49</v>
      </c>
      <c r="C497" t="s">
        <v>188</v>
      </c>
      <c r="D497">
        <v>11.009600000000001</v>
      </c>
      <c r="E497">
        <v>76.9589</v>
      </c>
      <c r="F497">
        <f>IF(COUNTIF($C$5:C497,C497)=1,1,0)</f>
        <v>0</v>
      </c>
      <c r="G497" s="2" t="str">
        <f t="shared" si="14"/>
        <v/>
      </c>
      <c r="H497" s="2">
        <f>MAX(0, MyBattery - (EVCleanedDataset[[#This Row],[Distance(km)]]/VehicleRangeKm)*100)</f>
        <v>0</v>
      </c>
      <c r="I497" s="2">
        <f>6371*ACOS(SIN(RADIANS(MyLat))*SIN(RADIANS(EVCleanedDataset[[#This Row],[Latitude]]))+COS(RADIANS(MyLat))*COS(RADIANS(EVCleanedDataset[[#This Row],[Latitude]]))*COS(RADIANS(EVCleanedDataset[[#This Row],[Longitude]]-MyLong)))</f>
        <v>267.63536764701087</v>
      </c>
      <c r="J497">
        <f t="shared" si="15"/>
        <v>9</v>
      </c>
      <c r="K497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35.317280590980808</v>
      </c>
      <c r="L497" t="str">
        <f>IF(EVCleanedDataset[[#This Row],[Score]]&gt;50,"Yes","No")</f>
        <v>No</v>
      </c>
    </row>
    <row r="498" spans="1:12" x14ac:dyDescent="0.3">
      <c r="A498" t="s">
        <v>3363</v>
      </c>
      <c r="B498" t="s">
        <v>41</v>
      </c>
      <c r="C498" t="s">
        <v>119</v>
      </c>
      <c r="D498">
        <v>19.240236400000001</v>
      </c>
      <c r="E498">
        <v>72.8481819</v>
      </c>
      <c r="F498">
        <f>IF(COUNTIF($C$5:C498,C498)=1,1,0)</f>
        <v>0</v>
      </c>
      <c r="G498" s="2" t="str">
        <f t="shared" si="14"/>
        <v/>
      </c>
      <c r="H498" s="2">
        <f>MAX(0, MyBattery - (EVCleanedDataset[[#This Row],[Distance(km)]]/VehicleRangeKm)*100)</f>
        <v>0</v>
      </c>
      <c r="I498" s="2">
        <f>6371*ACOS(SIN(RADIANS(MyLat))*SIN(RADIANS(EVCleanedDataset[[#This Row],[Latitude]]))+COS(RADIANS(MyLat))*COS(RADIANS(EVCleanedDataset[[#This Row],[Latitude]]))*COS(RADIANS(EVCleanedDataset[[#This Row],[Longitude]]-MyLong)))</f>
        <v>824.19832810813023</v>
      </c>
      <c r="J498">
        <f t="shared" si="15"/>
        <v>6</v>
      </c>
      <c r="K49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35.568973998358402</v>
      </c>
      <c r="L498" t="str">
        <f>IF(EVCleanedDataset[[#This Row],[Score]]&gt;50,"Yes","No")</f>
        <v>No</v>
      </c>
    </row>
    <row r="499" spans="1:12" x14ac:dyDescent="0.3">
      <c r="A499" t="s">
        <v>2924</v>
      </c>
      <c r="B499" t="s">
        <v>68</v>
      </c>
      <c r="C499" t="s">
        <v>2198</v>
      </c>
      <c r="D499">
        <v>21.212694426151099</v>
      </c>
      <c r="E499">
        <v>72.8451179602812</v>
      </c>
      <c r="F499">
        <f>IF(COUNTIF($C$5:C499,C499)=1,1,0)</f>
        <v>0</v>
      </c>
      <c r="G499" s="2" t="str">
        <f t="shared" si="14"/>
        <v/>
      </c>
      <c r="H499" s="2">
        <f>MAX(0, MyBattery - (EVCleanedDataset[[#This Row],[Distance(km)]]/VehicleRangeKm)*100)</f>
        <v>0</v>
      </c>
      <c r="I499" s="2">
        <f>6371*ACOS(SIN(RADIANS(MyLat))*SIN(RADIANS(EVCleanedDataset[[#This Row],[Latitude]]))+COS(RADIANS(MyLat))*COS(RADIANS(EVCleanedDataset[[#This Row],[Latitude]]))*COS(RADIANS(EVCleanedDataset[[#This Row],[Longitude]]-MyLong)))</f>
        <v>1006.1125824314569</v>
      </c>
      <c r="J499">
        <f t="shared" si="15"/>
        <v>3</v>
      </c>
      <c r="K499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42.382717807763598</v>
      </c>
      <c r="L499" t="str">
        <f>IF(EVCleanedDataset[[#This Row],[Score]]&gt;50,"Yes","No")</f>
        <v>No</v>
      </c>
    </row>
    <row r="500" spans="1:12" x14ac:dyDescent="0.3">
      <c r="A500" t="s">
        <v>813</v>
      </c>
      <c r="B500" t="s">
        <v>105</v>
      </c>
      <c r="C500" t="s">
        <v>105</v>
      </c>
      <c r="D500">
        <v>15.570625222964701</v>
      </c>
      <c r="E500">
        <v>73.791586861943301</v>
      </c>
      <c r="F500">
        <f>IF(COUNTIF($C$5:C500,C500)=1,1,0)</f>
        <v>0</v>
      </c>
      <c r="G500" s="2" t="str">
        <f t="shared" si="14"/>
        <v/>
      </c>
      <c r="H500" s="2">
        <f>MAX(0, MyBattery - (EVCleanedDataset[[#This Row],[Distance(km)]]/VehicleRangeKm)*100)</f>
        <v>0</v>
      </c>
      <c r="I500" s="2">
        <f>6371*ACOS(SIN(RADIANS(MyLat))*SIN(RADIANS(EVCleanedDataset[[#This Row],[Latitude]]))+COS(RADIANS(MyLat))*COS(RADIANS(EVCleanedDataset[[#This Row],[Latitude]]))*COS(RADIANS(EVCleanedDataset[[#This Row],[Longitude]]-MyLong)))</f>
        <v>472.93604374931243</v>
      </c>
      <c r="J500">
        <f t="shared" si="15"/>
        <v>0</v>
      </c>
      <c r="K500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61.721426334388298</v>
      </c>
      <c r="L500" t="str">
        <f>IF(EVCleanedDataset[[#This Row],[Score]]&gt;50,"Yes","No")</f>
        <v>Yes</v>
      </c>
    </row>
    <row r="501" spans="1:12" x14ac:dyDescent="0.3">
      <c r="A501" t="s">
        <v>1172</v>
      </c>
      <c r="B501" t="s">
        <v>463</v>
      </c>
      <c r="C501" t="s">
        <v>1160</v>
      </c>
      <c r="D501">
        <v>22.620584999999998</v>
      </c>
      <c r="E501">
        <v>88.461153999999993</v>
      </c>
      <c r="F501">
        <f>IF(COUNTIF($C$5:C501,C501)=1,1,0)</f>
        <v>1</v>
      </c>
      <c r="G501" s="2">
        <f t="shared" si="14"/>
        <v>1524.2580810021834</v>
      </c>
      <c r="H501" s="2">
        <f>MAX(0, MyBattery - (EVCleanedDataset[[#This Row],[Distance(km)]]/VehicleRangeKm)*100)</f>
        <v>0</v>
      </c>
      <c r="I501" s="2">
        <f>6371*ACOS(SIN(RADIANS(MyLat))*SIN(RADIANS(EVCleanedDataset[[#This Row],[Latitude]]))+COS(RADIANS(MyLat))*COS(RADIANS(EVCleanedDataset[[#This Row],[Latitude]]))*COS(RADIANS(EVCleanedDataset[[#This Row],[Longitude]]-MyLong)))</f>
        <v>1547.0417112019061</v>
      </c>
      <c r="J501">
        <f t="shared" si="15"/>
        <v>7</v>
      </c>
      <c r="K501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19.574917711860067</v>
      </c>
      <c r="L501" t="str">
        <f>IF(EVCleanedDataset[[#This Row],[Score]]&gt;50,"Yes","No")</f>
        <v>No</v>
      </c>
    </row>
    <row r="502" spans="1:12" x14ac:dyDescent="0.3">
      <c r="A502" t="s">
        <v>3094</v>
      </c>
      <c r="B502" t="s">
        <v>463</v>
      </c>
      <c r="C502" t="s">
        <v>1160</v>
      </c>
      <c r="D502">
        <v>22.618221259999999</v>
      </c>
      <c r="E502">
        <v>88.466509340000002</v>
      </c>
      <c r="F502">
        <f>IF(COUNTIF($C$5:C502,C502)=1,1,0)</f>
        <v>0</v>
      </c>
      <c r="G502" s="2" t="str">
        <f t="shared" si="14"/>
        <v/>
      </c>
      <c r="H502" s="2">
        <f>MAX(0, MyBattery - (EVCleanedDataset[[#This Row],[Distance(km)]]/VehicleRangeKm)*100)</f>
        <v>0</v>
      </c>
      <c r="I502" s="2">
        <f>6371*ACOS(SIN(RADIANS(MyLat))*SIN(RADIANS(EVCleanedDataset[[#This Row],[Latitude]]))+COS(RADIANS(MyLat))*COS(RADIANS(EVCleanedDataset[[#This Row],[Latitude]]))*COS(RADIANS(EVCleanedDataset[[#This Row],[Longitude]]-MyLong)))</f>
        <v>1547.2946269014908</v>
      </c>
      <c r="J502">
        <f t="shared" si="15"/>
        <v>4</v>
      </c>
      <c r="K502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29.570497840514065</v>
      </c>
      <c r="L502" t="str">
        <f>IF(EVCleanedDataset[[#This Row],[Score]]&gt;50,"Yes","No")</f>
        <v>No</v>
      </c>
    </row>
    <row r="503" spans="1:12" x14ac:dyDescent="0.3">
      <c r="A503" t="s">
        <v>2917</v>
      </c>
      <c r="B503" t="s">
        <v>386</v>
      </c>
      <c r="C503" t="s">
        <v>3378</v>
      </c>
      <c r="D503">
        <v>8.5513563000000001</v>
      </c>
      <c r="E503">
        <v>76.972623400000003</v>
      </c>
      <c r="F503">
        <f>IF(COUNTIF($C$5:C503,C503)=1,1,0)</f>
        <v>0</v>
      </c>
      <c r="G503" s="2" t="str">
        <f t="shared" si="14"/>
        <v/>
      </c>
      <c r="H503" s="2">
        <f>MAX(0, MyBattery - (EVCleanedDataset[[#This Row],[Distance(km)]]/VehicleRangeKm)*100)</f>
        <v>0</v>
      </c>
      <c r="I503" s="2">
        <f>6371*ACOS(SIN(RADIANS(MyLat))*SIN(RADIANS(EVCleanedDataset[[#This Row],[Latitude]]))+COS(RADIANS(MyLat))*COS(RADIANS(EVCleanedDataset[[#This Row],[Latitude]]))*COS(RADIANS(EVCleanedDataset[[#This Row],[Longitude]]-MyLong)))</f>
        <v>537.03695315511982</v>
      </c>
      <c r="J503">
        <f t="shared" si="15"/>
        <v>1</v>
      </c>
      <c r="K503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57.265382173592947</v>
      </c>
      <c r="L503" t="str">
        <f>IF(EVCleanedDataset[[#This Row],[Score]]&gt;50,"Yes","No")</f>
        <v>Yes</v>
      </c>
    </row>
    <row r="504" spans="1:12" x14ac:dyDescent="0.3">
      <c r="A504" t="s">
        <v>737</v>
      </c>
      <c r="B504" t="s">
        <v>68</v>
      </c>
      <c r="C504" t="s">
        <v>69</v>
      </c>
      <c r="D504">
        <v>23.231052399999999</v>
      </c>
      <c r="E504">
        <v>72.648583000000002</v>
      </c>
      <c r="F504">
        <f>IF(COUNTIF($C$5:C504,C504)=1,1,0)</f>
        <v>0</v>
      </c>
      <c r="G504" s="2" t="str">
        <f t="shared" si="14"/>
        <v/>
      </c>
      <c r="H504" s="2">
        <f>MAX(0, MyBattery - (EVCleanedDataset[[#This Row],[Distance(km)]]/VehicleRangeKm)*100)</f>
        <v>0</v>
      </c>
      <c r="I504" s="2">
        <f>6371*ACOS(SIN(RADIANS(MyLat))*SIN(RADIANS(EVCleanedDataset[[#This Row],[Latitude]]))+COS(RADIANS(MyLat))*COS(RADIANS(EVCleanedDataset[[#This Row],[Latitude]]))*COS(RADIANS(EVCleanedDataset[[#This Row],[Longitude]]-MyLong)))</f>
        <v>1213.6451435687022</v>
      </c>
      <c r="J504">
        <f t="shared" si="15"/>
        <v>8</v>
      </c>
      <c r="K504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22.081124951579266</v>
      </c>
      <c r="L504" t="str">
        <f>IF(EVCleanedDataset[[#This Row],[Score]]&gt;50,"Yes","No")</f>
        <v>No</v>
      </c>
    </row>
    <row r="505" spans="1:12" x14ac:dyDescent="0.3">
      <c r="A505" t="s">
        <v>2103</v>
      </c>
      <c r="B505" t="s">
        <v>502</v>
      </c>
      <c r="C505" t="s">
        <v>1250</v>
      </c>
      <c r="D505">
        <v>16.512922499999998</v>
      </c>
      <c r="E505">
        <v>80.749756500000004</v>
      </c>
      <c r="F505">
        <f>IF(COUNTIF($C$5:C505,C505)=1,1,0)</f>
        <v>0</v>
      </c>
      <c r="G505" s="2" t="str">
        <f t="shared" si="14"/>
        <v/>
      </c>
      <c r="H505" s="2">
        <f>MAX(0, MyBattery - (EVCleanedDataset[[#This Row],[Distance(km)]]/VehicleRangeKm)*100)</f>
        <v>0</v>
      </c>
      <c r="I505" s="2">
        <f>6371*ACOS(SIN(RADIANS(MyLat))*SIN(RADIANS(EVCleanedDataset[[#This Row],[Latitude]]))+COS(RADIANS(MyLat))*COS(RADIANS(EVCleanedDataset[[#This Row],[Latitude]]))*COS(RADIANS(EVCleanedDataset[[#This Row],[Longitude]]-MyLong)))</f>
        <v>492.78357539635056</v>
      </c>
      <c r="J505">
        <f t="shared" si="15"/>
        <v>5</v>
      </c>
      <c r="K505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44.707176002130375</v>
      </c>
      <c r="L505" t="str">
        <f>IF(EVCleanedDataset[[#This Row],[Score]]&gt;50,"Yes","No")</f>
        <v>No</v>
      </c>
    </row>
    <row r="506" spans="1:12" x14ac:dyDescent="0.3">
      <c r="A506" t="s">
        <v>2770</v>
      </c>
      <c r="B506" t="s">
        <v>506</v>
      </c>
      <c r="C506" t="s">
        <v>1236</v>
      </c>
      <c r="D506">
        <v>21.255365999999999</v>
      </c>
      <c r="E506">
        <v>81.629429999999999</v>
      </c>
      <c r="F506">
        <f>IF(COUNTIF($C$5:C506,C506)=1,1,0)</f>
        <v>0</v>
      </c>
      <c r="G506" s="2" t="str">
        <f t="shared" si="14"/>
        <v/>
      </c>
      <c r="H506" s="2">
        <f>MAX(0, MyBattery - (EVCleanedDataset[[#This Row],[Distance(km)]]/VehicleRangeKm)*100)</f>
        <v>0</v>
      </c>
      <c r="I506" s="2">
        <f>6371*ACOS(SIN(RADIANS(MyLat))*SIN(RADIANS(EVCleanedDataset[[#This Row],[Latitude]]))+COS(RADIANS(MyLat))*COS(RADIANS(EVCleanedDataset[[#This Row],[Latitude]]))*COS(RADIANS(EVCleanedDataset[[#This Row],[Longitude]]-MyLong)))</f>
        <v>980.40671459818043</v>
      </c>
      <c r="J506">
        <f t="shared" si="15"/>
        <v>2</v>
      </c>
      <c r="K506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46.16636478957701</v>
      </c>
      <c r="L506" t="str">
        <f>IF(EVCleanedDataset[[#This Row],[Score]]&gt;50,"Yes","No")</f>
        <v>No</v>
      </c>
    </row>
    <row r="507" spans="1:12" x14ac:dyDescent="0.3">
      <c r="A507" t="s">
        <v>2926</v>
      </c>
      <c r="B507" t="s">
        <v>150</v>
      </c>
      <c r="C507" t="s">
        <v>2754</v>
      </c>
      <c r="D507">
        <v>15.868772</v>
      </c>
      <c r="E507">
        <v>74.487863000000004</v>
      </c>
      <c r="F507">
        <f>IF(COUNTIF($C$5:C507,C507)=1,1,0)</f>
        <v>0</v>
      </c>
      <c r="G507" s="2" t="str">
        <f t="shared" si="14"/>
        <v/>
      </c>
      <c r="H507" s="2">
        <f>MAX(0, MyBattery - (EVCleanedDataset[[#This Row],[Distance(km)]]/VehicleRangeKm)*100)</f>
        <v>0</v>
      </c>
      <c r="I507" s="2">
        <f>6371*ACOS(SIN(RADIANS(MyLat))*SIN(RADIANS(EVCleanedDataset[[#This Row],[Latitude]]))+COS(RADIANS(MyLat))*COS(RADIANS(EVCleanedDataset[[#This Row],[Latitude]]))*COS(RADIANS(EVCleanedDataset[[#This Row],[Longitude]]-MyLong)))</f>
        <v>431.45249838809372</v>
      </c>
      <c r="J507">
        <f t="shared" si="15"/>
        <v>9</v>
      </c>
      <c r="K507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32.448089302828961</v>
      </c>
      <c r="L507" t="str">
        <f>IF(EVCleanedDataset[[#This Row],[Score]]&gt;50,"Yes","No")</f>
        <v>No</v>
      </c>
    </row>
    <row r="508" spans="1:12" x14ac:dyDescent="0.3">
      <c r="A508" t="s">
        <v>767</v>
      </c>
      <c r="B508" t="s">
        <v>386</v>
      </c>
      <c r="C508" t="s">
        <v>3378</v>
      </c>
      <c r="D508">
        <v>8.4547742394457899</v>
      </c>
      <c r="E508">
        <v>77.002449035377794</v>
      </c>
      <c r="F508">
        <f>IF(COUNTIF($C$5:C508,C508)=1,1,0)</f>
        <v>0</v>
      </c>
      <c r="G508" s="2" t="str">
        <f t="shared" si="14"/>
        <v/>
      </c>
      <c r="H508" s="2">
        <f>MAX(0, MyBattery - (EVCleanedDataset[[#This Row],[Distance(km)]]/VehicleRangeKm)*100)</f>
        <v>0</v>
      </c>
      <c r="I508" s="2">
        <f>6371*ACOS(SIN(RADIANS(MyLat))*SIN(RADIANS(EVCleanedDataset[[#This Row],[Latitude]]))+COS(RADIANS(MyLat))*COS(RADIANS(EVCleanedDataset[[#This Row],[Latitude]]))*COS(RADIANS(EVCleanedDataset[[#This Row],[Longitude]]-MyLong)))</f>
        <v>547.35089294925297</v>
      </c>
      <c r="J508">
        <f t="shared" si="15"/>
        <v>6</v>
      </c>
      <c r="K508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40.418114695476035</v>
      </c>
      <c r="L508" t="str">
        <f>IF(EVCleanedDataset[[#This Row],[Score]]&gt;50,"Yes","No")</f>
        <v>No</v>
      </c>
    </row>
    <row r="509" spans="1:12" x14ac:dyDescent="0.3">
      <c r="A509" t="s">
        <v>2799</v>
      </c>
      <c r="B509" t="s">
        <v>18</v>
      </c>
      <c r="C509" t="s">
        <v>98</v>
      </c>
      <c r="D509">
        <v>28.9955</v>
      </c>
      <c r="E509">
        <v>77.705699999999993</v>
      </c>
      <c r="F509">
        <f>IF(COUNTIF($C$5:C509,C509)=1,1,0)</f>
        <v>1</v>
      </c>
      <c r="G509" s="2">
        <f t="shared" si="14"/>
        <v>1734.6061857117309</v>
      </c>
      <c r="H509" s="2">
        <f>MAX(0, MyBattery - (EVCleanedDataset[[#This Row],[Distance(km)]]/VehicleRangeKm)*100)</f>
        <v>0</v>
      </c>
      <c r="I509" s="2">
        <f>6371*ACOS(SIN(RADIANS(MyLat))*SIN(RADIANS(EVCleanedDataset[[#This Row],[Latitude]]))+COS(RADIANS(MyLat))*COS(RADIANS(EVCleanedDataset[[#This Row],[Latitude]]))*COS(RADIANS(EVCleanedDataset[[#This Row],[Longitude]]-MyLong)))</f>
        <v>1739.8849019791157</v>
      </c>
      <c r="J509">
        <f t="shared" si="15"/>
        <v>3</v>
      </c>
      <c r="K509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29.530642248098101</v>
      </c>
      <c r="L509" t="str">
        <f>IF(EVCleanedDataset[[#This Row],[Score]]&gt;50,"Yes","No")</f>
        <v>No</v>
      </c>
    </row>
    <row r="510" spans="1:12" x14ac:dyDescent="0.3">
      <c r="A510" t="s">
        <v>2997</v>
      </c>
      <c r="B510" t="s">
        <v>463</v>
      </c>
      <c r="C510" t="s">
        <v>3388</v>
      </c>
      <c r="D510">
        <v>22.438050100000002</v>
      </c>
      <c r="E510">
        <v>88.763395000000003</v>
      </c>
      <c r="F510">
        <f>IF(COUNTIF($C$5:C510,C510)=1,1,0)</f>
        <v>1</v>
      </c>
      <c r="G510" s="2">
        <f t="shared" si="14"/>
        <v>1558.2503757005841</v>
      </c>
      <c r="H510" s="2">
        <f>MAX(0, MyBattery - (EVCleanedDataset[[#This Row],[Distance(km)]]/VehicleRangeKm)*100)</f>
        <v>0</v>
      </c>
      <c r="I510" s="2">
        <f>6371*ACOS(SIN(RADIANS(MyLat))*SIN(RADIANS(EVCleanedDataset[[#This Row],[Latitude]]))+COS(RADIANS(MyLat))*COS(RADIANS(EVCleanedDataset[[#This Row],[Latitude]]))*COS(RADIANS(EVCleanedDataset[[#This Row],[Longitude]]-MyLong)))</f>
        <v>1558.2503757005841</v>
      </c>
      <c r="J510">
        <f t="shared" si="15"/>
        <v>0</v>
      </c>
      <c r="K510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42.712018943515858</v>
      </c>
      <c r="L510" t="str">
        <f>IF(EVCleanedDataset[[#This Row],[Score]]&gt;50,"Yes","No")</f>
        <v>No</v>
      </c>
    </row>
    <row r="511" spans="1:12" x14ac:dyDescent="0.3">
      <c r="A511" t="s">
        <v>2965</v>
      </c>
      <c r="B511" t="s">
        <v>405</v>
      </c>
      <c r="C511" t="s">
        <v>1045</v>
      </c>
      <c r="D511">
        <v>23.371745000000001</v>
      </c>
      <c r="E511">
        <v>85.326113000000007</v>
      </c>
      <c r="F511">
        <f>IF(COUNTIF($C$5:C511,C511)=1,1,0)</f>
        <v>1</v>
      </c>
      <c r="G511" s="2">
        <f t="shared" si="14"/>
        <v>1383.9298510910212</v>
      </c>
      <c r="H511" s="2">
        <f>MAX(0, MyBattery - (EVCleanedDataset[[#This Row],[Distance(km)]]/VehicleRangeKm)*100)</f>
        <v>0</v>
      </c>
      <c r="I511" s="2">
        <f>6371*ACOS(SIN(RADIANS(MyLat))*SIN(RADIANS(EVCleanedDataset[[#This Row],[Latitude]]))+COS(RADIANS(MyLat))*COS(RADIANS(EVCleanedDataset[[#This Row],[Latitude]]))*COS(RADIANS(EVCleanedDataset[[#This Row],[Longitude]]-MyLong)))</f>
        <v>1383.9298510910212</v>
      </c>
      <c r="J511">
        <f t="shared" si="15"/>
        <v>7</v>
      </c>
      <c r="K511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22.431956037499017</v>
      </c>
      <c r="L511" t="str">
        <f>IF(EVCleanedDataset[[#This Row],[Score]]&gt;50,"Yes","No")</f>
        <v>No</v>
      </c>
    </row>
    <row r="512" spans="1:12" x14ac:dyDescent="0.3">
      <c r="A512" t="s">
        <v>1036</v>
      </c>
      <c r="B512" t="s">
        <v>115</v>
      </c>
      <c r="C512" t="s">
        <v>1037</v>
      </c>
      <c r="D512">
        <v>18.417928</v>
      </c>
      <c r="E512">
        <v>79.136390000000006</v>
      </c>
      <c r="F512">
        <f>IF(COUNTIF($C$5:C512,C512)=1,1,0)</f>
        <v>1</v>
      </c>
      <c r="G512" s="2">
        <f t="shared" si="14"/>
        <v>588.97472086162497</v>
      </c>
      <c r="H512" s="2">
        <f>MAX(0, MyBattery - (EVCleanedDataset[[#This Row],[Distance(km)]]/VehicleRangeKm)*100)</f>
        <v>0</v>
      </c>
      <c r="I512" s="2">
        <f>6371*ACOS(SIN(RADIANS(MyLat))*SIN(RADIANS(EVCleanedDataset[[#This Row],[Latitude]]))+COS(RADIANS(MyLat))*COS(RADIANS(EVCleanedDataset[[#This Row],[Latitude]]))*COS(RADIANS(EVCleanedDataset[[#This Row],[Longitude]]-MyLong)))</f>
        <v>588.97472086162497</v>
      </c>
      <c r="J512">
        <f t="shared" si="15"/>
        <v>4</v>
      </c>
      <c r="K512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46.355771315494856</v>
      </c>
      <c r="L512" t="str">
        <f>IF(EVCleanedDataset[[#This Row],[Score]]&gt;50,"Yes","No")</f>
        <v>No</v>
      </c>
    </row>
    <row r="513" spans="1:12" x14ac:dyDescent="0.3">
      <c r="A513" t="s">
        <v>1431</v>
      </c>
      <c r="B513" t="s">
        <v>386</v>
      </c>
      <c r="C513" t="s">
        <v>1432</v>
      </c>
      <c r="D513">
        <v>10.099967100000001</v>
      </c>
      <c r="E513">
        <v>76.347684099999995</v>
      </c>
      <c r="F513">
        <f>IF(COUNTIF($C$5:C513,C513)=1,1,0)</f>
        <v>1</v>
      </c>
      <c r="G513" s="2">
        <f t="shared" si="14"/>
        <v>383.80444963739944</v>
      </c>
      <c r="H513" s="2">
        <f>MAX(0, MyBattery - (EVCleanedDataset[[#This Row],[Distance(km)]]/VehicleRangeKm)*100)</f>
        <v>0</v>
      </c>
      <c r="I513" s="2">
        <f>6371*ACOS(SIN(RADIANS(MyLat))*SIN(RADIANS(EVCleanedDataset[[#This Row],[Latitude]]))+COS(RADIANS(MyLat))*COS(RADIANS(EVCleanedDataset[[#This Row],[Latitude]]))*COS(RADIANS(EVCleanedDataset[[#This Row],[Longitude]]-MyLong)))</f>
        <v>383.80444963739944</v>
      </c>
      <c r="J513">
        <f t="shared" si="15"/>
        <v>1</v>
      </c>
      <c r="K513" s="5">
        <f>((1-(EVCleanedDataset[[#This Row],[Distance(km)]]/MAX($I$5:$I$1121)))*0.4 + (1-(EVCleanedDataset[[#This Row],[QueueLength]]/MAX($J$5:$J$1121)))*0.3 + (EVCleanedDataset[[#This Row],[EstimatedBatteryOnArrival]]/100)*0.3 + (ROW()/10000000))*100</f>
        <v>59.949381503388935</v>
      </c>
      <c r="L513" t="str">
        <f>IF(EVCleanedDataset[[#This Row],[Score]]&gt;50,"Yes","No")</f>
        <v>Yes</v>
      </c>
    </row>
    <row r="514" spans="1:12" x14ac:dyDescent="0.3">
      <c r="A514" t="s">
        <v>2448</v>
      </c>
      <c r="B514" t="s">
        <v>313</v>
      </c>
      <c r="C514" t="s">
        <v>1383</v>
      </c>
      <c r="D514">
        <v>20.832861999999999</v>
      </c>
      <c r="E514">
        <v>85.238258400000007</v>
      </c>
      <c r="F514">
        <f>IF(COUNTIF($C$5:C514,C514)=1,1,0)</f>
        <v>0</v>
      </c>
      <c r="G514" s="2" t="str">
        <f t="shared" si="14"/>
        <v/>
      </c>
      <c r="H514" s="2">
        <f>MAX(0, MyBattery - (EVCleanedDataset[[#This Row],[Distance(km)]]/VehicleRangeKm)*100)</f>
        <v>0</v>
      </c>
      <c r="I514" s="2">
        <f>6371*ACOS(SIN(RADIANS(MyLat))*SIN(RADIANS(EVCleanedDataset[[#This Row],[Latitude]]))+COS(RADIANS(MyLat))*COS(RADIANS(EVCleanedDataset[[#This Row],[Latitude]]))*COS(RADIANS(EVCleanedDataset[[#This Row],[Longitude]]-MyLong)))</f>
        <v>1166.6462295387844</v>
      </c>
      <c r="J514">
        <f t="shared" si="15"/>
        <v>8</v>
      </c>
      <c r="K514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22.904420755147456</v>
      </c>
      <c r="L514" t="str">
        <f>IF(EVCleanedDataset[[#This Row],[Score]]&gt;50,"Yes","No")</f>
        <v>No</v>
      </c>
    </row>
    <row r="515" spans="1:12" x14ac:dyDescent="0.3">
      <c r="A515" t="s">
        <v>2955</v>
      </c>
      <c r="B515" t="s">
        <v>405</v>
      </c>
      <c r="C515" t="s">
        <v>1064</v>
      </c>
      <c r="D515">
        <v>22.808482999999999</v>
      </c>
      <c r="E515">
        <v>86.198276000000007</v>
      </c>
      <c r="F515">
        <f>IF(COUNTIF($C$5:C515,C515)=1,1,0)</f>
        <v>0</v>
      </c>
      <c r="G515" s="2" t="str">
        <f t="shared" si="14"/>
        <v/>
      </c>
      <c r="H515" s="2">
        <f>MAX(0, MyBattery - (EVCleanedDataset[[#This Row],[Distance(km)]]/VehicleRangeKm)*100)</f>
        <v>0</v>
      </c>
      <c r="I515" s="2">
        <f>6371*ACOS(SIN(RADIANS(MyLat))*SIN(RADIANS(EVCleanedDataset[[#This Row],[Latitude]]))+COS(RADIANS(MyLat))*COS(RADIANS(EVCleanedDataset[[#This Row],[Latitude]]))*COS(RADIANS(EVCleanedDataset[[#This Row],[Longitude]]-MyLong)))</f>
        <v>1393.4862342682711</v>
      </c>
      <c r="J515">
        <f t="shared" si="15"/>
        <v>5</v>
      </c>
      <c r="K515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28.931280655214632</v>
      </c>
      <c r="L515" t="str">
        <f>IF(EVCleanedDataset[[#This Row],[Score]]&gt;50,"Yes","No")</f>
        <v>No</v>
      </c>
    </row>
    <row r="516" spans="1:12" x14ac:dyDescent="0.3">
      <c r="A516" t="s">
        <v>600</v>
      </c>
      <c r="B516" t="s">
        <v>386</v>
      </c>
      <c r="C516" t="s">
        <v>1435</v>
      </c>
      <c r="D516">
        <v>9.9618511199951207</v>
      </c>
      <c r="E516">
        <v>76.31884765625</v>
      </c>
      <c r="F516">
        <f>IF(COUNTIF($C$5:C516,C516)=1,1,0)</f>
        <v>0</v>
      </c>
      <c r="G516" s="2" t="str">
        <f t="shared" si="14"/>
        <v/>
      </c>
      <c r="H516" s="2">
        <f>MAX(0, MyBattery - (EVCleanedDataset[[#This Row],[Distance(km)]]/VehicleRangeKm)*100)</f>
        <v>0</v>
      </c>
      <c r="I516" s="2">
        <f>6371*ACOS(SIN(RADIANS(MyLat))*SIN(RADIANS(EVCleanedDataset[[#This Row],[Latitude]]))+COS(RADIANS(MyLat))*COS(RADIANS(EVCleanedDataset[[#This Row],[Latitude]]))*COS(RADIANS(EVCleanedDataset[[#This Row],[Longitude]]-MyLong)))</f>
        <v>399.33728701773248</v>
      </c>
      <c r="J516">
        <f t="shared" si="15"/>
        <v>2</v>
      </c>
      <c r="K516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56.344017276460114</v>
      </c>
      <c r="L516" t="str">
        <f>IF(EVCleanedDataset[[#This Row],[Score]]&gt;50,"Yes","No")</f>
        <v>Yes</v>
      </c>
    </row>
    <row r="517" spans="1:12" x14ac:dyDescent="0.3">
      <c r="A517" t="s">
        <v>678</v>
      </c>
      <c r="B517" t="s">
        <v>49</v>
      </c>
      <c r="C517" t="s">
        <v>1008</v>
      </c>
      <c r="D517">
        <v>12.905671399999999</v>
      </c>
      <c r="E517">
        <v>80.142139099999994</v>
      </c>
      <c r="F517">
        <f>IF(COUNTIF($C$5:C517,C517)=1,1,0)</f>
        <v>0</v>
      </c>
      <c r="G517" s="2" t="str">
        <f t="shared" ref="G517:G580" si="16">IF(F517=1, IF(C517=MyCity, "", _xlfn.MINIFS($I$5:$I$1121,$C$5:$C$1121,C517)), "")</f>
        <v/>
      </c>
      <c r="H517" s="2">
        <f>MAX(0, MyBattery - (EVCleanedDataset[[#This Row],[Distance(km)]]/VehicleRangeKm)*100)</f>
        <v>0</v>
      </c>
      <c r="I517" s="2">
        <f>6371*ACOS(SIN(RADIANS(MyLat))*SIN(RADIANS(EVCleanedDataset[[#This Row],[Latitude]]))+COS(RADIANS(MyLat))*COS(RADIANS(EVCleanedDataset[[#This Row],[Latitude]]))*COS(RADIANS(EVCleanedDataset[[#This Row],[Longitude]]-MyLong)))</f>
        <v>286.32885174125403</v>
      </c>
      <c r="J517">
        <f t="shared" ref="J517:J580" si="17">MOD(ROW()*7,10)</f>
        <v>9</v>
      </c>
      <c r="K51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34.990060309511037</v>
      </c>
      <c r="L517" t="str">
        <f>IF(EVCleanedDataset[[#This Row],[Score]]&gt;50,"Yes","No")</f>
        <v>No</v>
      </c>
    </row>
    <row r="518" spans="1:12" x14ac:dyDescent="0.3">
      <c r="A518" t="s">
        <v>2294</v>
      </c>
      <c r="B518" t="s">
        <v>386</v>
      </c>
      <c r="C518" t="s">
        <v>1435</v>
      </c>
      <c r="D518">
        <v>9.9261125999999997</v>
      </c>
      <c r="E518">
        <v>76.317879000000005</v>
      </c>
      <c r="F518">
        <f>IF(COUNTIF($C$5:C518,C518)=1,1,0)</f>
        <v>0</v>
      </c>
      <c r="G518" s="2" t="str">
        <f t="shared" si="16"/>
        <v/>
      </c>
      <c r="H518" s="2">
        <f>MAX(0, MyBattery - (EVCleanedDataset[[#This Row],[Distance(km)]]/VehicleRangeKm)*100)</f>
        <v>0</v>
      </c>
      <c r="I518" s="2">
        <f>6371*ACOS(SIN(RADIANS(MyLat))*SIN(RADIANS(EVCleanedDataset[[#This Row],[Latitude]]))+COS(RADIANS(MyLat))*COS(RADIANS(EVCleanedDataset[[#This Row],[Latitude]]))*COS(RADIANS(EVCleanedDataset[[#This Row],[Longitude]]-MyLong)))</f>
        <v>403.1249872682896</v>
      </c>
      <c r="J518">
        <f t="shared" si="17"/>
        <v>6</v>
      </c>
      <c r="K518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42.944361581483101</v>
      </c>
      <c r="L518" t="str">
        <f>IF(EVCleanedDataset[[#This Row],[Score]]&gt;50,"Yes","No")</f>
        <v>No</v>
      </c>
    </row>
    <row r="519" spans="1:12" x14ac:dyDescent="0.3">
      <c r="A519" t="s">
        <v>3183</v>
      </c>
      <c r="B519" t="s">
        <v>49</v>
      </c>
      <c r="C519" t="s">
        <v>1008</v>
      </c>
      <c r="D519">
        <v>13.0853</v>
      </c>
      <c r="E519">
        <v>80.201599999999999</v>
      </c>
      <c r="F519">
        <f>IF(COUNTIF($C$5:C519,C519)=1,1,0)</f>
        <v>0</v>
      </c>
      <c r="G519" s="2" t="str">
        <f t="shared" si="16"/>
        <v/>
      </c>
      <c r="H519" s="2">
        <f>MAX(0, MyBattery - (EVCleanedDataset[[#This Row],[Distance(km)]]/VehicleRangeKm)*100)</f>
        <v>0</v>
      </c>
      <c r="I519" s="2">
        <f>6371*ACOS(SIN(RADIANS(MyLat))*SIN(RADIANS(EVCleanedDataset[[#This Row],[Latitude]]))+COS(RADIANS(MyLat))*COS(RADIANS(EVCleanedDataset[[#This Row],[Latitude]]))*COS(RADIANS(EVCleanedDataset[[#This Row],[Longitude]]-MyLong)))</f>
        <v>289.8728695054964</v>
      </c>
      <c r="J519">
        <f t="shared" si="17"/>
        <v>3</v>
      </c>
      <c r="K51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54.928006097552895</v>
      </c>
      <c r="L519" t="str">
        <f>IF(EVCleanedDataset[[#This Row],[Score]]&gt;50,"Yes","No")</f>
        <v>Yes</v>
      </c>
    </row>
    <row r="520" spans="1:12" x14ac:dyDescent="0.3">
      <c r="A520" t="s">
        <v>3173</v>
      </c>
      <c r="B520" t="s">
        <v>49</v>
      </c>
      <c r="C520" t="s">
        <v>1008</v>
      </c>
      <c r="D520">
        <v>13.00777749</v>
      </c>
      <c r="E520">
        <v>80.207308839999996</v>
      </c>
      <c r="F520">
        <f>IF(COUNTIF($C$5:C520,C520)=1,1,0)</f>
        <v>0</v>
      </c>
      <c r="G520" s="2" t="str">
        <f t="shared" si="16"/>
        <v/>
      </c>
      <c r="H520" s="2">
        <f>MAX(0, MyBattery - (EVCleanedDataset[[#This Row],[Distance(km)]]/VehicleRangeKm)*100)</f>
        <v>0</v>
      </c>
      <c r="I520" s="2">
        <f>6371*ACOS(SIN(RADIANS(MyLat))*SIN(RADIANS(EVCleanedDataset[[#This Row],[Latitude]]))+COS(RADIANS(MyLat))*COS(RADIANS(EVCleanedDataset[[#This Row],[Latitude]]))*COS(RADIANS(EVCleanedDataset[[#This Row],[Longitude]]-MyLong)))</f>
        <v>291.52964599057032</v>
      </c>
      <c r="J520">
        <f t="shared" si="17"/>
        <v>0</v>
      </c>
      <c r="K52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64.898997311095513</v>
      </c>
      <c r="L520" t="str">
        <f>IF(EVCleanedDataset[[#This Row],[Score]]&gt;50,"Yes","No")</f>
        <v>Yes</v>
      </c>
    </row>
    <row r="521" spans="1:12" x14ac:dyDescent="0.3">
      <c r="A521" t="s">
        <v>996</v>
      </c>
      <c r="B521" t="s">
        <v>49</v>
      </c>
      <c r="C521" t="s">
        <v>997</v>
      </c>
      <c r="D521">
        <v>12.5306064</v>
      </c>
      <c r="E521">
        <v>78.237516499999998</v>
      </c>
      <c r="F521">
        <f>IF(COUNTIF($C$5:C521,C521)=1,1,0)</f>
        <v>0</v>
      </c>
      <c r="G521" s="2" t="str">
        <f t="shared" si="16"/>
        <v/>
      </c>
      <c r="H521" s="2">
        <f>MAX(0, MyBattery - (EVCleanedDataset[[#This Row],[Distance(km)]]/VehicleRangeKm)*100)</f>
        <v>30.50549246413982</v>
      </c>
      <c r="I521" s="2">
        <f>6371*ACOS(SIN(RADIANS(MyLat))*SIN(RADIANS(EVCleanedDataset[[#This Row],[Latitude]]))+COS(RADIANS(MyLat))*COS(RADIANS(EVCleanedDataset[[#This Row],[Latitude]]))*COS(RADIANS(EVCleanedDataset[[#This Row],[Longitude]]-MyLong)))</f>
        <v>118.48352260758054</v>
      </c>
      <c r="J521">
        <f t="shared" si="17"/>
        <v>7</v>
      </c>
      <c r="K521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53.748260740444984</v>
      </c>
      <c r="L521" t="str">
        <f>IF(EVCleanedDataset[[#This Row],[Score]]&gt;50,"Yes","No")</f>
        <v>Yes</v>
      </c>
    </row>
    <row r="522" spans="1:12" x14ac:dyDescent="0.3">
      <c r="A522" t="s">
        <v>256</v>
      </c>
      <c r="B522" t="s">
        <v>8</v>
      </c>
      <c r="C522" t="s">
        <v>257</v>
      </c>
      <c r="D522">
        <v>29.527999999999999</v>
      </c>
      <c r="E522">
        <v>75.132499999999993</v>
      </c>
      <c r="F522">
        <f>IF(COUNTIF($C$5:C522,C522)=1,1,0)</f>
        <v>1</v>
      </c>
      <c r="G522" s="2">
        <f t="shared" si="16"/>
        <v>1815.9824436822382</v>
      </c>
      <c r="H522" s="2">
        <f>MAX(0, MyBattery - (EVCleanedDataset[[#This Row],[Distance(km)]]/VehicleRangeKm)*100)</f>
        <v>0</v>
      </c>
      <c r="I522" s="2">
        <f>6371*ACOS(SIN(RADIANS(MyLat))*SIN(RADIANS(EVCleanedDataset[[#This Row],[Latitude]]))+COS(RADIANS(MyLat))*COS(RADIANS(EVCleanedDataset[[#This Row],[Latitude]]))*COS(RADIANS(EVCleanedDataset[[#This Row],[Longitude]]-MyLong)))</f>
        <v>1815.9824436822382</v>
      </c>
      <c r="J522">
        <f t="shared" si="17"/>
        <v>4</v>
      </c>
      <c r="K522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24.864574564920648</v>
      </c>
      <c r="L522" t="str">
        <f>IF(EVCleanedDataset[[#This Row],[Score]]&gt;50,"Yes","No")</f>
        <v>No</v>
      </c>
    </row>
    <row r="523" spans="1:12" x14ac:dyDescent="0.3">
      <c r="A523" t="s">
        <v>3016</v>
      </c>
      <c r="B523" t="s">
        <v>313</v>
      </c>
      <c r="C523" t="s">
        <v>1110</v>
      </c>
      <c r="D523">
        <v>20.285483899999999</v>
      </c>
      <c r="E523">
        <v>85.809325099999995</v>
      </c>
      <c r="F523">
        <f>IF(COUNTIF($C$5:C523,C523)=1,1,0)</f>
        <v>0</v>
      </c>
      <c r="G523" s="2" t="str">
        <f t="shared" si="16"/>
        <v/>
      </c>
      <c r="H523" s="2">
        <f>MAX(0, MyBattery - (EVCleanedDataset[[#This Row],[Distance(km)]]/VehicleRangeKm)*100)</f>
        <v>0</v>
      </c>
      <c r="I523" s="2">
        <f>6371*ACOS(SIN(RADIANS(MyLat))*SIN(RADIANS(EVCleanedDataset[[#This Row],[Latitude]]))+COS(RADIANS(MyLat))*COS(RADIANS(EVCleanedDataset[[#This Row],[Latitude]]))*COS(RADIANS(EVCleanedDataset[[#This Row],[Longitude]]-MyLong)))</f>
        <v>1169.9370668219681</v>
      </c>
      <c r="J523">
        <f t="shared" si="17"/>
        <v>1</v>
      </c>
      <c r="K523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46.180204385571521</v>
      </c>
      <c r="L523" t="str">
        <f>IF(EVCleanedDataset[[#This Row],[Score]]&gt;50,"Yes","No")</f>
        <v>No</v>
      </c>
    </row>
    <row r="524" spans="1:12" x14ac:dyDescent="0.3">
      <c r="A524" t="s">
        <v>317</v>
      </c>
      <c r="B524" t="s">
        <v>49</v>
      </c>
      <c r="C524" t="s">
        <v>1008</v>
      </c>
      <c r="D524">
        <v>13.0902004241943</v>
      </c>
      <c r="E524">
        <v>80.217498779296903</v>
      </c>
      <c r="F524">
        <f>IF(COUNTIF($C$5:C524,C524)=1,1,0)</f>
        <v>0</v>
      </c>
      <c r="G524" s="2" t="str">
        <f t="shared" si="16"/>
        <v/>
      </c>
      <c r="H524" s="2">
        <f>MAX(0, MyBattery - (EVCleanedDataset[[#This Row],[Distance(km)]]/VehicleRangeKm)*100)</f>
        <v>0</v>
      </c>
      <c r="I524" s="2">
        <f>6371*ACOS(SIN(RADIANS(MyLat))*SIN(RADIANS(EVCleanedDataset[[#This Row],[Latitude]]))+COS(RADIANS(MyLat))*COS(RADIANS(EVCleanedDataset[[#This Row],[Latitude]]))*COS(RADIANS(EVCleanedDataset[[#This Row],[Longitude]]-MyLong)))</f>
        <v>291.52788734821132</v>
      </c>
      <c r="J524">
        <f t="shared" si="17"/>
        <v>8</v>
      </c>
      <c r="K52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38.232401447417367</v>
      </c>
      <c r="L524" t="str">
        <f>IF(EVCleanedDataset[[#This Row],[Score]]&gt;50,"Yes","No")</f>
        <v>No</v>
      </c>
    </row>
    <row r="525" spans="1:12" x14ac:dyDescent="0.3">
      <c r="A525" t="s">
        <v>1010</v>
      </c>
      <c r="B525" t="s">
        <v>49</v>
      </c>
      <c r="C525" t="s">
        <v>1008</v>
      </c>
      <c r="D525">
        <v>13.0080236</v>
      </c>
      <c r="E525">
        <v>80.221649999999997</v>
      </c>
      <c r="F525">
        <f>IF(COUNTIF($C$5:C525,C525)=1,1,0)</f>
        <v>0</v>
      </c>
      <c r="G525" s="2" t="str">
        <f t="shared" si="16"/>
        <v/>
      </c>
      <c r="H525" s="2">
        <f>MAX(0, MyBattery - (EVCleanedDataset[[#This Row],[Distance(km)]]/VehicleRangeKm)*100)</f>
        <v>0</v>
      </c>
      <c r="I525" s="2">
        <f>6371*ACOS(SIN(RADIANS(MyLat))*SIN(RADIANS(EVCleanedDataset[[#This Row],[Latitude]]))+COS(RADIANS(MyLat))*COS(RADIANS(EVCleanedDataset[[#This Row],[Latitude]]))*COS(RADIANS(EVCleanedDataset[[#This Row],[Longitude]]-MyLong)))</f>
        <v>293.06545694543024</v>
      </c>
      <c r="J525">
        <f t="shared" si="17"/>
        <v>5</v>
      </c>
      <c r="K52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48.205480594518967</v>
      </c>
      <c r="L525" t="str">
        <f>IF(EVCleanedDataset[[#This Row],[Score]]&gt;50,"Yes","No")</f>
        <v>No</v>
      </c>
    </row>
    <row r="526" spans="1:12" x14ac:dyDescent="0.3">
      <c r="A526" t="s">
        <v>3066</v>
      </c>
      <c r="B526" t="s">
        <v>49</v>
      </c>
      <c r="C526" t="s">
        <v>1008</v>
      </c>
      <c r="D526">
        <v>12.87627</v>
      </c>
      <c r="E526">
        <v>80.227094149999999</v>
      </c>
      <c r="F526">
        <f>IF(COUNTIF($C$5:C526,C526)=1,1,0)</f>
        <v>0</v>
      </c>
      <c r="G526" s="2" t="str">
        <f t="shared" si="16"/>
        <v/>
      </c>
      <c r="H526" s="2">
        <f>MAX(0, MyBattery - (EVCleanedDataset[[#This Row],[Distance(km)]]/VehicleRangeKm)*100)</f>
        <v>0</v>
      </c>
      <c r="I526" s="2">
        <f>6371*ACOS(SIN(RADIANS(MyLat))*SIN(RADIANS(EVCleanedDataset[[#This Row],[Latitude]]))+COS(RADIANS(MyLat))*COS(RADIANS(EVCleanedDataset[[#This Row],[Latitude]]))*COS(RADIANS(EVCleanedDataset[[#This Row],[Longitude]]-MyLong)))</f>
        <v>295.97552588059858</v>
      </c>
      <c r="J526">
        <f t="shared" si="17"/>
        <v>2</v>
      </c>
      <c r="K52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58.154520128818419</v>
      </c>
      <c r="L526" t="str">
        <f>IF(EVCleanedDataset[[#This Row],[Score]]&gt;50,"Yes","No")</f>
        <v>Yes</v>
      </c>
    </row>
    <row r="527" spans="1:12" x14ac:dyDescent="0.3">
      <c r="A527" t="s">
        <v>3300</v>
      </c>
      <c r="B527" t="s">
        <v>49</v>
      </c>
      <c r="C527" t="s">
        <v>1008</v>
      </c>
      <c r="D527">
        <v>12.92976</v>
      </c>
      <c r="E527">
        <v>80.231639999999999</v>
      </c>
      <c r="F527">
        <f>IF(COUNTIF($C$5:C527,C527)=1,1,0)</f>
        <v>0</v>
      </c>
      <c r="G527" s="2" t="str">
        <f t="shared" si="16"/>
        <v/>
      </c>
      <c r="H527" s="2">
        <f>MAX(0, MyBattery - (EVCleanedDataset[[#This Row],[Distance(km)]]/VehicleRangeKm)*100)</f>
        <v>0</v>
      </c>
      <c r="I527" s="2">
        <f>6371*ACOS(SIN(RADIANS(MyLat))*SIN(RADIANS(EVCleanedDataset[[#This Row],[Latitude]]))+COS(RADIANS(MyLat))*COS(RADIANS(EVCleanedDataset[[#This Row],[Latitude]]))*COS(RADIANS(EVCleanedDataset[[#This Row],[Longitude]]-MyLong)))</f>
        <v>295.43195564263874</v>
      </c>
      <c r="J527">
        <f t="shared" si="17"/>
        <v>9</v>
      </c>
      <c r="K52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34.830717541827191</v>
      </c>
      <c r="L527" t="str">
        <f>IF(EVCleanedDataset[[#This Row],[Score]]&gt;50,"Yes","No")</f>
        <v>No</v>
      </c>
    </row>
    <row r="528" spans="1:12" x14ac:dyDescent="0.3">
      <c r="A528" t="s">
        <v>274</v>
      </c>
      <c r="B528" t="s">
        <v>41</v>
      </c>
      <c r="C528" t="s">
        <v>221</v>
      </c>
      <c r="D528">
        <v>19.970500000000001</v>
      </c>
      <c r="E528">
        <v>73.752799999999993</v>
      </c>
      <c r="F528">
        <f>IF(COUNTIF($C$5:C528,C528)=1,1,0)</f>
        <v>0</v>
      </c>
      <c r="G528" s="2" t="str">
        <f t="shared" si="16"/>
        <v/>
      </c>
      <c r="H528" s="2">
        <f>MAX(0, MyBattery - (EVCleanedDataset[[#This Row],[Distance(km)]]/VehicleRangeKm)*100)</f>
        <v>0</v>
      </c>
      <c r="I528" s="2">
        <f>6371*ACOS(SIN(RADIANS(MyLat))*SIN(RADIANS(EVCleanedDataset[[#This Row],[Latitude]]))+COS(RADIANS(MyLat))*COS(RADIANS(EVCleanedDataset[[#This Row],[Latitude]]))*COS(RADIANS(EVCleanedDataset[[#This Row],[Longitude]]-MyLong)))</f>
        <v>839.28568439522405</v>
      </c>
      <c r="J528">
        <f t="shared" si="17"/>
        <v>6</v>
      </c>
      <c r="K52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35.305015799231334</v>
      </c>
      <c r="L528" t="str">
        <f>IF(EVCleanedDataset[[#This Row],[Score]]&gt;50,"Yes","No")</f>
        <v>No</v>
      </c>
    </row>
    <row r="529" spans="1:12" x14ac:dyDescent="0.3">
      <c r="A529" t="s">
        <v>3287</v>
      </c>
      <c r="B529" t="s">
        <v>313</v>
      </c>
      <c r="C529" t="s">
        <v>1110</v>
      </c>
      <c r="D529">
        <v>20.3395267</v>
      </c>
      <c r="E529">
        <v>85.800650000000005</v>
      </c>
      <c r="F529">
        <f>IF(COUNTIF($C$5:C529,C529)=1,1,0)</f>
        <v>0</v>
      </c>
      <c r="G529" s="2" t="str">
        <f t="shared" si="16"/>
        <v/>
      </c>
      <c r="H529" s="2">
        <f>MAX(0, MyBattery - (EVCleanedDataset[[#This Row],[Distance(km)]]/VehicleRangeKm)*100)</f>
        <v>0</v>
      </c>
      <c r="I529" s="2">
        <f>6371*ACOS(SIN(RADIANS(MyLat))*SIN(RADIANS(EVCleanedDataset[[#This Row],[Latitude]]))+COS(RADIANS(MyLat))*COS(RADIANS(EVCleanedDataset[[#This Row],[Latitude]]))*COS(RADIANS(EVCleanedDataset[[#This Row],[Longitude]]-MyLong)))</f>
        <v>1173.1138585333804</v>
      </c>
      <c r="J529">
        <f t="shared" si="17"/>
        <v>3</v>
      </c>
      <c r="K529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39.457955548024479</v>
      </c>
      <c r="L529" t="str">
        <f>IF(EVCleanedDataset[[#This Row],[Score]]&gt;50,"Yes","No")</f>
        <v>No</v>
      </c>
    </row>
    <row r="530" spans="1:12" x14ac:dyDescent="0.3">
      <c r="A530" t="s">
        <v>1075</v>
      </c>
      <c r="B530" t="s">
        <v>41</v>
      </c>
      <c r="C530" t="s">
        <v>221</v>
      </c>
      <c r="D530">
        <v>19.973146</v>
      </c>
      <c r="E530">
        <v>73.681049999999999</v>
      </c>
      <c r="F530">
        <f>IF(COUNTIF($C$5:C530,C530)=1,1,0)</f>
        <v>0</v>
      </c>
      <c r="G530" s="2" t="str">
        <f t="shared" si="16"/>
        <v/>
      </c>
      <c r="H530" s="2">
        <f>MAX(0, MyBattery - (EVCleanedDataset[[#This Row],[Distance(km)]]/VehicleRangeKm)*100)</f>
        <v>0</v>
      </c>
      <c r="I530" s="2">
        <f>6371*ACOS(SIN(RADIANS(MyLat))*SIN(RADIANS(EVCleanedDataset[[#This Row],[Latitude]]))+COS(RADIANS(MyLat))*COS(RADIANS(EVCleanedDataset[[#This Row],[Latitude]]))*COS(RADIANS(EVCleanedDataset[[#This Row],[Longitude]]-MyLong)))</f>
        <v>843.23408841722915</v>
      </c>
      <c r="J530">
        <f t="shared" si="17"/>
        <v>0</v>
      </c>
      <c r="K530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55.235878677438322</v>
      </c>
      <c r="L530" t="str">
        <f>IF(EVCleanedDataset[[#This Row],[Score]]&gt;50,"Yes","No")</f>
        <v>Yes</v>
      </c>
    </row>
    <row r="531" spans="1:12" x14ac:dyDescent="0.3">
      <c r="A531" t="s">
        <v>999</v>
      </c>
      <c r="B531" t="s">
        <v>49</v>
      </c>
      <c r="C531" t="s">
        <v>1000</v>
      </c>
      <c r="D531">
        <v>11.682985</v>
      </c>
      <c r="E531">
        <v>78.126040200000006</v>
      </c>
      <c r="F531">
        <f>IF(COUNTIF($C$5:C531,C531)=1,1,0)</f>
        <v>1</v>
      </c>
      <c r="G531" s="2">
        <f t="shared" si="16"/>
        <v>195.97062053052559</v>
      </c>
      <c r="H531" s="2">
        <f>MAX(0, MyBattery - (EVCleanedDataset[[#This Row],[Distance(km)]]/VehicleRangeKm)*100)</f>
        <v>4.6764598231581402</v>
      </c>
      <c r="I531" s="2">
        <f>6371*ACOS(SIN(RADIANS(MyLat))*SIN(RADIANS(EVCleanedDataset[[#This Row],[Latitude]]))+COS(RADIANS(MyLat))*COS(RADIANS(EVCleanedDataset[[#This Row],[Latitude]]))*COS(RADIANS(EVCleanedDataset[[#This Row],[Longitude]]-MyLong)))</f>
        <v>195.97062053052559</v>
      </c>
      <c r="J531">
        <f t="shared" si="17"/>
        <v>7</v>
      </c>
      <c r="K531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44.642448230652768</v>
      </c>
      <c r="L531" t="str">
        <f>IF(EVCleanedDataset[[#This Row],[Score]]&gt;50,"Yes","No")</f>
        <v>No</v>
      </c>
    </row>
    <row r="532" spans="1:12" x14ac:dyDescent="0.3">
      <c r="A532" t="s">
        <v>789</v>
      </c>
      <c r="B532" t="s">
        <v>41</v>
      </c>
      <c r="C532" t="s">
        <v>987</v>
      </c>
      <c r="D532">
        <v>21.129812213883</v>
      </c>
      <c r="E532">
        <v>79.114860717733507</v>
      </c>
      <c r="F532">
        <f>IF(COUNTIF($C$5:C532,C532)=1,1,0)</f>
        <v>0</v>
      </c>
      <c r="G532" s="2" t="str">
        <f t="shared" si="16"/>
        <v/>
      </c>
      <c r="H532" s="2">
        <f>MAX(0, MyBattery - (EVCleanedDataset[[#This Row],[Distance(km)]]/VehicleRangeKm)*100)</f>
        <v>0</v>
      </c>
      <c r="I532" s="2">
        <f>6371*ACOS(SIN(RADIANS(MyLat))*SIN(RADIANS(EVCleanedDataset[[#This Row],[Latitude]]))+COS(RADIANS(MyLat))*COS(RADIANS(EVCleanedDataset[[#This Row],[Latitude]]))*COS(RADIANS(EVCleanedDataset[[#This Row],[Longitude]]-MyLong)))</f>
        <v>881.20979221537641</v>
      </c>
      <c r="J532">
        <f t="shared" si="17"/>
        <v>4</v>
      </c>
      <c r="K532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41.237412953896921</v>
      </c>
      <c r="L532" t="str">
        <f>IF(EVCleanedDataset[[#This Row],[Score]]&gt;50,"Yes","No")</f>
        <v>No</v>
      </c>
    </row>
    <row r="533" spans="1:12" x14ac:dyDescent="0.3">
      <c r="A533" t="s">
        <v>3261</v>
      </c>
      <c r="B533" t="s">
        <v>386</v>
      </c>
      <c r="C533" t="s">
        <v>2009</v>
      </c>
      <c r="D533">
        <v>11.282287</v>
      </c>
      <c r="E533">
        <v>75.770054000000002</v>
      </c>
      <c r="F533">
        <f>IF(COUNTIF($C$5:C533,C533)=1,1,0)</f>
        <v>0</v>
      </c>
      <c r="G533" s="2" t="str">
        <f t="shared" si="16"/>
        <v/>
      </c>
      <c r="H533" s="2">
        <f>MAX(0, MyBattery - (EVCleanedDataset[[#This Row],[Distance(km)]]/VehicleRangeKm)*100)</f>
        <v>0</v>
      </c>
      <c r="I533" s="2">
        <f>6371*ACOS(SIN(RADIANS(MyLat))*SIN(RADIANS(EVCleanedDataset[[#This Row],[Latitude]]))+COS(RADIANS(MyLat))*COS(RADIANS(EVCleanedDataset[[#This Row],[Latitude]]))*COS(RADIANS(EVCleanedDataset[[#This Row],[Longitude]]-MyLong)))</f>
        <v>299.46716069696976</v>
      </c>
      <c r="J533">
        <f t="shared" si="17"/>
        <v>1</v>
      </c>
      <c r="K53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61.426766748475359</v>
      </c>
      <c r="L533" t="str">
        <f>IF(EVCleanedDataset[[#This Row],[Score]]&gt;50,"Yes","No")</f>
        <v>Yes</v>
      </c>
    </row>
    <row r="534" spans="1:12" x14ac:dyDescent="0.3">
      <c r="A534" t="s">
        <v>792</v>
      </c>
      <c r="B534" t="s">
        <v>41</v>
      </c>
      <c r="C534" t="s">
        <v>987</v>
      </c>
      <c r="D534">
        <v>21.148294</v>
      </c>
      <c r="E534">
        <v>79.128433999999999</v>
      </c>
      <c r="F534">
        <f>IF(COUNTIF($C$5:C534,C534)=1,1,0)</f>
        <v>0</v>
      </c>
      <c r="G534" s="2" t="str">
        <f t="shared" si="16"/>
        <v/>
      </c>
      <c r="H534" s="2">
        <f>MAX(0, MyBattery - (EVCleanedDataset[[#This Row],[Distance(km)]]/VehicleRangeKm)*100)</f>
        <v>0</v>
      </c>
      <c r="I534" s="2">
        <f>6371*ACOS(SIN(RADIANS(MyLat))*SIN(RADIANS(EVCleanedDataset[[#This Row],[Latitude]]))+COS(RADIANS(MyLat))*COS(RADIANS(EVCleanedDataset[[#This Row],[Latitude]]))*COS(RADIANS(EVCleanedDataset[[#This Row],[Longitude]]-MyLong)))</f>
        <v>883.4997647465201</v>
      </c>
      <c r="J534">
        <f t="shared" si="17"/>
        <v>8</v>
      </c>
      <c r="K534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27.863990273000283</v>
      </c>
      <c r="L534" t="str">
        <f>IF(EVCleanedDataset[[#This Row],[Score]]&gt;50,"Yes","No")</f>
        <v>No</v>
      </c>
    </row>
    <row r="535" spans="1:12" x14ac:dyDescent="0.3">
      <c r="A535" t="s">
        <v>2770</v>
      </c>
      <c r="B535" t="s">
        <v>386</v>
      </c>
      <c r="C535" t="s">
        <v>1402</v>
      </c>
      <c r="D535">
        <v>10.029793400000001</v>
      </c>
      <c r="E535">
        <v>77.045859199999995</v>
      </c>
      <c r="F535">
        <f>IF(COUNTIF($C$5:C535,C535)=1,1,0)</f>
        <v>1</v>
      </c>
      <c r="G535" s="2">
        <f t="shared" si="16"/>
        <v>372.95314897796533</v>
      </c>
      <c r="H535" s="2">
        <f>MAX(0, MyBattery - (EVCleanedDataset[[#This Row],[Distance(km)]]/VehicleRangeKm)*100)</f>
        <v>0</v>
      </c>
      <c r="I535" s="2">
        <f>6371*ACOS(SIN(RADIANS(MyLat))*SIN(RADIANS(EVCleanedDataset[[#This Row],[Latitude]]))+COS(RADIANS(MyLat))*COS(RADIANS(EVCleanedDataset[[#This Row],[Latitude]]))*COS(RADIANS(EVCleanedDataset[[#This Row],[Longitude]]-MyLong)))</f>
        <v>372.95314897796533</v>
      </c>
      <c r="J535">
        <f t="shared" si="17"/>
        <v>5</v>
      </c>
      <c r="K535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46.806330969387872</v>
      </c>
      <c r="L535" t="str">
        <f>IF(EVCleanedDataset[[#This Row],[Score]]&gt;50,"Yes","No")</f>
        <v>No</v>
      </c>
    </row>
    <row r="536" spans="1:12" x14ac:dyDescent="0.3">
      <c r="A536" t="s">
        <v>1054</v>
      </c>
      <c r="B536" t="s">
        <v>502</v>
      </c>
      <c r="C536" t="s">
        <v>1055</v>
      </c>
      <c r="D536">
        <v>16.545174800000002</v>
      </c>
      <c r="E536">
        <v>81.519940300000002</v>
      </c>
      <c r="F536">
        <f>IF(COUNTIF($C$5:C536,C536)=1,1,0)</f>
        <v>1</v>
      </c>
      <c r="G536" s="2">
        <f t="shared" si="16"/>
        <v>556.1345797613003</v>
      </c>
      <c r="H536" s="2">
        <f>MAX(0, MyBattery - (EVCleanedDataset[[#This Row],[Distance(km)]]/VehicleRangeKm)*100)</f>
        <v>0</v>
      </c>
      <c r="I536" s="2">
        <f>6371*ACOS(SIN(RADIANS(MyLat))*SIN(RADIANS(EVCleanedDataset[[#This Row],[Latitude]]))+COS(RADIANS(MyLat))*COS(RADIANS(EVCleanedDataset[[#This Row],[Latitude]]))*COS(RADIANS(EVCleanedDataset[[#This Row],[Longitude]]-MyLong)))</f>
        <v>556.1345797613003</v>
      </c>
      <c r="J536">
        <f t="shared" si="17"/>
        <v>2</v>
      </c>
      <c r="K536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53.597879918214055</v>
      </c>
      <c r="L536" t="str">
        <f>IF(EVCleanedDataset[[#This Row],[Score]]&gt;50,"Yes","No")</f>
        <v>Yes</v>
      </c>
    </row>
    <row r="537" spans="1:12" x14ac:dyDescent="0.3">
      <c r="A537" t="s">
        <v>3337</v>
      </c>
      <c r="B537" t="s">
        <v>386</v>
      </c>
      <c r="C537" t="s">
        <v>2009</v>
      </c>
      <c r="D537">
        <v>11.264453</v>
      </c>
      <c r="E537">
        <v>75.777366200000003</v>
      </c>
      <c r="F537">
        <f>IF(COUNTIF($C$5:C537,C537)=1,1,0)</f>
        <v>0</v>
      </c>
      <c r="G537" s="2" t="str">
        <f t="shared" si="16"/>
        <v/>
      </c>
      <c r="H537" s="2">
        <f>MAX(0, MyBattery - (EVCleanedDataset[[#This Row],[Distance(km)]]/VehicleRangeKm)*100)</f>
        <v>0</v>
      </c>
      <c r="I537" s="2">
        <f>6371*ACOS(SIN(RADIANS(MyLat))*SIN(RADIANS(EVCleanedDataset[[#This Row],[Latitude]]))+COS(RADIANS(MyLat))*COS(RADIANS(EVCleanedDataset[[#This Row],[Latitude]]))*COS(RADIANS(EVCleanedDataset[[#This Row],[Longitude]]-MyLong)))</f>
        <v>300.48965287844612</v>
      </c>
      <c r="J537">
        <f t="shared" si="17"/>
        <v>9</v>
      </c>
      <c r="K53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34.7422309175153</v>
      </c>
      <c r="L537" t="str">
        <f>IF(EVCleanedDataset[[#This Row],[Score]]&gt;50,"Yes","No")</f>
        <v>No</v>
      </c>
    </row>
    <row r="538" spans="1:12" x14ac:dyDescent="0.3">
      <c r="A538" t="s">
        <v>2643</v>
      </c>
      <c r="B538" t="s">
        <v>386</v>
      </c>
      <c r="C538" t="s">
        <v>2644</v>
      </c>
      <c r="D538">
        <v>9.5188743000000002</v>
      </c>
      <c r="E538">
        <v>76.327417100000005</v>
      </c>
      <c r="F538">
        <f>IF(COUNTIF($C$5:C538,C538)=1,1,0)</f>
        <v>1</v>
      </c>
      <c r="G538" s="2">
        <f t="shared" si="16"/>
        <v>445.8480096073975</v>
      </c>
      <c r="H538" s="2">
        <f>MAX(0, MyBattery - (EVCleanedDataset[[#This Row],[Distance(km)]]/VehicleRangeKm)*100)</f>
        <v>0</v>
      </c>
      <c r="I538" s="2">
        <f>6371*ACOS(SIN(RADIANS(MyLat))*SIN(RADIANS(EVCleanedDataset[[#This Row],[Latitude]]))+COS(RADIANS(MyLat))*COS(RADIANS(EVCleanedDataset[[#This Row],[Latitude]]))*COS(RADIANS(EVCleanedDataset[[#This Row],[Longitude]]-MyLong)))</f>
        <v>445.8480096073975</v>
      </c>
      <c r="J538">
        <f t="shared" si="17"/>
        <v>6</v>
      </c>
      <c r="K538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42.196258914682836</v>
      </c>
      <c r="L538" t="str">
        <f>IF(EVCleanedDataset[[#This Row],[Score]]&gt;50,"Yes","No")</f>
        <v>No</v>
      </c>
    </row>
    <row r="539" spans="1:12" x14ac:dyDescent="0.3">
      <c r="A539" t="s">
        <v>3354</v>
      </c>
      <c r="B539" t="s">
        <v>18</v>
      </c>
      <c r="C539" t="s">
        <v>1085</v>
      </c>
      <c r="D539">
        <v>26.872060999999999</v>
      </c>
      <c r="E539">
        <v>81.036465000000007</v>
      </c>
      <c r="F539">
        <f>IF(COUNTIF($C$5:C539,C539)=1,1,0)</f>
        <v>0</v>
      </c>
      <c r="G539" s="2" t="str">
        <f t="shared" si="16"/>
        <v/>
      </c>
      <c r="H539" s="2">
        <f>MAX(0, MyBattery - (EVCleanedDataset[[#This Row],[Distance(km)]]/VehicleRangeKm)*100)</f>
        <v>0</v>
      </c>
      <c r="I539" s="2">
        <f>6371*ACOS(SIN(RADIANS(MyLat))*SIN(RADIANS(EVCleanedDataset[[#This Row],[Latitude]]))+COS(RADIANS(MyLat))*COS(RADIANS(EVCleanedDataset[[#This Row],[Latitude]]))*COS(RADIANS(EVCleanedDataset[[#This Row],[Longitude]]-MyLong)))</f>
        <v>1547.1467340723748</v>
      </c>
      <c r="J539">
        <f t="shared" si="17"/>
        <v>3</v>
      </c>
      <c r="K539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32.906791547663879</v>
      </c>
      <c r="L539" t="str">
        <f>IF(EVCleanedDataset[[#This Row],[Score]]&gt;50,"Yes","No")</f>
        <v>No</v>
      </c>
    </row>
    <row r="540" spans="1:12" x14ac:dyDescent="0.3">
      <c r="A540" t="s">
        <v>2812</v>
      </c>
      <c r="B540" t="s">
        <v>14</v>
      </c>
      <c r="C540" t="s">
        <v>147</v>
      </c>
      <c r="D540">
        <v>26.125</v>
      </c>
      <c r="E540">
        <v>74.3459</v>
      </c>
      <c r="F540">
        <f>IF(COUNTIF($C$5:C540,C540)=1,1,0)</f>
        <v>1</v>
      </c>
      <c r="G540" s="2">
        <f t="shared" si="16"/>
        <v>1459.1368990892724</v>
      </c>
      <c r="H540" s="2">
        <f>MAX(0, MyBattery - (EVCleanedDataset[[#This Row],[Distance(km)]]/VehicleRangeKm)*100)</f>
        <v>0</v>
      </c>
      <c r="I540" s="2">
        <f>6371*ACOS(SIN(RADIANS(MyLat))*SIN(RADIANS(EVCleanedDataset[[#This Row],[Latitude]]))+COS(RADIANS(MyLat))*COS(RADIANS(EVCleanedDataset[[#This Row],[Latitude]]))*COS(RADIANS(EVCleanedDataset[[#This Row],[Longitude]]-MyLong)))</f>
        <v>1459.1368990892724</v>
      </c>
      <c r="J540">
        <f t="shared" si="17"/>
        <v>0</v>
      </c>
      <c r="K540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44.448312204371817</v>
      </c>
      <c r="L540" t="str">
        <f>IF(EVCleanedDataset[[#This Row],[Score]]&gt;50,"Yes","No")</f>
        <v>No</v>
      </c>
    </row>
    <row r="541" spans="1:12" x14ac:dyDescent="0.3">
      <c r="A541" t="s">
        <v>3045</v>
      </c>
      <c r="B541" t="s">
        <v>115</v>
      </c>
      <c r="C541" t="s">
        <v>1163</v>
      </c>
      <c r="D541">
        <v>17.418163830000001</v>
      </c>
      <c r="E541">
        <v>78.346651039999998</v>
      </c>
      <c r="F541">
        <f>IF(COUNTIF($C$5:C541,C541)=1,1,0)</f>
        <v>0</v>
      </c>
      <c r="G541" s="2" t="str">
        <f t="shared" si="16"/>
        <v/>
      </c>
      <c r="H541" s="2">
        <f>MAX(0, MyBattery - (EVCleanedDataset[[#This Row],[Distance(km)]]/VehicleRangeKm)*100)</f>
        <v>0</v>
      </c>
      <c r="I541" s="2">
        <f>6371*ACOS(SIN(RADIANS(MyLat))*SIN(RADIANS(EVCleanedDataset[[#This Row],[Latitude]]))+COS(RADIANS(MyLat))*COS(RADIANS(EVCleanedDataset[[#This Row],[Latitude]]))*COS(RADIANS(EVCleanedDataset[[#This Row],[Longitude]]-MyLong)))</f>
        <v>460.69409120082742</v>
      </c>
      <c r="J541">
        <f t="shared" si="17"/>
        <v>7</v>
      </c>
      <c r="K54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38.602923358916392</v>
      </c>
      <c r="L541" t="str">
        <f>IF(EVCleanedDataset[[#This Row],[Score]]&gt;50,"Yes","No")</f>
        <v>No</v>
      </c>
    </row>
    <row r="542" spans="1:12" x14ac:dyDescent="0.3">
      <c r="A542" t="s">
        <v>2563</v>
      </c>
      <c r="B542" t="s">
        <v>18</v>
      </c>
      <c r="C542" t="s">
        <v>1085</v>
      </c>
      <c r="D542">
        <v>26.892842999999999</v>
      </c>
      <c r="E542">
        <v>81.072800000000001</v>
      </c>
      <c r="F542">
        <f>IF(COUNTIF($C$5:C542,C542)=1,1,0)</f>
        <v>0</v>
      </c>
      <c r="G542" s="2" t="str">
        <f t="shared" si="16"/>
        <v/>
      </c>
      <c r="H542" s="2">
        <f>MAX(0, MyBattery - (EVCleanedDataset[[#This Row],[Distance(km)]]/VehicleRangeKm)*100)</f>
        <v>0</v>
      </c>
      <c r="I542" s="2">
        <f>6371*ACOS(SIN(RADIANS(MyLat))*SIN(RADIANS(EVCleanedDataset[[#This Row],[Latitude]]))+COS(RADIANS(MyLat))*COS(RADIANS(EVCleanedDataset[[#This Row],[Latitude]]))*COS(RADIANS(EVCleanedDataset[[#This Row],[Longitude]]-MyLong)))</f>
        <v>1550.2790464949062</v>
      </c>
      <c r="J542">
        <f t="shared" si="17"/>
        <v>4</v>
      </c>
      <c r="K542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29.518625107492564</v>
      </c>
      <c r="L542" t="str">
        <f>IF(EVCleanedDataset[[#This Row],[Score]]&gt;50,"Yes","No")</f>
        <v>No</v>
      </c>
    </row>
    <row r="543" spans="1:12" x14ac:dyDescent="0.3">
      <c r="A543" t="s">
        <v>385</v>
      </c>
      <c r="B543" t="s">
        <v>41</v>
      </c>
      <c r="C543" t="s">
        <v>42</v>
      </c>
      <c r="D543">
        <v>18.505010299999999</v>
      </c>
      <c r="E543">
        <v>73.831623800000003</v>
      </c>
      <c r="F543">
        <f>IF(COUNTIF($C$5:C543,C543)=1,1,0)</f>
        <v>0</v>
      </c>
      <c r="G543" s="2" t="str">
        <f t="shared" si="16"/>
        <v/>
      </c>
      <c r="H543" s="2">
        <f>MAX(0, MyBattery - (EVCleanedDataset[[#This Row],[Distance(km)]]/VehicleRangeKm)*100)</f>
        <v>0</v>
      </c>
      <c r="I543" s="2">
        <f>6371*ACOS(SIN(RADIANS(MyLat))*SIN(RADIANS(EVCleanedDataset[[#This Row],[Latitude]]))+COS(RADIANS(MyLat))*COS(RADIANS(EVCleanedDataset[[#This Row],[Latitude]]))*COS(RADIANS(EVCleanedDataset[[#This Row],[Longitude]]-MyLong)))</f>
        <v>696.82612187001052</v>
      </c>
      <c r="J543">
        <f t="shared" si="17"/>
        <v>1</v>
      </c>
      <c r="K543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54.467041482307721</v>
      </c>
      <c r="L543" t="str">
        <f>IF(EVCleanedDataset[[#This Row],[Score]]&gt;50,"Yes","No")</f>
        <v>Yes</v>
      </c>
    </row>
    <row r="544" spans="1:12" x14ac:dyDescent="0.3">
      <c r="A544" t="s">
        <v>2948</v>
      </c>
      <c r="B544" t="s">
        <v>41</v>
      </c>
      <c r="C544" t="s">
        <v>42</v>
      </c>
      <c r="D544">
        <v>18.526967899999999</v>
      </c>
      <c r="E544">
        <v>73.865512300000006</v>
      </c>
      <c r="F544">
        <f>IF(COUNTIF($C$5:C544,C544)=1,1,0)</f>
        <v>0</v>
      </c>
      <c r="G544" s="2" t="str">
        <f t="shared" si="16"/>
        <v/>
      </c>
      <c r="H544" s="2">
        <f>MAX(0, MyBattery - (EVCleanedDataset[[#This Row],[Distance(km)]]/VehicleRangeKm)*100)</f>
        <v>0</v>
      </c>
      <c r="I544" s="2">
        <f>6371*ACOS(SIN(RADIANS(MyLat))*SIN(RADIANS(EVCleanedDataset[[#This Row],[Latitude]]))+COS(RADIANS(MyLat))*COS(RADIANS(EVCleanedDataset[[#This Row],[Latitude]]))*COS(RADIANS(EVCleanedDataset[[#This Row],[Longitude]]-MyLong)))</f>
        <v>696.77694393611444</v>
      </c>
      <c r="J544">
        <f t="shared" si="17"/>
        <v>8</v>
      </c>
      <c r="K544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31.134579510766397</v>
      </c>
      <c r="L544" t="str">
        <f>IF(EVCleanedDataset[[#This Row],[Score]]&gt;50,"Yes","No")</f>
        <v>No</v>
      </c>
    </row>
    <row r="545" spans="1:12" x14ac:dyDescent="0.3">
      <c r="A545" t="s">
        <v>2842</v>
      </c>
      <c r="B545" t="s">
        <v>115</v>
      </c>
      <c r="C545" t="s">
        <v>1163</v>
      </c>
      <c r="D545">
        <v>17.412299999999998</v>
      </c>
      <c r="E545">
        <v>78.459800000000001</v>
      </c>
      <c r="F545">
        <f>IF(COUNTIF($C$5:C545,C545)=1,1,0)</f>
        <v>0</v>
      </c>
      <c r="G545" s="2" t="str">
        <f t="shared" si="16"/>
        <v/>
      </c>
      <c r="H545" s="2">
        <f>MAX(0, MyBattery - (EVCleanedDataset[[#This Row],[Distance(km)]]/VehicleRangeKm)*100)</f>
        <v>0</v>
      </c>
      <c r="I545" s="2">
        <f>6371*ACOS(SIN(RADIANS(MyLat))*SIN(RADIANS(EVCleanedDataset[[#This Row],[Latitude]]))+COS(RADIANS(MyLat))*COS(RADIANS(EVCleanedDataset[[#This Row],[Latitude]]))*COS(RADIANS(EVCleanedDataset[[#This Row],[Longitude]]-MyLong)))</f>
        <v>462.49366448260565</v>
      </c>
      <c r="J545">
        <f t="shared" si="17"/>
        <v>5</v>
      </c>
      <c r="K54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45.238110123382121</v>
      </c>
      <c r="L545" t="str">
        <f>IF(EVCleanedDataset[[#This Row],[Score]]&gt;50,"Yes","No")</f>
        <v>No</v>
      </c>
    </row>
    <row r="546" spans="1:12" x14ac:dyDescent="0.3">
      <c r="A546" t="s">
        <v>373</v>
      </c>
      <c r="B546" t="s">
        <v>115</v>
      </c>
      <c r="C546" t="s">
        <v>1163</v>
      </c>
      <c r="D546">
        <v>17.400594999999999</v>
      </c>
      <c r="E546">
        <v>78.508077999999998</v>
      </c>
      <c r="F546">
        <f>IF(COUNTIF($C$5:C546,C546)=1,1,0)</f>
        <v>0</v>
      </c>
      <c r="G546" s="2" t="str">
        <f t="shared" si="16"/>
        <v/>
      </c>
      <c r="H546" s="2">
        <f>MAX(0, MyBattery - (EVCleanedDataset[[#This Row],[Distance(km)]]/VehicleRangeKm)*100)</f>
        <v>0</v>
      </c>
      <c r="I546" s="2">
        <f>6371*ACOS(SIN(RADIANS(MyLat))*SIN(RADIANS(EVCleanedDataset[[#This Row],[Latitude]]))+COS(RADIANS(MyLat))*COS(RADIANS(EVCleanedDataset[[#This Row],[Latitude]]))*COS(RADIANS(EVCleanedDataset[[#This Row],[Longitude]]-MyLong)))</f>
        <v>462.35971740355654</v>
      </c>
      <c r="J546">
        <f t="shared" si="17"/>
        <v>2</v>
      </c>
      <c r="K546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55.240466234471064</v>
      </c>
      <c r="L546" t="str">
        <f>IF(EVCleanedDataset[[#This Row],[Score]]&gt;50,"Yes","No")</f>
        <v>Yes</v>
      </c>
    </row>
    <row r="547" spans="1:12" x14ac:dyDescent="0.3">
      <c r="A547" t="s">
        <v>1359</v>
      </c>
      <c r="B547" t="s">
        <v>313</v>
      </c>
      <c r="C547" t="s">
        <v>1360</v>
      </c>
      <c r="D547">
        <v>18.858098300000002</v>
      </c>
      <c r="E547">
        <v>82.589986699999997</v>
      </c>
      <c r="F547">
        <f>IF(COUNTIF($C$5:C547,C547)=1,1,0)</f>
        <v>1</v>
      </c>
      <c r="G547" s="2">
        <f t="shared" si="16"/>
        <v>816.26855041595172</v>
      </c>
      <c r="H547" s="2">
        <f>MAX(0, MyBattery - (EVCleanedDataset[[#This Row],[Distance(km)]]/VehicleRangeKm)*100)</f>
        <v>0</v>
      </c>
      <c r="I547" s="2">
        <f>6371*ACOS(SIN(RADIANS(MyLat))*SIN(RADIANS(EVCleanedDataset[[#This Row],[Latitude]]))+COS(RADIANS(MyLat))*COS(RADIANS(EVCleanedDataset[[#This Row],[Latitude]]))*COS(RADIANS(EVCleanedDataset[[#This Row],[Longitude]]-MyLong)))</f>
        <v>816.26855041595172</v>
      </c>
      <c r="J547">
        <f t="shared" si="17"/>
        <v>9</v>
      </c>
      <c r="K547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25.708355712223852</v>
      </c>
      <c r="L547" t="str">
        <f>IF(EVCleanedDataset[[#This Row],[Score]]&gt;50,"Yes","No")</f>
        <v>No</v>
      </c>
    </row>
    <row r="548" spans="1:12" x14ac:dyDescent="0.3">
      <c r="A548" t="s">
        <v>2933</v>
      </c>
      <c r="B548" t="s">
        <v>41</v>
      </c>
      <c r="C548" t="s">
        <v>1956</v>
      </c>
      <c r="D548">
        <v>16.6936726519418</v>
      </c>
      <c r="E548">
        <v>74.241029926169801</v>
      </c>
      <c r="F548">
        <f>IF(COUNTIF($C$5:C548,C548)=1,1,0)</f>
        <v>0</v>
      </c>
      <c r="G548" s="2" t="str">
        <f t="shared" si="16"/>
        <v/>
      </c>
      <c r="H548" s="2">
        <f>MAX(0, MyBattery - (EVCleanedDataset[[#This Row],[Distance(km)]]/VehicleRangeKm)*100)</f>
        <v>0</v>
      </c>
      <c r="I548" s="2">
        <f>6371*ACOS(SIN(RADIANS(MyLat))*SIN(RADIANS(EVCleanedDataset[[#This Row],[Latitude]]))+COS(RADIANS(MyLat))*COS(RADIANS(EVCleanedDataset[[#This Row],[Latitude]]))*COS(RADIANS(EVCleanedDataset[[#This Row],[Longitude]]-MyLong)))</f>
        <v>513.41673466733334</v>
      </c>
      <c r="J548">
        <f t="shared" si="17"/>
        <v>6</v>
      </c>
      <c r="K548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41.012878571150125</v>
      </c>
      <c r="L548" t="str">
        <f>IF(EVCleanedDataset[[#This Row],[Score]]&gt;50,"Yes","No")</f>
        <v>No</v>
      </c>
    </row>
    <row r="549" spans="1:12" x14ac:dyDescent="0.3">
      <c r="A549" t="s">
        <v>2273</v>
      </c>
      <c r="B549" t="s">
        <v>386</v>
      </c>
      <c r="C549" t="s">
        <v>2009</v>
      </c>
      <c r="D549">
        <v>11.217000000000001</v>
      </c>
      <c r="E549">
        <v>75.858009999999993</v>
      </c>
      <c r="F549">
        <f>IF(COUNTIF($C$5:C549,C549)=1,1,0)</f>
        <v>0</v>
      </c>
      <c r="G549" s="2" t="str">
        <f t="shared" si="16"/>
        <v/>
      </c>
      <c r="H549" s="2">
        <f>MAX(0, MyBattery - (EVCleanedDataset[[#This Row],[Distance(km)]]/VehicleRangeKm)*100)</f>
        <v>0</v>
      </c>
      <c r="I549" s="2">
        <f>6371*ACOS(SIN(RADIANS(MyLat))*SIN(RADIANS(EVCleanedDataset[[#This Row],[Latitude]]))+COS(RADIANS(MyLat))*COS(RADIANS(EVCleanedDataset[[#This Row],[Latitude]]))*COS(RADIANS(EVCleanedDataset[[#This Row],[Longitude]]-MyLong)))</f>
        <v>299.1663472969783</v>
      </c>
      <c r="J549">
        <f t="shared" si="17"/>
        <v>3</v>
      </c>
      <c r="K54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54.765528891389536</v>
      </c>
      <c r="L549" t="str">
        <f>IF(EVCleanedDataset[[#This Row],[Score]]&gt;50,"Yes","No")</f>
        <v>Yes</v>
      </c>
    </row>
    <row r="550" spans="1:12" x14ac:dyDescent="0.3">
      <c r="A550" t="s">
        <v>184</v>
      </c>
      <c r="B550" t="s">
        <v>68</v>
      </c>
      <c r="C550" t="s">
        <v>185</v>
      </c>
      <c r="D550">
        <v>22.321300000000001</v>
      </c>
      <c r="E550">
        <v>73.188100000000006</v>
      </c>
      <c r="F550">
        <f>IF(COUNTIF($C$5:C550,C550)=1,1,0)</f>
        <v>0</v>
      </c>
      <c r="G550" s="2" t="str">
        <f t="shared" si="16"/>
        <v/>
      </c>
      <c r="H550" s="2">
        <f>MAX(0, MyBattery - (EVCleanedDataset[[#This Row],[Distance(km)]]/VehicleRangeKm)*100)</f>
        <v>0</v>
      </c>
      <c r="I550" s="2">
        <f>6371*ACOS(SIN(RADIANS(MyLat))*SIN(RADIANS(EVCleanedDataset[[#This Row],[Latitude]]))+COS(RADIANS(MyLat))*COS(RADIANS(EVCleanedDataset[[#This Row],[Latitude]]))*COS(RADIANS(EVCleanedDataset[[#This Row],[Longitude]]-MyLong)))</f>
        <v>1098.5027976519134</v>
      </c>
      <c r="J550">
        <f t="shared" si="17"/>
        <v>0</v>
      </c>
      <c r="K550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50.764993875553429</v>
      </c>
      <c r="L550" t="str">
        <f>IF(EVCleanedDataset[[#This Row],[Score]]&gt;50,"Yes","No")</f>
        <v>Yes</v>
      </c>
    </row>
    <row r="551" spans="1:12" x14ac:dyDescent="0.3">
      <c r="A551" t="s">
        <v>1480</v>
      </c>
      <c r="B551" t="s">
        <v>68</v>
      </c>
      <c r="C551" t="s">
        <v>1481</v>
      </c>
      <c r="D551">
        <v>23.265533399999999</v>
      </c>
      <c r="E551">
        <v>69.678672800000001</v>
      </c>
      <c r="F551">
        <f>IF(COUNTIF($C$5:C551,C551)=1,1,0)</f>
        <v>1</v>
      </c>
      <c r="G551" s="2">
        <f t="shared" si="16"/>
        <v>1379.0380166584696</v>
      </c>
      <c r="H551" s="2">
        <f>MAX(0, MyBattery - (EVCleanedDataset[[#This Row],[Distance(km)]]/VehicleRangeKm)*100)</f>
        <v>0</v>
      </c>
      <c r="I551" s="2">
        <f>6371*ACOS(SIN(RADIANS(MyLat))*SIN(RADIANS(EVCleanedDataset[[#This Row],[Latitude]]))+COS(RADIANS(MyLat))*COS(RADIANS(EVCleanedDataset[[#This Row],[Latitude]]))*COS(RADIANS(EVCleanedDataset[[#This Row],[Longitude]]-MyLong)))</f>
        <v>1379.0380166584696</v>
      </c>
      <c r="J551">
        <f t="shared" si="17"/>
        <v>7</v>
      </c>
      <c r="K551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22.518037540141041</v>
      </c>
      <c r="L551" t="str">
        <f>IF(EVCleanedDataset[[#This Row],[Score]]&gt;50,"Yes","No")</f>
        <v>No</v>
      </c>
    </row>
    <row r="552" spans="1:12" x14ac:dyDescent="0.3">
      <c r="A552" t="s">
        <v>3274</v>
      </c>
      <c r="B552" t="s">
        <v>41</v>
      </c>
      <c r="C552" t="s">
        <v>1956</v>
      </c>
      <c r="D552">
        <v>16.753021</v>
      </c>
      <c r="E552">
        <v>74.279094999999998</v>
      </c>
      <c r="F552">
        <f>IF(COUNTIF($C$5:C552,C552)=1,1,0)</f>
        <v>0</v>
      </c>
      <c r="G552" s="2" t="str">
        <f t="shared" si="16"/>
        <v/>
      </c>
      <c r="H552" s="2">
        <f>MAX(0, MyBattery - (EVCleanedDataset[[#This Row],[Distance(km)]]/VehicleRangeKm)*100)</f>
        <v>0</v>
      </c>
      <c r="I552" s="2">
        <f>6371*ACOS(SIN(RADIANS(MyLat))*SIN(RADIANS(EVCleanedDataset[[#This Row],[Latitude]]))+COS(RADIANS(MyLat))*COS(RADIANS(EVCleanedDataset[[#This Row],[Latitude]]))*COS(RADIANS(EVCleanedDataset[[#This Row],[Longitude]]-MyLong)))</f>
        <v>515.39930692687881</v>
      </c>
      <c r="J552">
        <f t="shared" si="17"/>
        <v>4</v>
      </c>
      <c r="K552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47.644860070267384</v>
      </c>
      <c r="L552" t="str">
        <f>IF(EVCleanedDataset[[#This Row],[Score]]&gt;50,"Yes","No")</f>
        <v>No</v>
      </c>
    </row>
    <row r="553" spans="1:12" x14ac:dyDescent="0.3">
      <c r="A553" t="s">
        <v>409</v>
      </c>
      <c r="B553" t="s">
        <v>115</v>
      </c>
      <c r="C553" t="s">
        <v>1163</v>
      </c>
      <c r="D553">
        <v>17.447469000000002</v>
      </c>
      <c r="E553">
        <v>78.571749999999994</v>
      </c>
      <c r="F553">
        <f>IF(COUNTIF($C$5:C553,C553)=1,1,0)</f>
        <v>0</v>
      </c>
      <c r="G553" s="2" t="str">
        <f t="shared" si="16"/>
        <v/>
      </c>
      <c r="H553" s="2">
        <f>MAX(0, MyBattery - (EVCleanedDataset[[#This Row],[Distance(km)]]/VehicleRangeKm)*100)</f>
        <v>0</v>
      </c>
      <c r="I553" s="2">
        <f>6371*ACOS(SIN(RADIANS(MyLat))*SIN(RADIANS(EVCleanedDataset[[#This Row],[Latitude]]))+COS(RADIANS(MyLat))*COS(RADIANS(EVCleanedDataset[[#This Row],[Latitude]]))*COS(RADIANS(EVCleanedDataset[[#This Row],[Longitude]]-MyLong)))</f>
        <v>469.00271819133661</v>
      </c>
      <c r="J553">
        <f t="shared" si="17"/>
        <v>1</v>
      </c>
      <c r="K55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58.4575160203986</v>
      </c>
      <c r="L553" t="str">
        <f>IF(EVCleanedDataset[[#This Row],[Score]]&gt;50,"Yes","No")</f>
        <v>Yes</v>
      </c>
    </row>
    <row r="554" spans="1:12" x14ac:dyDescent="0.3">
      <c r="A554" t="s">
        <v>2543</v>
      </c>
      <c r="B554" t="s">
        <v>115</v>
      </c>
      <c r="C554" t="s">
        <v>1163</v>
      </c>
      <c r="D554">
        <v>17.531882</v>
      </c>
      <c r="E554">
        <v>78.485643999999994</v>
      </c>
      <c r="F554">
        <f>IF(COUNTIF($C$5:C554,C554)=1,1,0)</f>
        <v>0</v>
      </c>
      <c r="G554" s="2" t="str">
        <f t="shared" si="16"/>
        <v/>
      </c>
      <c r="H554" s="2">
        <f>MAX(0, MyBattery - (EVCleanedDataset[[#This Row],[Distance(km)]]/VehicleRangeKm)*100)</f>
        <v>0</v>
      </c>
      <c r="I554" s="2">
        <f>6371*ACOS(SIN(RADIANS(MyLat))*SIN(RADIANS(EVCleanedDataset[[#This Row],[Latitude]]))+COS(RADIANS(MyLat))*COS(RADIANS(EVCleanedDataset[[#This Row],[Latitude]]))*COS(RADIANS(EVCleanedDataset[[#This Row],[Longitude]]-MyLong)))</f>
        <v>476.06880719582307</v>
      </c>
      <c r="J554">
        <f t="shared" si="17"/>
        <v>8</v>
      </c>
      <c r="K554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35.000428661104372</v>
      </c>
      <c r="L554" t="str">
        <f>IF(EVCleanedDataset[[#This Row],[Score]]&gt;50,"Yes","No")</f>
        <v>No</v>
      </c>
    </row>
    <row r="555" spans="1:12" x14ac:dyDescent="0.3">
      <c r="A555" t="s">
        <v>2899</v>
      </c>
      <c r="B555" t="s">
        <v>41</v>
      </c>
      <c r="C555" t="s">
        <v>42</v>
      </c>
      <c r="D555">
        <v>18.653242532425899</v>
      </c>
      <c r="E555">
        <v>73.803401325309295</v>
      </c>
      <c r="F555">
        <f>IF(COUNTIF($C$5:C555,C555)=1,1,0)</f>
        <v>0</v>
      </c>
      <c r="G555" s="2" t="str">
        <f t="shared" si="16"/>
        <v/>
      </c>
      <c r="H555" s="2">
        <f>MAX(0, MyBattery - (EVCleanedDataset[[#This Row],[Distance(km)]]/VehicleRangeKm)*100)</f>
        <v>0</v>
      </c>
      <c r="I555" s="2">
        <f>6371*ACOS(SIN(RADIANS(MyLat))*SIN(RADIANS(EVCleanedDataset[[#This Row],[Latitude]]))+COS(RADIANS(MyLat))*COS(RADIANS(EVCleanedDataset[[#This Row],[Latitude]]))*COS(RADIANS(EVCleanedDataset[[#This Row],[Longitude]]-MyLong)))</f>
        <v>712.04651920247761</v>
      </c>
      <c r="J555">
        <f t="shared" si="17"/>
        <v>5</v>
      </c>
      <c r="K555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40.867239708127613</v>
      </c>
      <c r="L555" t="str">
        <f>IF(EVCleanedDataset[[#This Row],[Score]]&gt;50,"Yes","No")</f>
        <v>No</v>
      </c>
    </row>
    <row r="556" spans="1:12" x14ac:dyDescent="0.3">
      <c r="A556" t="s">
        <v>3035</v>
      </c>
      <c r="B556" t="s">
        <v>64</v>
      </c>
      <c r="C556" t="s">
        <v>159</v>
      </c>
      <c r="D556">
        <v>29.951238799999999</v>
      </c>
      <c r="E556">
        <v>78.075913099999994</v>
      </c>
      <c r="F556">
        <f>IF(COUNTIF($C$5:C556,C556)=1,1,0)</f>
        <v>1</v>
      </c>
      <c r="G556" s="2">
        <f t="shared" si="16"/>
        <v>1844.2502807927272</v>
      </c>
      <c r="H556" s="2">
        <f>MAX(0, MyBattery - (EVCleanedDataset[[#This Row],[Distance(km)]]/VehicleRangeKm)*100)</f>
        <v>0</v>
      </c>
      <c r="I556" s="2">
        <f>6371*ACOS(SIN(RADIANS(MyLat))*SIN(RADIANS(EVCleanedDataset[[#This Row],[Latitude]]))+COS(RADIANS(MyLat))*COS(RADIANS(EVCleanedDataset[[#This Row],[Latitude]]))*COS(RADIANS(EVCleanedDataset[[#This Row],[Longitude]]-MyLong)))</f>
        <v>1846.90135554618</v>
      </c>
      <c r="J556">
        <f t="shared" si="17"/>
        <v>2</v>
      </c>
      <c r="K556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30.990030027210775</v>
      </c>
      <c r="L556" t="str">
        <f>IF(EVCleanedDataset[[#This Row],[Score]]&gt;50,"Yes","No")</f>
        <v>No</v>
      </c>
    </row>
    <row r="557" spans="1:12" x14ac:dyDescent="0.3">
      <c r="A557" t="s">
        <v>2770</v>
      </c>
      <c r="B557" t="s">
        <v>64</v>
      </c>
      <c r="C557" t="s">
        <v>159</v>
      </c>
      <c r="D557">
        <v>29.947655000000001</v>
      </c>
      <c r="E557">
        <v>78.155635000000004</v>
      </c>
      <c r="F557">
        <f>IF(COUNTIF($C$5:C557,C557)=1,1,0)</f>
        <v>0</v>
      </c>
      <c r="G557" s="2" t="str">
        <f t="shared" si="16"/>
        <v/>
      </c>
      <c r="H557" s="2">
        <f>MAX(0, MyBattery - (EVCleanedDataset[[#This Row],[Distance(km)]]/VehicleRangeKm)*100)</f>
        <v>0</v>
      </c>
      <c r="I557" s="2">
        <f>6371*ACOS(SIN(RADIANS(MyLat))*SIN(RADIANS(EVCleanedDataset[[#This Row],[Latitude]]))+COS(RADIANS(MyLat))*COS(RADIANS(EVCleanedDataset[[#This Row],[Latitude]]))*COS(RADIANS(EVCleanedDataset[[#This Row],[Longitude]]-MyLong)))</f>
        <v>1846.766964780647</v>
      </c>
      <c r="J557">
        <f t="shared" si="17"/>
        <v>9</v>
      </c>
      <c r="K557" s="5">
        <f>((1-(EVCleanedDataset[[#This Row],[Distance(km)]]/MAX($I$5:$I$1121)))*0.4 + (1-(EVCleanedDataset[[#This Row],[QueueLength]]/MAX($J$5:$J$1121)))*0.3 + (EVCleanedDataset[[#This Row],[EstimatedBatteryOnArrival]]/100)*0.3 + (ROW()/10000000))*100</f>
        <v>7.6590605762278843</v>
      </c>
      <c r="L557" t="str">
        <f>IF(EVCleanedDataset[[#This Row],[Score]]&gt;50,"Yes","No")</f>
        <v>No</v>
      </c>
    </row>
    <row r="558" spans="1:12" x14ac:dyDescent="0.3">
      <c r="A558" t="s">
        <v>2973</v>
      </c>
      <c r="B558" t="s">
        <v>405</v>
      </c>
      <c r="C558" t="s">
        <v>1144</v>
      </c>
      <c r="D558">
        <v>23.848551</v>
      </c>
      <c r="E558">
        <v>86.441642000000002</v>
      </c>
      <c r="F558">
        <f>IF(COUNTIF($C$5:C558,C558)=1,1,0)</f>
        <v>1</v>
      </c>
      <c r="G558" s="2">
        <f t="shared" si="16"/>
        <v>1496.696469143491</v>
      </c>
      <c r="H558" s="2">
        <f>MAX(0, MyBattery - (EVCleanedDataset[[#This Row],[Distance(km)]]/VehicleRangeKm)*100)</f>
        <v>0</v>
      </c>
      <c r="I558" s="2">
        <f>6371*ACOS(SIN(RADIANS(MyLat))*SIN(RADIANS(EVCleanedDataset[[#This Row],[Latitude]]))+COS(RADIANS(MyLat))*COS(RADIANS(EVCleanedDataset[[#This Row],[Latitude]]))*COS(RADIANS(EVCleanedDataset[[#This Row],[Longitude]]-MyLong)))</f>
        <v>1496.696469143491</v>
      </c>
      <c r="J558">
        <f t="shared" si="17"/>
        <v>6</v>
      </c>
      <c r="K558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23.790628483674432</v>
      </c>
      <c r="L558" t="str">
        <f>IF(EVCleanedDataset[[#This Row],[Score]]&gt;50,"Yes","No")</f>
        <v>No</v>
      </c>
    </row>
    <row r="559" spans="1:12" x14ac:dyDescent="0.3">
      <c r="A559" t="s">
        <v>493</v>
      </c>
      <c r="B559" t="s">
        <v>511</v>
      </c>
      <c r="C559" t="s">
        <v>1136</v>
      </c>
      <c r="D559">
        <v>22.695975399999998</v>
      </c>
      <c r="E559">
        <v>75.842210300000005</v>
      </c>
      <c r="F559">
        <f>IF(COUNTIF($C$5:C559,C559)=1,1,0)</f>
        <v>0</v>
      </c>
      <c r="G559" s="2" t="str">
        <f t="shared" si="16"/>
        <v/>
      </c>
      <c r="H559" s="2">
        <f>MAX(0, MyBattery - (EVCleanedDataset[[#This Row],[Distance(km)]]/VehicleRangeKm)*100)</f>
        <v>0</v>
      </c>
      <c r="I559" s="2">
        <f>6371*ACOS(SIN(RADIANS(MyLat))*SIN(RADIANS(EVCleanedDataset[[#This Row],[Latitude]]))+COS(RADIANS(MyLat))*COS(RADIANS(EVCleanedDataset[[#This Row],[Latitude]]))*COS(RADIANS(EVCleanedDataset[[#This Row],[Longitude]]-MyLong)))</f>
        <v>1054.6242154947627</v>
      </c>
      <c r="J559">
        <f t="shared" si="17"/>
        <v>3</v>
      </c>
      <c r="K559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41.533626414117094</v>
      </c>
      <c r="L559" t="str">
        <f>IF(EVCleanedDataset[[#This Row],[Score]]&gt;50,"Yes","No")</f>
        <v>No</v>
      </c>
    </row>
    <row r="560" spans="1:12" x14ac:dyDescent="0.3">
      <c r="A560" t="s">
        <v>2231</v>
      </c>
      <c r="B560" t="s">
        <v>150</v>
      </c>
      <c r="C560" t="s">
        <v>2232</v>
      </c>
      <c r="D560">
        <v>12.6395692</v>
      </c>
      <c r="E560">
        <v>77.141376899999997</v>
      </c>
      <c r="F560">
        <f>IF(COUNTIF($C$5:C560,C560)=1,1,0)</f>
        <v>1</v>
      </c>
      <c r="G560" s="2">
        <f t="shared" si="16"/>
        <v>89.816573427916055</v>
      </c>
      <c r="H560" s="2">
        <f>MAX(0, MyBattery - (EVCleanedDataset[[#This Row],[Distance(km)]]/VehicleRangeKm)*100)</f>
        <v>40.061142190694646</v>
      </c>
      <c r="I560" s="2">
        <f>6371*ACOS(SIN(RADIANS(MyLat))*SIN(RADIANS(EVCleanedDataset[[#This Row],[Latitude]]))+COS(RADIANS(MyLat))*COS(RADIANS(EVCleanedDataset[[#This Row],[Latitude]]))*COS(RADIANS(EVCleanedDataset[[#This Row],[Longitude]]-MyLong)))</f>
        <v>89.816573427916055</v>
      </c>
      <c r="J560">
        <f t="shared" si="17"/>
        <v>0</v>
      </c>
      <c r="K560" s="5">
        <f>((1-(EVCleanedDataset[[#This Row],[Distance(km)]]/MAX($I$5:$I$1121)))*0.4 + (1-(EVCleanedDataset[[#This Row],[QueueLength]]/MAX($J$5:$J$1121)))*0.3 + (EVCleanedDataset[[#This Row],[EstimatedBatteryOnArrival]]/100)*0.3 + (ROW()/10000000))*100</f>
        <v>80.450786598971177</v>
      </c>
      <c r="L560" t="str">
        <f>IF(EVCleanedDataset[[#This Row],[Score]]&gt;50,"Yes","No")</f>
        <v>Yes</v>
      </c>
    </row>
    <row r="561" spans="1:12" x14ac:dyDescent="0.3">
      <c r="A561" t="s">
        <v>2770</v>
      </c>
      <c r="B561" t="s">
        <v>8</v>
      </c>
      <c r="C561" t="s">
        <v>2329</v>
      </c>
      <c r="D561">
        <v>28.3628</v>
      </c>
      <c r="E561">
        <v>77.314851000000004</v>
      </c>
      <c r="F561">
        <f>IF(COUNTIF($C$5:C561,C561)=1,1,0)</f>
        <v>0</v>
      </c>
      <c r="G561" s="2" t="str">
        <f t="shared" si="16"/>
        <v/>
      </c>
      <c r="H561" s="2">
        <f>MAX(0, MyBattery - (EVCleanedDataset[[#This Row],[Distance(km)]]/VehicleRangeKm)*100)</f>
        <v>0</v>
      </c>
      <c r="I561" s="2">
        <f>6371*ACOS(SIN(RADIANS(MyLat))*SIN(RADIANS(EVCleanedDataset[[#This Row],[Latitude]]))+COS(RADIANS(MyLat))*COS(RADIANS(EVCleanedDataset[[#This Row],[Latitude]]))*COS(RADIANS(EVCleanedDataset[[#This Row],[Longitude]]-MyLong)))</f>
        <v>1669.6042463644123</v>
      </c>
      <c r="J561">
        <f t="shared" si="17"/>
        <v>7</v>
      </c>
      <c r="K561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17.428809288847809</v>
      </c>
      <c r="L561" t="str">
        <f>IF(EVCleanedDataset[[#This Row],[Score]]&gt;50,"Yes","No")</f>
        <v>No</v>
      </c>
    </row>
    <row r="562" spans="1:12" x14ac:dyDescent="0.3">
      <c r="A562" t="s">
        <v>3024</v>
      </c>
      <c r="B562" t="s">
        <v>502</v>
      </c>
      <c r="C562" t="s">
        <v>1048</v>
      </c>
      <c r="D562">
        <v>15.8305662</v>
      </c>
      <c r="E562">
        <v>78.017989200000002</v>
      </c>
      <c r="F562">
        <f>IF(COUNTIF($C$5:C562,C562)=1,1,0)</f>
        <v>0</v>
      </c>
      <c r="G562" s="2" t="str">
        <f t="shared" si="16"/>
        <v/>
      </c>
      <c r="H562" s="2">
        <f>MAX(0, MyBattery - (EVCleanedDataset[[#This Row],[Distance(km)]]/VehicleRangeKm)*100)</f>
        <v>0</v>
      </c>
      <c r="I562" s="2">
        <f>6371*ACOS(SIN(RADIANS(MyLat))*SIN(RADIANS(EVCleanedDataset[[#This Row],[Latitude]]))+COS(RADIANS(MyLat))*COS(RADIANS(EVCleanedDataset[[#This Row],[Latitude]]))*COS(RADIANS(EVCleanedDataset[[#This Row],[Longitude]]-MyLong)))</f>
        <v>280.72605618424825</v>
      </c>
      <c r="J562">
        <f t="shared" si="17"/>
        <v>4</v>
      </c>
      <c r="K56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51.755311111529032</v>
      </c>
      <c r="L562" t="str">
        <f>IF(EVCleanedDataset[[#This Row],[Score]]&gt;50,"Yes","No")</f>
        <v>Yes</v>
      </c>
    </row>
    <row r="563" spans="1:12" x14ac:dyDescent="0.3">
      <c r="A563" t="s">
        <v>2770</v>
      </c>
      <c r="B563" t="s">
        <v>418</v>
      </c>
      <c r="C563" t="s">
        <v>2700</v>
      </c>
      <c r="D563">
        <v>25.7952561</v>
      </c>
      <c r="E563">
        <v>87.559301899999994</v>
      </c>
      <c r="F563">
        <f>IF(COUNTIF($C$5:C563,C563)=1,1,0)</f>
        <v>1</v>
      </c>
      <c r="G563" s="2">
        <f t="shared" si="16"/>
        <v>1735.3582440320736</v>
      </c>
      <c r="H563" s="2">
        <f>MAX(0, MyBattery - (EVCleanedDataset[[#This Row],[Distance(km)]]/VehicleRangeKm)*100)</f>
        <v>0</v>
      </c>
      <c r="I563" s="2">
        <f>6371*ACOS(SIN(RADIANS(MyLat))*SIN(RADIANS(EVCleanedDataset[[#This Row],[Latitude]]))+COS(RADIANS(MyLat))*COS(RADIANS(EVCleanedDataset[[#This Row],[Latitude]]))*COS(RADIANS(EVCleanedDataset[[#This Row],[Longitude]]-MyLong)))</f>
        <v>1735.3582440320736</v>
      </c>
      <c r="J563">
        <f t="shared" si="17"/>
        <v>1</v>
      </c>
      <c r="K56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36.277134274929082</v>
      </c>
      <c r="L563" t="str">
        <f>IF(EVCleanedDataset[[#This Row],[Score]]&gt;50,"Yes","No")</f>
        <v>No</v>
      </c>
    </row>
    <row r="564" spans="1:12" x14ac:dyDescent="0.3">
      <c r="A564" t="s">
        <v>3246</v>
      </c>
      <c r="B564" t="s">
        <v>8</v>
      </c>
      <c r="C564" t="s">
        <v>9</v>
      </c>
      <c r="D564">
        <v>28.451114</v>
      </c>
      <c r="E564">
        <v>77.100126000000003</v>
      </c>
      <c r="F564">
        <f>IF(COUNTIF($C$5:C564,C564)=1,1,0)</f>
        <v>0</v>
      </c>
      <c r="G564" s="2" t="str">
        <f t="shared" si="16"/>
        <v/>
      </c>
      <c r="H564" s="2">
        <f>MAX(0, MyBattery - (EVCleanedDataset[[#This Row],[Distance(km)]]/VehicleRangeKm)*100)</f>
        <v>0</v>
      </c>
      <c r="I564" s="2">
        <f>6371*ACOS(SIN(RADIANS(MyLat))*SIN(RADIANS(EVCleanedDataset[[#This Row],[Latitude]]))+COS(RADIANS(MyLat))*COS(RADIANS(EVCleanedDataset[[#This Row],[Latitude]]))*COS(RADIANS(EVCleanedDataset[[#This Row],[Longitude]]-MyLong)))</f>
        <v>1679.8747339171882</v>
      </c>
      <c r="J564">
        <f t="shared" si="17"/>
        <v>8</v>
      </c>
      <c r="K56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13.915616219154552</v>
      </c>
      <c r="L564" t="str">
        <f>IF(EVCleanedDataset[[#This Row],[Score]]&gt;50,"Yes","No")</f>
        <v>No</v>
      </c>
    </row>
    <row r="565" spans="1:12" x14ac:dyDescent="0.3">
      <c r="A565" t="s">
        <v>3336</v>
      </c>
      <c r="B565" t="s">
        <v>386</v>
      </c>
      <c r="C565" t="s">
        <v>1647</v>
      </c>
      <c r="D565">
        <v>8.8992141169527397</v>
      </c>
      <c r="E565">
        <v>76.612996744230301</v>
      </c>
      <c r="F565">
        <f>IF(COUNTIF($C$5:C565,C565)=1,1,0)</f>
        <v>0</v>
      </c>
      <c r="G565" s="2" t="str">
        <f t="shared" si="16"/>
        <v/>
      </c>
      <c r="H565" s="2">
        <f>MAX(0, MyBattery - (EVCleanedDataset[[#This Row],[Distance(km)]]/VehicleRangeKm)*100)</f>
        <v>0</v>
      </c>
      <c r="I565" s="2">
        <f>6371*ACOS(SIN(RADIANS(MyLat))*SIN(RADIANS(EVCleanedDataset[[#This Row],[Latitude]]))+COS(RADIANS(MyLat))*COS(RADIANS(EVCleanedDataset[[#This Row],[Latitude]]))*COS(RADIANS(EVCleanedDataset[[#This Row],[Longitude]]-MyLong)))</f>
        <v>504.97787871704816</v>
      </c>
      <c r="J565">
        <f t="shared" si="17"/>
        <v>5</v>
      </c>
      <c r="K565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44.494190230453903</v>
      </c>
      <c r="L565" t="str">
        <f>IF(EVCleanedDataset[[#This Row],[Score]]&gt;50,"Yes","No")</f>
        <v>No</v>
      </c>
    </row>
    <row r="566" spans="1:12" x14ac:dyDescent="0.3">
      <c r="A566" t="s">
        <v>2996</v>
      </c>
      <c r="B566" t="s">
        <v>68</v>
      </c>
      <c r="C566" t="s">
        <v>1288</v>
      </c>
      <c r="D566">
        <v>22.225263999999999</v>
      </c>
      <c r="E566">
        <v>70.801197000000002</v>
      </c>
      <c r="F566">
        <f>IF(COUNTIF($C$5:C566,C566)=1,1,0)</f>
        <v>0</v>
      </c>
      <c r="G566" s="2" t="str">
        <f t="shared" si="16"/>
        <v/>
      </c>
      <c r="H566" s="2">
        <f>MAX(0, MyBattery - (EVCleanedDataset[[#This Row],[Distance(km)]]/VehicleRangeKm)*100)</f>
        <v>0</v>
      </c>
      <c r="I566" s="2">
        <f>6371*ACOS(SIN(RADIANS(MyLat))*SIN(RADIANS(EVCleanedDataset[[#This Row],[Latitude]]))+COS(RADIANS(MyLat))*COS(RADIANS(EVCleanedDataset[[#This Row],[Latitude]]))*COS(RADIANS(EVCleanedDataset[[#This Row],[Longitude]]-MyLong)))</f>
        <v>1217.1501321214173</v>
      </c>
      <c r="J566">
        <f t="shared" si="17"/>
        <v>2</v>
      </c>
      <c r="K566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42.020354344419431</v>
      </c>
      <c r="L566" t="str">
        <f>IF(EVCleanedDataset[[#This Row],[Score]]&gt;50,"Yes","No")</f>
        <v>No</v>
      </c>
    </row>
    <row r="567" spans="1:12" x14ac:dyDescent="0.3">
      <c r="A567" t="s">
        <v>2480</v>
      </c>
      <c r="B567" t="s">
        <v>14</v>
      </c>
      <c r="C567" t="s">
        <v>214</v>
      </c>
      <c r="D567">
        <v>26.7775967</v>
      </c>
      <c r="E567">
        <v>75.839281299999996</v>
      </c>
      <c r="F567">
        <f>IF(COUNTIF($C$5:C567,C567)=1,1,0)</f>
        <v>0</v>
      </c>
      <c r="G567" s="2" t="str">
        <f t="shared" si="16"/>
        <v/>
      </c>
      <c r="H567" s="2">
        <f>MAX(0, MyBattery - (EVCleanedDataset[[#This Row],[Distance(km)]]/VehicleRangeKm)*100)</f>
        <v>0</v>
      </c>
      <c r="I567" s="2">
        <f>6371*ACOS(SIN(RADIANS(MyLat))*SIN(RADIANS(EVCleanedDataset[[#This Row],[Latitude]]))+COS(RADIANS(MyLat))*COS(RADIANS(EVCleanedDataset[[#This Row],[Latitude]]))*COS(RADIANS(EVCleanedDataset[[#This Row],[Longitude]]-MyLong)))</f>
        <v>1503.6096697417977</v>
      </c>
      <c r="J567">
        <f t="shared" si="17"/>
        <v>9</v>
      </c>
      <c r="K56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13.669632330106534</v>
      </c>
      <c r="L567" t="str">
        <f>IF(EVCleanedDataset[[#This Row],[Score]]&gt;50,"Yes","No")</f>
        <v>No</v>
      </c>
    </row>
    <row r="568" spans="1:12" x14ac:dyDescent="0.3">
      <c r="A568" t="s">
        <v>841</v>
      </c>
      <c r="B568" t="s">
        <v>105</v>
      </c>
      <c r="C568" t="s">
        <v>105</v>
      </c>
      <c r="D568">
        <v>15.2697635073183</v>
      </c>
      <c r="E568">
        <v>73.954950448685295</v>
      </c>
      <c r="F568">
        <f>IF(COUNTIF($C$5:C568,C568)=1,1,0)</f>
        <v>0</v>
      </c>
      <c r="G568" s="2" t="str">
        <f t="shared" si="16"/>
        <v/>
      </c>
      <c r="H568" s="2">
        <f>MAX(0, MyBattery - (EVCleanedDataset[[#This Row],[Distance(km)]]/VehicleRangeKm)*100)</f>
        <v>0</v>
      </c>
      <c r="I568" s="2">
        <f>6371*ACOS(SIN(RADIANS(MyLat))*SIN(RADIANS(EVCleanedDataset[[#This Row],[Latitude]]))+COS(RADIANS(MyLat))*COS(RADIANS(EVCleanedDataset[[#This Row],[Latitude]]))*COS(RADIANS(EVCleanedDataset[[#This Row],[Longitude]]-MyLong)))</f>
        <v>441.12263347114526</v>
      </c>
      <c r="J568">
        <f t="shared" si="17"/>
        <v>6</v>
      </c>
      <c r="K568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42.279324865469874</v>
      </c>
      <c r="L568" t="str">
        <f>IF(EVCleanedDataset[[#This Row],[Score]]&gt;50,"Yes","No")</f>
        <v>No</v>
      </c>
    </row>
    <row r="569" spans="1:12" x14ac:dyDescent="0.3">
      <c r="A569" t="s">
        <v>3185</v>
      </c>
      <c r="B569" t="s">
        <v>45</v>
      </c>
      <c r="C569" t="s">
        <v>45</v>
      </c>
      <c r="D569">
        <v>28.572793000000001</v>
      </c>
      <c r="E569">
        <v>77.208662000000004</v>
      </c>
      <c r="F569">
        <f>IF(COUNTIF($C$5:C569,C569)=1,1,0)</f>
        <v>0</v>
      </c>
      <c r="G569" s="2" t="str">
        <f t="shared" si="16"/>
        <v/>
      </c>
      <c r="H569" s="2">
        <f>MAX(0, MyBattery - (EVCleanedDataset[[#This Row],[Distance(km)]]/VehicleRangeKm)*100)</f>
        <v>0</v>
      </c>
      <c r="I569" s="2">
        <f>6371*ACOS(SIN(RADIANS(MyLat))*SIN(RADIANS(EVCleanedDataset[[#This Row],[Latitude]]))+COS(RADIANS(MyLat))*COS(RADIANS(EVCleanedDataset[[#This Row],[Latitude]]))*COS(RADIANS(EVCleanedDataset[[#This Row],[Longitude]]-MyLong)))</f>
        <v>1693.136843793704</v>
      </c>
      <c r="J569">
        <f t="shared" si="17"/>
        <v>3</v>
      </c>
      <c r="K56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30.350044259112565</v>
      </c>
      <c r="L569" t="str">
        <f>IF(EVCleanedDataset[[#This Row],[Score]]&gt;50,"Yes","No")</f>
        <v>No</v>
      </c>
    </row>
    <row r="570" spans="1:12" x14ac:dyDescent="0.3">
      <c r="A570" t="s">
        <v>3338</v>
      </c>
      <c r="B570" t="s">
        <v>45</v>
      </c>
      <c r="C570" t="s">
        <v>45</v>
      </c>
      <c r="D570">
        <v>28.570513099999999</v>
      </c>
      <c r="E570">
        <v>77.236888800000003</v>
      </c>
      <c r="F570">
        <f>IF(COUNTIF($C$5:C570,C570)=1,1,0)</f>
        <v>0</v>
      </c>
      <c r="G570" s="2" t="str">
        <f t="shared" si="16"/>
        <v/>
      </c>
      <c r="H570" s="2">
        <f>MAX(0, MyBattery - (EVCleanedDataset[[#This Row],[Distance(km)]]/VehicleRangeKm)*100)</f>
        <v>0</v>
      </c>
      <c r="I570" s="2">
        <f>6371*ACOS(SIN(RADIANS(MyLat))*SIN(RADIANS(EVCleanedDataset[[#This Row],[Latitude]]))+COS(RADIANS(MyLat))*COS(RADIANS(EVCleanedDataset[[#This Row],[Latitude]]))*COS(RADIANS(EVCleanedDataset[[#This Row],[Longitude]]-MyLong)))</f>
        <v>1692.8272847354751</v>
      </c>
      <c r="J570">
        <f t="shared" si="17"/>
        <v>0</v>
      </c>
      <c r="K57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40.355476250725559</v>
      </c>
      <c r="L570" t="str">
        <f>IF(EVCleanedDataset[[#This Row],[Score]]&gt;50,"Yes","No")</f>
        <v>No</v>
      </c>
    </row>
    <row r="571" spans="1:12" x14ac:dyDescent="0.3">
      <c r="A571" t="s">
        <v>3111</v>
      </c>
      <c r="B571" t="s">
        <v>45</v>
      </c>
      <c r="C571" t="s">
        <v>46</v>
      </c>
      <c r="D571">
        <v>28.585564959999999</v>
      </c>
      <c r="E571">
        <v>77.191323400000002</v>
      </c>
      <c r="F571">
        <f>IF(COUNTIF($C$5:C571,C571)=1,1,0)</f>
        <v>0</v>
      </c>
      <c r="G571" s="2" t="str">
        <f t="shared" si="16"/>
        <v/>
      </c>
      <c r="H571" s="2">
        <f>MAX(0, MyBattery - (EVCleanedDataset[[#This Row],[Distance(km)]]/VehicleRangeKm)*100)</f>
        <v>0</v>
      </c>
      <c r="I571" s="2">
        <f>6371*ACOS(SIN(RADIANS(MyLat))*SIN(RADIANS(EVCleanedDataset[[#This Row],[Latitude]]))+COS(RADIANS(MyLat))*COS(RADIANS(EVCleanedDataset[[#This Row],[Latitude]]))*COS(RADIANS(EVCleanedDataset[[#This Row],[Longitude]]-MyLong)))</f>
        <v>1694.5936147083225</v>
      </c>
      <c r="J571">
        <f t="shared" si="17"/>
        <v>7</v>
      </c>
      <c r="K57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16.991215278696174</v>
      </c>
      <c r="L571" t="str">
        <f>IF(EVCleanedDataset[[#This Row],[Score]]&gt;50,"Yes","No")</f>
        <v>No</v>
      </c>
    </row>
    <row r="572" spans="1:12" x14ac:dyDescent="0.3">
      <c r="A572" t="s">
        <v>3113</v>
      </c>
      <c r="B572" t="s">
        <v>45</v>
      </c>
      <c r="C572" t="s">
        <v>46</v>
      </c>
      <c r="D572">
        <v>28.583518000000002</v>
      </c>
      <c r="E572">
        <v>77.222057000000007</v>
      </c>
      <c r="F572">
        <f>IF(COUNTIF($C$5:C572,C572)=1,1,0)</f>
        <v>0</v>
      </c>
      <c r="G572" s="2" t="str">
        <f t="shared" si="16"/>
        <v/>
      </c>
      <c r="H572" s="2">
        <f>MAX(0, MyBattery - (EVCleanedDataset[[#This Row],[Distance(km)]]/VehicleRangeKm)*100)</f>
        <v>0</v>
      </c>
      <c r="I572" s="2">
        <f>6371*ACOS(SIN(RADIANS(MyLat))*SIN(RADIANS(EVCleanedDataset[[#This Row],[Latitude]]))+COS(RADIANS(MyLat))*COS(RADIANS(EVCleanedDataset[[#This Row],[Latitude]]))*COS(RADIANS(EVCleanedDataset[[#This Row],[Longitude]]-MyLong)))</f>
        <v>1694.3019152913873</v>
      </c>
      <c r="J572">
        <f t="shared" si="17"/>
        <v>4</v>
      </c>
      <c r="K57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26.996334454958653</v>
      </c>
      <c r="L572" t="str">
        <f>IF(EVCleanedDataset[[#This Row],[Score]]&gt;50,"Yes","No")</f>
        <v>No</v>
      </c>
    </row>
    <row r="573" spans="1:12" x14ac:dyDescent="0.3">
      <c r="A573" t="s">
        <v>3112</v>
      </c>
      <c r="B573" t="s">
        <v>45</v>
      </c>
      <c r="C573" t="s">
        <v>46</v>
      </c>
      <c r="D573">
        <v>28.58664525</v>
      </c>
      <c r="E573">
        <v>77.193607810000003</v>
      </c>
      <c r="F573">
        <f>IF(COUNTIF($C$5:C573,C573)=1,1,0)</f>
        <v>0</v>
      </c>
      <c r="G573" s="2" t="str">
        <f t="shared" si="16"/>
        <v/>
      </c>
      <c r="H573" s="2">
        <f>MAX(0, MyBattery - (EVCleanedDataset[[#This Row],[Distance(km)]]/VehicleRangeKm)*100)</f>
        <v>0</v>
      </c>
      <c r="I573" s="2">
        <f>6371*ACOS(SIN(RADIANS(MyLat))*SIN(RADIANS(EVCleanedDataset[[#This Row],[Latitude]]))+COS(RADIANS(MyLat))*COS(RADIANS(EVCleanedDataset[[#This Row],[Latitude]]))*COS(RADIANS(EVCleanedDataset[[#This Row],[Longitude]]-MyLong)))</f>
        <v>1694.708735811138</v>
      </c>
      <c r="J573">
        <f t="shared" si="17"/>
        <v>1</v>
      </c>
      <c r="K57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36.989218908516222</v>
      </c>
      <c r="L573" t="str">
        <f>IF(EVCleanedDataset[[#This Row],[Score]]&gt;50,"Yes","No")</f>
        <v>No</v>
      </c>
    </row>
    <row r="574" spans="1:12" x14ac:dyDescent="0.3">
      <c r="A574" t="s">
        <v>3115</v>
      </c>
      <c r="B574" t="s">
        <v>45</v>
      </c>
      <c r="C574" t="s">
        <v>46</v>
      </c>
      <c r="D574">
        <v>28.588117</v>
      </c>
      <c r="E574">
        <v>77.217563999999996</v>
      </c>
      <c r="F574">
        <f>IF(COUNTIF($C$5:C574,C574)=1,1,0)</f>
        <v>0</v>
      </c>
      <c r="G574" s="2" t="str">
        <f t="shared" si="16"/>
        <v/>
      </c>
      <c r="H574" s="2">
        <f>MAX(0, MyBattery - (EVCleanedDataset[[#This Row],[Distance(km)]]/VehicleRangeKm)*100)</f>
        <v>0</v>
      </c>
      <c r="I574" s="2">
        <f>6371*ACOS(SIN(RADIANS(MyLat))*SIN(RADIANS(EVCleanedDataset[[#This Row],[Latitude]]))+COS(RADIANS(MyLat))*COS(RADIANS(EVCleanedDataset[[#This Row],[Latitude]]))*COS(RADIANS(EVCleanedDataset[[#This Row],[Longitude]]-MyLong)))</f>
        <v>1694.8221971827754</v>
      </c>
      <c r="J574">
        <f t="shared" si="17"/>
        <v>8</v>
      </c>
      <c r="K57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13.653908275541472</v>
      </c>
      <c r="L574" t="str">
        <f>IF(EVCleanedDataset[[#This Row],[Score]]&gt;50,"Yes","No")</f>
        <v>No</v>
      </c>
    </row>
    <row r="575" spans="1:12" x14ac:dyDescent="0.3">
      <c r="A575" t="s">
        <v>2208</v>
      </c>
      <c r="B575" t="s">
        <v>68</v>
      </c>
      <c r="C575" t="s">
        <v>1288</v>
      </c>
      <c r="D575">
        <v>22.296704800000001</v>
      </c>
      <c r="E575">
        <v>70.799122199999999</v>
      </c>
      <c r="F575">
        <f>IF(COUNTIF($C$5:C575,C575)=1,1,0)</f>
        <v>0</v>
      </c>
      <c r="G575" s="2" t="str">
        <f t="shared" si="16"/>
        <v/>
      </c>
      <c r="H575" s="2">
        <f>MAX(0, MyBattery - (EVCleanedDataset[[#This Row],[Distance(km)]]/VehicleRangeKm)*100)</f>
        <v>0</v>
      </c>
      <c r="I575" s="2">
        <f>6371*ACOS(SIN(RADIANS(MyLat))*SIN(RADIANS(EVCleanedDataset[[#This Row],[Latitude]]))+COS(RADIANS(MyLat))*COS(RADIANS(EVCleanedDataset[[#This Row],[Latitude]]))*COS(RADIANS(EVCleanedDataset[[#This Row],[Longitude]]-MyLong)))</f>
        <v>1223.6357999490713</v>
      </c>
      <c r="J575">
        <f t="shared" si="17"/>
        <v>5</v>
      </c>
      <c r="K575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31.906846516698057</v>
      </c>
      <c r="L575" t="str">
        <f>IF(EVCleanedDataset[[#This Row],[Score]]&gt;50,"Yes","No")</f>
        <v>No</v>
      </c>
    </row>
    <row r="576" spans="1:12" x14ac:dyDescent="0.3">
      <c r="A576" t="s">
        <v>2371</v>
      </c>
      <c r="B576" t="s">
        <v>41</v>
      </c>
      <c r="C576" t="s">
        <v>119</v>
      </c>
      <c r="D576">
        <v>18.968862699999999</v>
      </c>
      <c r="E576">
        <v>72.820713799999993</v>
      </c>
      <c r="F576">
        <f>IF(COUNTIF($C$5:C576,C576)=1,1,0)</f>
        <v>0</v>
      </c>
      <c r="G576" s="2" t="str">
        <f t="shared" si="16"/>
        <v/>
      </c>
      <c r="H576" s="2">
        <f>MAX(0, MyBattery - (EVCleanedDataset[[#This Row],[Distance(km)]]/VehicleRangeKm)*100)</f>
        <v>0</v>
      </c>
      <c r="I576" s="2">
        <f>6371*ACOS(SIN(RADIANS(MyLat))*SIN(RADIANS(EVCleanedDataset[[#This Row],[Latitude]]))+COS(RADIANS(MyLat))*COS(RADIANS(EVCleanedDataset[[#This Row],[Latitude]]))*COS(RADIANS(EVCleanedDataset[[#This Row],[Longitude]]-MyLong)))</f>
        <v>802.49301093888255</v>
      </c>
      <c r="J576">
        <f t="shared" si="17"/>
        <v>2</v>
      </c>
      <c r="K57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49.283260499043372</v>
      </c>
      <c r="L576" t="str">
        <f>IF(EVCleanedDataset[[#This Row],[Score]]&gt;50,"Yes","No")</f>
        <v>No</v>
      </c>
    </row>
    <row r="577" spans="1:12" x14ac:dyDescent="0.3">
      <c r="A577" t="s">
        <v>3138</v>
      </c>
      <c r="B577" t="s">
        <v>45</v>
      </c>
      <c r="C577" t="s">
        <v>46</v>
      </c>
      <c r="D577">
        <v>28.633726769999999</v>
      </c>
      <c r="E577">
        <v>77.221938739999999</v>
      </c>
      <c r="F577">
        <f>IF(COUNTIF($C$5:C577,C577)=1,1,0)</f>
        <v>0</v>
      </c>
      <c r="G577" s="2" t="str">
        <f t="shared" si="16"/>
        <v/>
      </c>
      <c r="H577" s="2">
        <f>MAX(0, MyBattery - (EVCleanedDataset[[#This Row],[Distance(km)]]/VehicleRangeKm)*100)</f>
        <v>0</v>
      </c>
      <c r="I577" s="2">
        <f>6371*ACOS(SIN(RADIANS(MyLat))*SIN(RADIANS(EVCleanedDataset[[#This Row],[Latitude]]))+COS(RADIANS(MyLat))*COS(RADIANS(EVCleanedDataset[[#This Row],[Latitude]]))*COS(RADIANS(EVCleanedDataset[[#This Row],[Longitude]]-MyLong)))</f>
        <v>1699.8839542021567</v>
      </c>
      <c r="J577">
        <f t="shared" si="17"/>
        <v>9</v>
      </c>
      <c r="K57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10.231947209938316</v>
      </c>
      <c r="L577" t="str">
        <f>IF(EVCleanedDataset[[#This Row],[Score]]&gt;50,"Yes","No")</f>
        <v>No</v>
      </c>
    </row>
    <row r="578" spans="1:12" x14ac:dyDescent="0.3">
      <c r="A578" t="s">
        <v>3143</v>
      </c>
      <c r="B578" t="s">
        <v>45</v>
      </c>
      <c r="C578" t="s">
        <v>46</v>
      </c>
      <c r="D578">
        <v>28.632964319999999</v>
      </c>
      <c r="E578">
        <v>77.217962409999998</v>
      </c>
      <c r="F578">
        <f>IF(COUNTIF($C$5:C578,C578)=1,1,0)</f>
        <v>0</v>
      </c>
      <c r="G578" s="2" t="str">
        <f t="shared" si="16"/>
        <v/>
      </c>
      <c r="H578" s="2">
        <f>MAX(0, MyBattery - (EVCleanedDataset[[#This Row],[Distance(km)]]/VehicleRangeKm)*100)</f>
        <v>0</v>
      </c>
      <c r="I578" s="2">
        <f>6371*ACOS(SIN(RADIANS(MyLat))*SIN(RADIANS(EVCleanedDataset[[#This Row],[Latitude]]))+COS(RADIANS(MyLat))*COS(RADIANS(EVCleanedDataset[[#This Row],[Latitude]]))*COS(RADIANS(EVCleanedDataset[[#This Row],[Longitude]]-MyLong)))</f>
        <v>1699.8071288175365</v>
      </c>
      <c r="J578">
        <f t="shared" si="17"/>
        <v>6</v>
      </c>
      <c r="K57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20.233302822608998</v>
      </c>
      <c r="L578" t="str">
        <f>IF(EVCleanedDataset[[#This Row],[Score]]&gt;50,"Yes","No")</f>
        <v>No</v>
      </c>
    </row>
    <row r="579" spans="1:12" x14ac:dyDescent="0.3">
      <c r="A579" t="s">
        <v>918</v>
      </c>
      <c r="B579" t="s">
        <v>45</v>
      </c>
      <c r="C579" t="s">
        <v>45</v>
      </c>
      <c r="D579">
        <v>28.6486023</v>
      </c>
      <c r="E579">
        <v>77.114701400000001</v>
      </c>
      <c r="F579">
        <f>IF(COUNTIF($C$5:C579,C579)=1,1,0)</f>
        <v>0</v>
      </c>
      <c r="G579" s="2" t="str">
        <f t="shared" si="16"/>
        <v/>
      </c>
      <c r="H579" s="2">
        <f>MAX(0, MyBattery - (EVCleanedDataset[[#This Row],[Distance(km)]]/VehicleRangeKm)*100)</f>
        <v>0</v>
      </c>
      <c r="I579" s="2">
        <f>6371*ACOS(SIN(RADIANS(MyLat))*SIN(RADIANS(EVCleanedDataset[[#This Row],[Latitude]]))+COS(RADIANS(MyLat))*COS(RADIANS(EVCleanedDataset[[#This Row],[Latitude]]))*COS(RADIANS(EVCleanedDataset[[#This Row],[Longitude]]-MyLong)))</f>
        <v>1701.7862687989084</v>
      </c>
      <c r="J579">
        <f t="shared" si="17"/>
        <v>3</v>
      </c>
      <c r="K57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30.198647772129277</v>
      </c>
      <c r="L579" t="str">
        <f>IF(EVCleanedDataset[[#This Row],[Score]]&gt;50,"Yes","No")</f>
        <v>No</v>
      </c>
    </row>
    <row r="580" spans="1:12" x14ac:dyDescent="0.3">
      <c r="A580" t="s">
        <v>3140</v>
      </c>
      <c r="B580" t="s">
        <v>45</v>
      </c>
      <c r="C580" t="s">
        <v>46</v>
      </c>
      <c r="D580">
        <v>28.63410545</v>
      </c>
      <c r="E580">
        <v>77.220862280000006</v>
      </c>
      <c r="F580">
        <f>IF(COUNTIF($C$5:C580,C580)=1,1,0)</f>
        <v>0</v>
      </c>
      <c r="G580" s="2" t="str">
        <f t="shared" si="16"/>
        <v/>
      </c>
      <c r="H580" s="2">
        <f>MAX(0, MyBattery - (EVCleanedDataset[[#This Row],[Distance(km)]]/VehicleRangeKm)*100)</f>
        <v>0</v>
      </c>
      <c r="I580" s="2">
        <f>6371*ACOS(SIN(RADIANS(MyLat))*SIN(RADIANS(EVCleanedDataset[[#This Row],[Latitude]]))+COS(RADIANS(MyLat))*COS(RADIANS(EVCleanedDataset[[#This Row],[Latitude]]))*COS(RADIANS(EVCleanedDataset[[#This Row],[Longitude]]-MyLong)))</f>
        <v>1699.9281916748771</v>
      </c>
      <c r="J580">
        <f t="shared" si="17"/>
        <v>0</v>
      </c>
      <c r="K58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40.231202381356518</v>
      </c>
      <c r="L580" t="str">
        <f>IF(EVCleanedDataset[[#This Row],[Score]]&gt;50,"Yes","No")</f>
        <v>No</v>
      </c>
    </row>
    <row r="581" spans="1:12" x14ac:dyDescent="0.3">
      <c r="A581" t="s">
        <v>3142</v>
      </c>
      <c r="B581" t="s">
        <v>45</v>
      </c>
      <c r="C581" t="s">
        <v>46</v>
      </c>
      <c r="D581">
        <v>28.634576020000001</v>
      </c>
      <c r="E581">
        <v>77.220624509999993</v>
      </c>
      <c r="F581">
        <f>IF(COUNTIF($C$5:C581,C581)=1,1,0)</f>
        <v>0</v>
      </c>
      <c r="G581" s="2" t="str">
        <f t="shared" ref="G581:G644" si="18">IF(F581=1, IF(C581=MyCity, "", _xlfn.MINIFS($I$5:$I$1121,$C$5:$C$1121,C581)), "")</f>
        <v/>
      </c>
      <c r="H581" s="2">
        <f>MAX(0, MyBattery - (EVCleanedDataset[[#This Row],[Distance(km)]]/VehicleRangeKm)*100)</f>
        <v>0</v>
      </c>
      <c r="I581" s="2">
        <f>6371*ACOS(SIN(RADIANS(MyLat))*SIN(RADIANS(EVCleanedDataset[[#This Row],[Latitude]]))+COS(RADIANS(MyLat))*COS(RADIANS(EVCleanedDataset[[#This Row],[Latitude]]))*COS(RADIANS(EVCleanedDataset[[#This Row],[Longitude]]-MyLong)))</f>
        <v>1699.9809791929285</v>
      </c>
      <c r="J581">
        <f t="shared" ref="J581:J644" si="19">MOD(ROW()*7,10)</f>
        <v>7</v>
      </c>
      <c r="K58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16.896954463610172</v>
      </c>
      <c r="L581" t="str">
        <f>IF(EVCleanedDataset[[#This Row],[Score]]&gt;50,"Yes","No")</f>
        <v>No</v>
      </c>
    </row>
    <row r="582" spans="1:12" x14ac:dyDescent="0.3">
      <c r="A582" t="s">
        <v>1179</v>
      </c>
      <c r="B582" t="s">
        <v>14</v>
      </c>
      <c r="C582" t="s">
        <v>214</v>
      </c>
      <c r="D582">
        <v>26.864372199999998</v>
      </c>
      <c r="E582">
        <v>75.795770300000001</v>
      </c>
      <c r="F582">
        <f>IF(COUNTIF($C$5:C582,C582)=1,1,0)</f>
        <v>0</v>
      </c>
      <c r="G582" s="2" t="str">
        <f t="shared" si="18"/>
        <v/>
      </c>
      <c r="H582" s="2">
        <f>MAX(0, MyBattery - (EVCleanedDataset[[#This Row],[Distance(km)]]/VehicleRangeKm)*100)</f>
        <v>0</v>
      </c>
      <c r="I582" s="2">
        <f>6371*ACOS(SIN(RADIANS(MyLat))*SIN(RADIANS(EVCleanedDataset[[#This Row],[Latitude]]))+COS(RADIANS(MyLat))*COS(RADIANS(EVCleanedDataset[[#This Row],[Latitude]]))*COS(RADIANS(EVCleanedDataset[[#This Row],[Longitude]]-MyLong)))</f>
        <v>1513.7210981691421</v>
      </c>
      <c r="J582">
        <f t="shared" si="19"/>
        <v>4</v>
      </c>
      <c r="K582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30.15934521424386</v>
      </c>
      <c r="L582" t="str">
        <f>IF(EVCleanedDataset[[#This Row],[Score]]&gt;50,"Yes","No")</f>
        <v>No</v>
      </c>
    </row>
    <row r="583" spans="1:12" x14ac:dyDescent="0.3">
      <c r="A583" t="s">
        <v>2770</v>
      </c>
      <c r="B583" t="s">
        <v>45</v>
      </c>
      <c r="C583" t="s">
        <v>45</v>
      </c>
      <c r="D583">
        <v>28.659123300000001</v>
      </c>
      <c r="E583">
        <v>77.143638800000005</v>
      </c>
      <c r="F583">
        <f>IF(COUNTIF($C$5:C583,C583)=1,1,0)</f>
        <v>0</v>
      </c>
      <c r="G583" s="2" t="str">
        <f t="shared" si="18"/>
        <v/>
      </c>
      <c r="H583" s="2">
        <f>MAX(0, MyBattery - (EVCleanedDataset[[#This Row],[Distance(km)]]/VehicleRangeKm)*100)</f>
        <v>0</v>
      </c>
      <c r="I583" s="2">
        <f>6371*ACOS(SIN(RADIANS(MyLat))*SIN(RADIANS(EVCleanedDataset[[#This Row],[Latitude]]))+COS(RADIANS(MyLat))*COS(RADIANS(EVCleanedDataset[[#This Row],[Latitude]]))*COS(RADIANS(EVCleanedDataset[[#This Row],[Longitude]]-MyLong)))</f>
        <v>1702.881590129595</v>
      </c>
      <c r="J583">
        <f t="shared" si="19"/>
        <v>1</v>
      </c>
      <c r="K58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36.846169656730424</v>
      </c>
      <c r="L583" t="str">
        <f>IF(EVCleanedDataset[[#This Row],[Score]]&gt;50,"Yes","No")</f>
        <v>No</v>
      </c>
    </row>
    <row r="584" spans="1:12" x14ac:dyDescent="0.3">
      <c r="A584" t="s">
        <v>3385</v>
      </c>
      <c r="B584" t="s">
        <v>502</v>
      </c>
      <c r="C584" t="s">
        <v>1346</v>
      </c>
      <c r="D584">
        <v>13.6226445</v>
      </c>
      <c r="E584">
        <v>79.414697000000004</v>
      </c>
      <c r="F584">
        <f>IF(COUNTIF($C$5:C584,C584)=1,1,0)</f>
        <v>0</v>
      </c>
      <c r="G584" s="2" t="str">
        <f t="shared" si="18"/>
        <v/>
      </c>
      <c r="H584" s="2">
        <f>MAX(0, MyBattery - (EVCleanedDataset[[#This Row],[Distance(km)]]/VehicleRangeKm)*100)</f>
        <v>1.5853757408251852</v>
      </c>
      <c r="I584" s="2">
        <f>6371*ACOS(SIN(RADIANS(MyLat))*SIN(RADIANS(EVCleanedDataset[[#This Row],[Latitude]]))+COS(RADIANS(MyLat))*COS(RADIANS(EVCleanedDataset[[#This Row],[Latitude]]))*COS(RADIANS(EVCleanedDataset[[#This Row],[Longitude]]-MyLong)))</f>
        <v>205.24387277752444</v>
      </c>
      <c r="J584">
        <f t="shared" si="19"/>
        <v>8</v>
      </c>
      <c r="K584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40.219896721095623</v>
      </c>
      <c r="L584" t="str">
        <f>IF(EVCleanedDataset[[#This Row],[Score]]&gt;50,"Yes","No")</f>
        <v>No</v>
      </c>
    </row>
    <row r="585" spans="1:12" x14ac:dyDescent="0.3">
      <c r="A585" t="s">
        <v>3182</v>
      </c>
      <c r="B585" t="s">
        <v>150</v>
      </c>
      <c r="C585" t="s">
        <v>1341</v>
      </c>
      <c r="D585">
        <v>13.032111029999999</v>
      </c>
      <c r="E585">
        <v>77.527482840000005</v>
      </c>
      <c r="F585">
        <f>IF(COUNTIF($C$5:C585,C585)=1,1,0)</f>
        <v>0</v>
      </c>
      <c r="G585" s="2" t="str">
        <f t="shared" si="18"/>
        <v/>
      </c>
      <c r="H585" s="2">
        <f>MAX(0, MyBattery - (EVCleanedDataset[[#This Row],[Distance(km)]]/VehicleRangeKm)*100)</f>
        <v>58.244571890844888</v>
      </c>
      <c r="I585" s="2">
        <f>6371*ACOS(SIN(RADIANS(MyLat))*SIN(RADIANS(EVCleanedDataset[[#This Row],[Latitude]]))+COS(RADIANS(MyLat))*COS(RADIANS(EVCleanedDataset[[#This Row],[Latitude]]))*COS(RADIANS(EVCleanedDataset[[#This Row],[Longitude]]-MyLong)))</f>
        <v>35.266284327465335</v>
      </c>
      <c r="J585">
        <f t="shared" si="19"/>
        <v>5</v>
      </c>
      <c r="K585" s="5">
        <f>((1-(EVCleanedDataset[[#This Row],[Distance(km)]]/MAX($I$5:$I$1121)))*0.4 + (1-(EVCleanedDataset[[#This Row],[QueueLength]]/MAX($J$5:$J$1121)))*0.3 + (EVCleanedDataset[[#This Row],[EstimatedBatteryOnArrival]]/100)*0.3 + (ROW()/10000000))*100</f>
        <v>70.194858558766398</v>
      </c>
      <c r="L585" t="str">
        <f>IF(EVCleanedDataset[[#This Row],[Score]]&gt;50,"Yes","No")</f>
        <v>Yes</v>
      </c>
    </row>
    <row r="586" spans="1:12" x14ac:dyDescent="0.3">
      <c r="A586" t="s">
        <v>530</v>
      </c>
      <c r="B586" t="s">
        <v>41</v>
      </c>
      <c r="C586" t="s">
        <v>119</v>
      </c>
      <c r="D586">
        <v>19.052316305375999</v>
      </c>
      <c r="E586">
        <v>72.901635810936796</v>
      </c>
      <c r="F586">
        <f>IF(COUNTIF($C$5:C586,C586)=1,1,0)</f>
        <v>0</v>
      </c>
      <c r="G586" s="2" t="str">
        <f t="shared" si="18"/>
        <v/>
      </c>
      <c r="H586" s="2">
        <f>MAX(0, MyBattery - (EVCleanedDataset[[#This Row],[Distance(km)]]/VehicleRangeKm)*100)</f>
        <v>0</v>
      </c>
      <c r="I586" s="2">
        <f>6371*ACOS(SIN(RADIANS(MyLat))*SIN(RADIANS(EVCleanedDataset[[#This Row],[Latitude]]))+COS(RADIANS(MyLat))*COS(RADIANS(EVCleanedDataset[[#This Row],[Latitude]]))*COS(RADIANS(EVCleanedDataset[[#This Row],[Longitude]]-MyLong)))</f>
        <v>804.32819239159994</v>
      </c>
      <c r="J586">
        <f t="shared" si="19"/>
        <v>2</v>
      </c>
      <c r="K58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49.251216912285152</v>
      </c>
      <c r="L586" t="str">
        <f>IF(EVCleanedDataset[[#This Row],[Score]]&gt;50,"Yes","No")</f>
        <v>No</v>
      </c>
    </row>
    <row r="587" spans="1:12" x14ac:dyDescent="0.3">
      <c r="A587" t="s">
        <v>2379</v>
      </c>
      <c r="B587" t="s">
        <v>41</v>
      </c>
      <c r="C587" t="s">
        <v>119</v>
      </c>
      <c r="D587">
        <v>19.047256699999998</v>
      </c>
      <c r="E587">
        <v>72.878382900000005</v>
      </c>
      <c r="F587">
        <f>IF(COUNTIF($C$5:C587,C587)=1,1,0)</f>
        <v>0</v>
      </c>
      <c r="G587" s="2" t="str">
        <f t="shared" si="18"/>
        <v/>
      </c>
      <c r="H587" s="2">
        <f>MAX(0, MyBattery - (EVCleanedDataset[[#This Row],[Distance(km)]]/VehicleRangeKm)*100)</f>
        <v>0</v>
      </c>
      <c r="I587" s="2">
        <f>6371*ACOS(SIN(RADIANS(MyLat))*SIN(RADIANS(EVCleanedDataset[[#This Row],[Latitude]]))+COS(RADIANS(MyLat))*COS(RADIANS(EVCleanedDataset[[#This Row],[Latitude]]))*COS(RADIANS(EVCleanedDataset[[#This Row],[Longitude]]-MyLong)))</f>
        <v>805.41851917905592</v>
      </c>
      <c r="J587">
        <f t="shared" si="19"/>
        <v>9</v>
      </c>
      <c r="K587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25.898796277355014</v>
      </c>
      <c r="L587" t="str">
        <f>IF(EVCleanedDataset[[#This Row],[Score]]&gt;50,"Yes","No")</f>
        <v>No</v>
      </c>
    </row>
    <row r="588" spans="1:12" x14ac:dyDescent="0.3">
      <c r="A588" t="s">
        <v>3276</v>
      </c>
      <c r="B588" t="s">
        <v>41</v>
      </c>
      <c r="C588" t="s">
        <v>119</v>
      </c>
      <c r="D588">
        <v>19.059957799999999</v>
      </c>
      <c r="E588">
        <v>72.864791600000004</v>
      </c>
      <c r="F588">
        <f>IF(COUNTIF($C$5:C588,C588)=1,1,0)</f>
        <v>0</v>
      </c>
      <c r="G588" s="2" t="str">
        <f t="shared" si="18"/>
        <v/>
      </c>
      <c r="H588" s="2">
        <f>MAX(0, MyBattery - (EVCleanedDataset[[#This Row],[Distance(km)]]/VehicleRangeKm)*100)</f>
        <v>0</v>
      </c>
      <c r="I588" s="2">
        <f>6371*ACOS(SIN(RADIANS(MyLat))*SIN(RADIANS(EVCleanedDataset[[#This Row],[Latitude]]))+COS(RADIANS(MyLat))*COS(RADIANS(EVCleanedDataset[[#This Row],[Latitude]]))*COS(RADIANS(EVCleanedDataset[[#This Row],[Longitude]]-MyLong)))</f>
        <v>807.41437857287269</v>
      </c>
      <c r="J588">
        <f t="shared" si="19"/>
        <v>6</v>
      </c>
      <c r="K58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35.863848382871396</v>
      </c>
      <c r="L588" t="str">
        <f>IF(EVCleanedDataset[[#This Row],[Score]]&gt;50,"Yes","No")</f>
        <v>No</v>
      </c>
    </row>
    <row r="589" spans="1:12" x14ac:dyDescent="0.3">
      <c r="A589" t="s">
        <v>3006</v>
      </c>
      <c r="B589" t="s">
        <v>18</v>
      </c>
      <c r="C589" t="s">
        <v>1259</v>
      </c>
      <c r="D589">
        <v>28.6765653</v>
      </c>
      <c r="E589">
        <v>77.341821999999993</v>
      </c>
      <c r="F589">
        <f>IF(COUNTIF($C$5:C589,C589)=1,1,0)</f>
        <v>0</v>
      </c>
      <c r="G589" s="2" t="str">
        <f t="shared" si="18"/>
        <v/>
      </c>
      <c r="H589" s="2">
        <f>MAX(0, MyBattery - (EVCleanedDataset[[#This Row],[Distance(km)]]/VehicleRangeKm)*100)</f>
        <v>0</v>
      </c>
      <c r="I589" s="2">
        <f>6371*ACOS(SIN(RADIANS(MyLat))*SIN(RADIANS(EVCleanedDataset[[#This Row],[Latitude]]))+COS(RADIANS(MyLat))*COS(RADIANS(EVCleanedDataset[[#This Row],[Latitude]]))*COS(RADIANS(EVCleanedDataset[[#This Row],[Longitude]]-MyLong)))</f>
        <v>1704.454359605623</v>
      </c>
      <c r="J589">
        <f t="shared" si="19"/>
        <v>3</v>
      </c>
      <c r="K58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30.15201560393006</v>
      </c>
      <c r="L589" t="str">
        <f>IF(EVCleanedDataset[[#This Row],[Score]]&gt;50,"Yes","No")</f>
        <v>No</v>
      </c>
    </row>
    <row r="590" spans="1:12" x14ac:dyDescent="0.3">
      <c r="A590" t="s">
        <v>3269</v>
      </c>
      <c r="B590" t="s">
        <v>18</v>
      </c>
      <c r="C590" t="s">
        <v>1259</v>
      </c>
      <c r="D590">
        <v>28.674579999999999</v>
      </c>
      <c r="E590">
        <v>77.42895</v>
      </c>
      <c r="F590">
        <f>IF(COUNTIF($C$5:C590,C590)=1,1,0)</f>
        <v>0</v>
      </c>
      <c r="G590" s="2" t="str">
        <f t="shared" si="18"/>
        <v/>
      </c>
      <c r="H590" s="2">
        <f>MAX(0, MyBattery - (EVCleanedDataset[[#This Row],[Distance(km)]]/VehicleRangeKm)*100)</f>
        <v>0</v>
      </c>
      <c r="I590" s="2">
        <f>6371*ACOS(SIN(RADIANS(MyLat))*SIN(RADIANS(EVCleanedDataset[[#This Row],[Latitude]]))+COS(RADIANS(MyLat))*COS(RADIANS(EVCleanedDataset[[#This Row],[Latitude]]))*COS(RADIANS(EVCleanedDataset[[#This Row],[Longitude]]-MyLong)))</f>
        <v>1704.1505458925571</v>
      </c>
      <c r="J590">
        <f t="shared" si="19"/>
        <v>0</v>
      </c>
      <c r="K59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40.157346964621567</v>
      </c>
      <c r="L590" t="str">
        <f>IF(EVCleanedDataset[[#This Row],[Score]]&gt;50,"Yes","No")</f>
        <v>No</v>
      </c>
    </row>
    <row r="591" spans="1:12" x14ac:dyDescent="0.3">
      <c r="A591" t="s">
        <v>366</v>
      </c>
      <c r="B591" t="s">
        <v>150</v>
      </c>
      <c r="C591" t="s">
        <v>1341</v>
      </c>
      <c r="D591">
        <v>12.9941754</v>
      </c>
      <c r="E591">
        <v>77.571209999999994</v>
      </c>
      <c r="F591">
        <f>IF(COUNTIF($C$5:C591,C591)=1,1,0)</f>
        <v>0</v>
      </c>
      <c r="G591" s="2" t="str">
        <f t="shared" si="18"/>
        <v/>
      </c>
      <c r="H591" s="2">
        <f>MAX(0, MyBattery - (EVCleanedDataset[[#This Row],[Distance(km)]]/VehicleRangeKm)*100)</f>
        <v>56.787953083705958</v>
      </c>
      <c r="I591" s="2">
        <f>6371*ACOS(SIN(RADIANS(MyLat))*SIN(RADIANS(EVCleanedDataset[[#This Row],[Latitude]]))+COS(RADIANS(MyLat))*COS(RADIANS(EVCleanedDataset[[#This Row],[Latitude]]))*COS(RADIANS(EVCleanedDataset[[#This Row],[Longitude]]-MyLong)))</f>
        <v>39.63614074888212</v>
      </c>
      <c r="J591">
        <f t="shared" si="19"/>
        <v>7</v>
      </c>
      <c r="K591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63.014727301291785</v>
      </c>
      <c r="L591" t="str">
        <f>IF(EVCleanedDataset[[#This Row],[Score]]&gt;50,"Yes","No")</f>
        <v>Yes</v>
      </c>
    </row>
    <row r="592" spans="1:12" x14ac:dyDescent="0.3">
      <c r="A592" t="s">
        <v>2339</v>
      </c>
      <c r="B592" t="s">
        <v>41</v>
      </c>
      <c r="C592" t="s">
        <v>119</v>
      </c>
      <c r="D592">
        <v>19.092565499999999</v>
      </c>
      <c r="E592">
        <v>72.922351399999997</v>
      </c>
      <c r="F592">
        <f>IF(COUNTIF($C$5:C592,C592)=1,1,0)</f>
        <v>0</v>
      </c>
      <c r="G592" s="2" t="str">
        <f t="shared" si="18"/>
        <v/>
      </c>
      <c r="H592" s="2">
        <f>MAX(0, MyBattery - (EVCleanedDataset[[#This Row],[Distance(km)]]/VehicleRangeKm)*100)</f>
        <v>0</v>
      </c>
      <c r="I592" s="2">
        <f>6371*ACOS(SIN(RADIANS(MyLat))*SIN(RADIANS(EVCleanedDataset[[#This Row],[Latitude]]))+COS(RADIANS(MyLat))*COS(RADIANS(EVCleanedDataset[[#This Row],[Latitude]]))*COS(RADIANS(EVCleanedDataset[[#This Row],[Longitude]]-MyLong)))</f>
        <v>806.47655642562756</v>
      </c>
      <c r="J592">
        <f t="shared" si="19"/>
        <v>4</v>
      </c>
      <c r="K59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42.546981200483039</v>
      </c>
      <c r="L592" t="str">
        <f>IF(EVCleanedDataset[[#This Row],[Score]]&gt;50,"Yes","No")</f>
        <v>No</v>
      </c>
    </row>
    <row r="593" spans="1:12" x14ac:dyDescent="0.3">
      <c r="A593" t="s">
        <v>3054</v>
      </c>
      <c r="B593" t="s">
        <v>150</v>
      </c>
      <c r="C593" t="s">
        <v>1341</v>
      </c>
      <c r="D593">
        <v>13.152806139999999</v>
      </c>
      <c r="E593">
        <v>77.568970449999995</v>
      </c>
      <c r="F593">
        <f>IF(COUNTIF($C$5:C593,C593)=1,1,0)</f>
        <v>0</v>
      </c>
      <c r="G593" s="2" t="str">
        <f t="shared" si="18"/>
        <v/>
      </c>
      <c r="H593" s="2">
        <f>MAX(0, MyBattery - (EVCleanedDataset[[#This Row],[Distance(km)]]/VehicleRangeKm)*100)</f>
        <v>62.635697156929254</v>
      </c>
      <c r="I593" s="2">
        <f>6371*ACOS(SIN(RADIANS(MyLat))*SIN(RADIANS(EVCleanedDataset[[#This Row],[Latitude]]))+COS(RADIANS(MyLat))*COS(RADIANS(EVCleanedDataset[[#This Row],[Latitude]]))*COS(RADIANS(EVCleanedDataset[[#This Row],[Longitude]]-MyLong)))</f>
        <v>22.092908529212231</v>
      </c>
      <c r="J593">
        <f t="shared" si="19"/>
        <v>1</v>
      </c>
      <c r="K593" s="5">
        <f>((1-(EVCleanedDataset[[#This Row],[Distance(km)]]/MAX($I$5:$I$1121)))*0.4 + (1-(EVCleanedDataset[[#This Row],[QueueLength]]/MAX($J$5:$J$1121)))*0.3 + (EVCleanedDataset[[#This Row],[EstimatedBatteryOnArrival]]/100)*0.3 + (ROW()/10000000))*100</f>
        <v>85.076343902704551</v>
      </c>
      <c r="L593" t="str">
        <f>IF(EVCleanedDataset[[#This Row],[Score]]&gt;50,"Yes","No")</f>
        <v>Yes</v>
      </c>
    </row>
    <row r="594" spans="1:12" x14ac:dyDescent="0.3">
      <c r="A594" t="s">
        <v>3081</v>
      </c>
      <c r="B594" t="s">
        <v>8</v>
      </c>
      <c r="C594" t="s">
        <v>1610</v>
      </c>
      <c r="D594">
        <v>30.695929</v>
      </c>
      <c r="E594">
        <v>76.834873999999999</v>
      </c>
      <c r="F594">
        <f>IF(COUNTIF($C$5:C594,C594)=1,1,0)</f>
        <v>1</v>
      </c>
      <c r="G594" s="2">
        <f t="shared" si="18"/>
        <v>1930.221193283764</v>
      </c>
      <c r="H594" s="2">
        <f>MAX(0, MyBattery - (EVCleanedDataset[[#This Row],[Distance(km)]]/VehicleRangeKm)*100)</f>
        <v>0</v>
      </c>
      <c r="I594" s="2">
        <f>6371*ACOS(SIN(RADIANS(MyLat))*SIN(RADIANS(EVCleanedDataset[[#This Row],[Latitude]]))+COS(RADIANS(MyLat))*COS(RADIANS(EVCleanedDataset[[#This Row],[Latitude]]))*COS(RADIANS(EVCleanedDataset[[#This Row],[Longitude]]-MyLong)))</f>
        <v>1930.221193283764</v>
      </c>
      <c r="J594">
        <f t="shared" si="19"/>
        <v>8</v>
      </c>
      <c r="K594" s="5">
        <f>((1-(EVCleanedDataset[[#This Row],[Distance(km)]]/MAX($I$5:$I$1121)))*0.4 + (1-(EVCleanedDataset[[#This Row],[QueueLength]]/MAX($J$5:$J$1121)))*0.3 + (EVCleanedDataset[[#This Row],[EstimatedBatteryOnArrival]]/100)*0.3 + (ROW()/10000000))*100</f>
        <v>9.5310456526232965</v>
      </c>
      <c r="L594" t="str">
        <f>IF(EVCleanedDataset[[#This Row],[Score]]&gt;50,"Yes","No")</f>
        <v>No</v>
      </c>
    </row>
    <row r="595" spans="1:12" x14ac:dyDescent="0.3">
      <c r="A595" t="s">
        <v>720</v>
      </c>
      <c r="B595" t="s">
        <v>150</v>
      </c>
      <c r="C595" t="s">
        <v>1341</v>
      </c>
      <c r="D595">
        <v>12.980553</v>
      </c>
      <c r="E595">
        <v>77.603318000000002</v>
      </c>
      <c r="F595">
        <f>IF(COUNTIF($C$5:C595,C595)=1,1,0)</f>
        <v>0</v>
      </c>
      <c r="G595" s="2" t="str">
        <f t="shared" si="18"/>
        <v/>
      </c>
      <c r="H595" s="2">
        <f>MAX(0, MyBattery - (EVCleanedDataset[[#This Row],[Distance(km)]]/VehicleRangeKm)*100)</f>
        <v>56.134206871476209</v>
      </c>
      <c r="I595" s="2">
        <f>6371*ACOS(SIN(RADIANS(MyLat))*SIN(RADIANS(EVCleanedDataset[[#This Row],[Latitude]]))+COS(RADIANS(MyLat))*COS(RADIANS(EVCleanedDataset[[#This Row],[Latitude]]))*COS(RADIANS(EVCleanedDataset[[#This Row],[Longitude]]-MyLong)))</f>
        <v>41.597379385571372</v>
      </c>
      <c r="J595">
        <f t="shared" si="19"/>
        <v>5</v>
      </c>
      <c r="K595" s="5">
        <f>((1-(EVCleanedDataset[[#This Row],[Distance(km)]]/MAX($I$5:$I$1121)))*0.4 + (1-(EVCleanedDataset[[#This Row],[QueueLength]]/MAX($J$5:$J$1121)))*0.3 + (EVCleanedDataset[[#This Row],[EstimatedBatteryOnArrival]]/100)*0.3 + (ROW()/10000000))*100</f>
        <v>69.450958599603894</v>
      </c>
      <c r="L595" t="str">
        <f>IF(EVCleanedDataset[[#This Row],[Score]]&gt;50,"Yes","No")</f>
        <v>Yes</v>
      </c>
    </row>
    <row r="596" spans="1:12" x14ac:dyDescent="0.3">
      <c r="A596" t="s">
        <v>3296</v>
      </c>
      <c r="B596" t="s">
        <v>14</v>
      </c>
      <c r="C596" t="s">
        <v>214</v>
      </c>
      <c r="D596">
        <v>26.972289</v>
      </c>
      <c r="E596">
        <v>75.777332000000001</v>
      </c>
      <c r="F596">
        <f>IF(COUNTIF($C$5:C596,C596)=1,1,0)</f>
        <v>0</v>
      </c>
      <c r="G596" s="2" t="str">
        <f t="shared" si="18"/>
        <v/>
      </c>
      <c r="H596" s="2">
        <f>MAX(0, MyBattery - (EVCleanedDataset[[#This Row],[Distance(km)]]/VehicleRangeKm)*100)</f>
        <v>0</v>
      </c>
      <c r="I596" s="2">
        <f>6371*ACOS(SIN(RADIANS(MyLat))*SIN(RADIANS(EVCleanedDataset[[#This Row],[Latitude]]))+COS(RADIANS(MyLat))*COS(RADIANS(EVCleanedDataset[[#This Row],[Latitude]]))*COS(RADIANS(EVCleanedDataset[[#This Row],[Longitude]]-MyLong)))</f>
        <v>1525.8555489023472</v>
      </c>
      <c r="J596">
        <f t="shared" si="19"/>
        <v>2</v>
      </c>
      <c r="K59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36.613614439815159</v>
      </c>
      <c r="L596" t="str">
        <f>IF(EVCleanedDataset[[#This Row],[Score]]&gt;50,"Yes","No")</f>
        <v>No</v>
      </c>
    </row>
    <row r="597" spans="1:12" x14ac:dyDescent="0.3">
      <c r="A597" t="s">
        <v>3282</v>
      </c>
      <c r="B597" t="s">
        <v>181</v>
      </c>
      <c r="C597" t="s">
        <v>2424</v>
      </c>
      <c r="D597">
        <v>30.736691700000002</v>
      </c>
      <c r="E597">
        <v>76.6803752</v>
      </c>
      <c r="F597">
        <f>IF(COUNTIF($C$5:C597,C597)=1,1,0)</f>
        <v>1</v>
      </c>
      <c r="G597" s="2">
        <f t="shared" si="18"/>
        <v>1926.8052931693289</v>
      </c>
      <c r="H597" s="2">
        <f>MAX(0, MyBattery - (EVCleanedDataset[[#This Row],[Distance(km)]]/VehicleRangeKm)*100)</f>
        <v>0</v>
      </c>
      <c r="I597" s="2">
        <f>6371*ACOS(SIN(RADIANS(MyLat))*SIN(RADIANS(EVCleanedDataset[[#This Row],[Latitude]]))+COS(RADIANS(MyLat))*COS(RADIANS(EVCleanedDataset[[#This Row],[Latitude]]))*COS(RADIANS(EVCleanedDataset[[#This Row],[Longitude]]-MyLong)))</f>
        <v>1935.4040252759755</v>
      </c>
      <c r="J597">
        <f t="shared" si="19"/>
        <v>9</v>
      </c>
      <c r="K597" s="5">
        <f>((1-(EVCleanedDataset[[#This Row],[Distance(km)]]/MAX($I$5:$I$1121)))*0.4 + (1-(EVCleanedDataset[[#This Row],[QueueLength]]/MAX($J$5:$J$1121)))*0.3 + (EVCleanedDataset[[#This Row],[EstimatedBatteryOnArrival]]/100)*0.3 + (ROW()/10000000))*100</f>
        <v>6.1069639335623336</v>
      </c>
      <c r="L597" t="str">
        <f>IF(EVCleanedDataset[[#This Row],[Score]]&gt;50,"Yes","No")</f>
        <v>No</v>
      </c>
    </row>
    <row r="598" spans="1:12" x14ac:dyDescent="0.3">
      <c r="A598" t="s">
        <v>2916</v>
      </c>
      <c r="B598" t="s">
        <v>150</v>
      </c>
      <c r="C598" t="s">
        <v>1341</v>
      </c>
      <c r="D598">
        <v>12.942047000000001</v>
      </c>
      <c r="E598">
        <v>77.631058999999993</v>
      </c>
      <c r="F598">
        <f>IF(COUNTIF($C$5:C598,C598)=1,1,0)</f>
        <v>0</v>
      </c>
      <c r="G598" s="2" t="str">
        <f t="shared" si="18"/>
        <v/>
      </c>
      <c r="H598" s="2">
        <f>MAX(0, MyBattery - (EVCleanedDataset[[#This Row],[Distance(km)]]/VehicleRangeKm)*100)</f>
        <v>54.538710088239696</v>
      </c>
      <c r="I598" s="2">
        <f>6371*ACOS(SIN(RADIANS(MyLat))*SIN(RADIANS(EVCleanedDataset[[#This Row],[Latitude]]))+COS(RADIANS(MyLat))*COS(RADIANS(EVCleanedDataset[[#This Row],[Latitude]]))*COS(RADIANS(EVCleanedDataset[[#This Row],[Longitude]]-MyLong)))</f>
        <v>46.383869735280918</v>
      </c>
      <c r="J598">
        <f t="shared" si="19"/>
        <v>6</v>
      </c>
      <c r="K598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65.555169852288969</v>
      </c>
      <c r="L598" t="str">
        <f>IF(EVCleanedDataset[[#This Row],[Score]]&gt;50,"Yes","No")</f>
        <v>Yes</v>
      </c>
    </row>
    <row r="599" spans="1:12" x14ac:dyDescent="0.3">
      <c r="A599" t="s">
        <v>2243</v>
      </c>
      <c r="B599" t="s">
        <v>150</v>
      </c>
      <c r="C599" t="s">
        <v>1341</v>
      </c>
      <c r="D599">
        <v>12.890829999999999</v>
      </c>
      <c r="E599">
        <v>77.638210000000001</v>
      </c>
      <c r="F599">
        <f>IF(COUNTIF($C$5:C599,C599)=1,1,0)</f>
        <v>0</v>
      </c>
      <c r="G599" s="2" t="str">
        <f t="shared" si="18"/>
        <v/>
      </c>
      <c r="H599" s="2">
        <f>MAX(0, MyBattery - (EVCleanedDataset[[#This Row],[Distance(km)]]/VehicleRangeKm)*100)</f>
        <v>52.628968020869365</v>
      </c>
      <c r="I599" s="2">
        <f>6371*ACOS(SIN(RADIANS(MyLat))*SIN(RADIANS(EVCleanedDataset[[#This Row],[Latitude]]))+COS(RADIANS(MyLat))*COS(RADIANS(EVCleanedDataset[[#This Row],[Latitude]]))*COS(RADIANS(EVCleanedDataset[[#This Row],[Longitude]]-MyLong)))</f>
        <v>52.11309593739189</v>
      </c>
      <c r="J599">
        <f t="shared" si="19"/>
        <v>3</v>
      </c>
      <c r="K599" s="5">
        <f>((1-(EVCleanedDataset[[#This Row],[Distance(km)]]/MAX($I$5:$I$1121)))*0.4 + (1-(EVCleanedDataset[[#This Row],[QueueLength]]/MAX($J$5:$J$1121)))*0.3 + (EVCleanedDataset[[#This Row],[EstimatedBatteryOnArrival]]/100)*0.3 + (ROW()/10000000))*100</f>
        <v>74.881908637549316</v>
      </c>
      <c r="L599" t="str">
        <f>IF(EVCleanedDataset[[#This Row],[Score]]&gt;50,"Yes","No")</f>
        <v>Yes</v>
      </c>
    </row>
    <row r="600" spans="1:12" x14ac:dyDescent="0.3">
      <c r="A600" t="s">
        <v>3041</v>
      </c>
      <c r="B600" t="s">
        <v>150</v>
      </c>
      <c r="C600" t="s">
        <v>1341</v>
      </c>
      <c r="D600">
        <v>12.947248200000001</v>
      </c>
      <c r="E600">
        <v>77.644711709999996</v>
      </c>
      <c r="F600">
        <f>IF(COUNTIF($C$5:C600,C600)=1,1,0)</f>
        <v>0</v>
      </c>
      <c r="G600" s="2" t="str">
        <f t="shared" si="18"/>
        <v/>
      </c>
      <c r="H600" s="2">
        <f>MAX(0, MyBattery - (EVCleanedDataset[[#This Row],[Distance(km)]]/VehicleRangeKm)*100)</f>
        <v>54.61034351373636</v>
      </c>
      <c r="I600" s="2">
        <f>6371*ACOS(SIN(RADIANS(MyLat))*SIN(RADIANS(EVCleanedDataset[[#This Row],[Latitude]]))+COS(RADIANS(MyLat))*COS(RADIANS(EVCleanedDataset[[#This Row],[Latitude]]))*COS(RADIANS(EVCleanedDataset[[#This Row],[Longitude]]-MyLong)))</f>
        <v>46.168969458790919</v>
      </c>
      <c r="J600">
        <f t="shared" si="19"/>
        <v>0</v>
      </c>
      <c r="K600" s="5">
        <f>((1-(EVCleanedDataset[[#This Row],[Distance(km)]]/MAX($I$5:$I$1121)))*0.4 + (1-(EVCleanedDataset[[#This Row],[QueueLength]]/MAX($J$5:$J$1121)))*0.3 + (EVCleanedDataset[[#This Row],[EstimatedBatteryOnArrival]]/100)*0.3 + (ROW()/10000000))*100</f>
        <v>85.580443903201981</v>
      </c>
      <c r="L600" t="str">
        <f>IF(EVCleanedDataset[[#This Row],[Score]]&gt;50,"Yes","No")</f>
        <v>Yes</v>
      </c>
    </row>
    <row r="601" spans="1:12" x14ac:dyDescent="0.3">
      <c r="A601" t="s">
        <v>3055</v>
      </c>
      <c r="B601" t="s">
        <v>150</v>
      </c>
      <c r="C601" t="s">
        <v>1341</v>
      </c>
      <c r="D601">
        <v>12.911623609999999</v>
      </c>
      <c r="E601">
        <v>77.648996780000004</v>
      </c>
      <c r="F601">
        <f>IF(COUNTIF($C$5:C601,C601)=1,1,0)</f>
        <v>0</v>
      </c>
      <c r="G601" s="2" t="str">
        <f t="shared" si="18"/>
        <v/>
      </c>
      <c r="H601" s="2">
        <f>MAX(0, MyBattery - (EVCleanedDataset[[#This Row],[Distance(km)]]/VehicleRangeKm)*100)</f>
        <v>53.292384603556343</v>
      </c>
      <c r="I601" s="2">
        <f>6371*ACOS(SIN(RADIANS(MyLat))*SIN(RADIANS(EVCleanedDataset[[#This Row],[Latitude]]))+COS(RADIANS(MyLat))*COS(RADIANS(EVCleanedDataset[[#This Row],[Latitude]]))*COS(RADIANS(EVCleanedDataset[[#This Row],[Longitude]]-MyLong)))</f>
        <v>50.122846189330964</v>
      </c>
      <c r="J601">
        <f t="shared" si="19"/>
        <v>7</v>
      </c>
      <c r="K601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61.782479919387669</v>
      </c>
      <c r="L601" t="str">
        <f>IF(EVCleanedDataset[[#This Row],[Score]]&gt;50,"Yes","No")</f>
        <v>Yes</v>
      </c>
    </row>
    <row r="602" spans="1:12" x14ac:dyDescent="0.3">
      <c r="A602" t="s">
        <v>1285</v>
      </c>
      <c r="B602" t="s">
        <v>41</v>
      </c>
      <c r="C602" t="s">
        <v>119</v>
      </c>
      <c r="D602">
        <v>19.1737611</v>
      </c>
      <c r="E602">
        <v>72.860017200000001</v>
      </c>
      <c r="F602">
        <f>IF(COUNTIF($C$5:C602,C602)=1,1,0)</f>
        <v>0</v>
      </c>
      <c r="G602" s="2" t="str">
        <f t="shared" si="18"/>
        <v/>
      </c>
      <c r="H602" s="2">
        <f>MAX(0, MyBattery - (EVCleanedDataset[[#This Row],[Distance(km)]]/VehicleRangeKm)*100)</f>
        <v>0</v>
      </c>
      <c r="I602" s="2">
        <f>6371*ACOS(SIN(RADIANS(MyLat))*SIN(RADIANS(EVCleanedDataset[[#This Row],[Latitude]]))+COS(RADIANS(MyLat))*COS(RADIANS(EVCleanedDataset[[#This Row],[Latitude]]))*COS(RADIANS(EVCleanedDataset[[#This Row],[Longitude]]-MyLong)))</f>
        <v>817.62032568503946</v>
      </c>
      <c r="J602">
        <f t="shared" si="19"/>
        <v>4</v>
      </c>
      <c r="K60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42.351895752486506</v>
      </c>
      <c r="L602" t="str">
        <f>IF(EVCleanedDataset[[#This Row],[Score]]&gt;50,"Yes","No")</f>
        <v>No</v>
      </c>
    </row>
    <row r="603" spans="1:12" x14ac:dyDescent="0.3">
      <c r="A603" t="s">
        <v>3226</v>
      </c>
      <c r="B603" t="s">
        <v>49</v>
      </c>
      <c r="C603" t="s">
        <v>1828</v>
      </c>
      <c r="D603">
        <v>12.06382</v>
      </c>
      <c r="E603">
        <v>79.547550000000001</v>
      </c>
      <c r="F603">
        <f>IF(COUNTIF($C$5:C603,C603)=1,1,0)</f>
        <v>0</v>
      </c>
      <c r="G603" s="2" t="str">
        <f t="shared" si="18"/>
        <v/>
      </c>
      <c r="H603" s="2">
        <f>MAX(0, MyBattery - (EVCleanedDataset[[#This Row],[Distance(km)]]/VehicleRangeKm)*100)</f>
        <v>0</v>
      </c>
      <c r="I603" s="2">
        <f>6371*ACOS(SIN(RADIANS(MyLat))*SIN(RADIANS(EVCleanedDataset[[#This Row],[Latitude]]))+COS(RADIANS(MyLat))*COS(RADIANS(EVCleanedDataset[[#This Row],[Latitude]]))*COS(RADIANS(EVCleanedDataset[[#This Row],[Longitude]]-MyLong)))</f>
        <v>260.69418925825175</v>
      </c>
      <c r="J603">
        <f t="shared" si="19"/>
        <v>1</v>
      </c>
      <c r="K603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62.106583448063446</v>
      </c>
      <c r="L603" t="str">
        <f>IF(EVCleanedDataset[[#This Row],[Score]]&gt;50,"Yes","No")</f>
        <v>Yes</v>
      </c>
    </row>
    <row r="604" spans="1:12" x14ac:dyDescent="0.3">
      <c r="A604" t="s">
        <v>2876</v>
      </c>
      <c r="B604" t="s">
        <v>49</v>
      </c>
      <c r="C604" t="s">
        <v>188</v>
      </c>
      <c r="D604">
        <v>11.026888899999999</v>
      </c>
      <c r="E604">
        <v>76.948569300000003</v>
      </c>
      <c r="F604">
        <f>IF(COUNTIF($C$5:C604,C604)=1,1,0)</f>
        <v>0</v>
      </c>
      <c r="G604" s="2" t="str">
        <f t="shared" si="18"/>
        <v/>
      </c>
      <c r="H604" s="2">
        <f>MAX(0, MyBattery - (EVCleanedDataset[[#This Row],[Distance(km)]]/VehicleRangeKm)*100)</f>
        <v>0</v>
      </c>
      <c r="I604" s="2">
        <f>6371*ACOS(SIN(RADIANS(MyLat))*SIN(RADIANS(EVCleanedDataset[[#This Row],[Latitude]]))+COS(RADIANS(MyLat))*COS(RADIANS(EVCleanedDataset[[#This Row],[Latitude]]))*COS(RADIANS(EVCleanedDataset[[#This Row],[Longitude]]-MyLong)))</f>
        <v>266.03455627907812</v>
      </c>
      <c r="J604">
        <f t="shared" si="19"/>
        <v>8</v>
      </c>
      <c r="K60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38.679722470046244</v>
      </c>
      <c r="L604" t="str">
        <f>IF(EVCleanedDataset[[#This Row],[Score]]&gt;50,"Yes","No")</f>
        <v>No</v>
      </c>
    </row>
    <row r="605" spans="1:12" x14ac:dyDescent="0.3">
      <c r="A605" t="s">
        <v>2189</v>
      </c>
      <c r="B605" t="s">
        <v>68</v>
      </c>
      <c r="C605" t="s">
        <v>69</v>
      </c>
      <c r="D605">
        <v>23.04626</v>
      </c>
      <c r="E605">
        <v>72.530690000000007</v>
      </c>
      <c r="F605">
        <f>IF(COUNTIF($C$5:C605,C605)=1,1,0)</f>
        <v>0</v>
      </c>
      <c r="G605" s="2" t="str">
        <f t="shared" si="18"/>
        <v/>
      </c>
      <c r="H605" s="2">
        <f>MAX(0, MyBattery - (EVCleanedDataset[[#This Row],[Distance(km)]]/VehicleRangeKm)*100)</f>
        <v>0</v>
      </c>
      <c r="I605" s="2">
        <f>6371*ACOS(SIN(RADIANS(MyLat))*SIN(RADIANS(EVCleanedDataset[[#This Row],[Latitude]]))+COS(RADIANS(MyLat))*COS(RADIANS(EVCleanedDataset[[#This Row],[Latitude]]))*COS(RADIANS(EVCleanedDataset[[#This Row],[Longitude]]-MyLong)))</f>
        <v>1200.6215818278783</v>
      </c>
      <c r="J605">
        <f t="shared" si="19"/>
        <v>5</v>
      </c>
      <c r="K605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32.310245357826794</v>
      </c>
      <c r="L605" t="str">
        <f>IF(EVCleanedDataset[[#This Row],[Score]]&gt;50,"Yes","No")</f>
        <v>No</v>
      </c>
    </row>
    <row r="606" spans="1:12" x14ac:dyDescent="0.3">
      <c r="A606" t="s">
        <v>2923</v>
      </c>
      <c r="B606" t="s">
        <v>68</v>
      </c>
      <c r="C606" t="s">
        <v>2198</v>
      </c>
      <c r="D606">
        <v>21.148373200000002</v>
      </c>
      <c r="E606">
        <v>72.765473900000003</v>
      </c>
      <c r="F606">
        <f>IF(COUNTIF($C$5:C606,C606)=1,1,0)</f>
        <v>0</v>
      </c>
      <c r="G606" s="2" t="str">
        <f t="shared" si="18"/>
        <v/>
      </c>
      <c r="H606" s="2">
        <f>MAX(0, MyBattery - (EVCleanedDataset[[#This Row],[Distance(km)]]/VehicleRangeKm)*100)</f>
        <v>0</v>
      </c>
      <c r="I606" s="2">
        <f>6371*ACOS(SIN(RADIANS(MyLat))*SIN(RADIANS(EVCleanedDataset[[#This Row],[Latitude]]))+COS(RADIANS(MyLat))*COS(RADIANS(EVCleanedDataset[[#This Row],[Latitude]]))*COS(RADIANS(EVCleanedDataset[[#This Row],[Longitude]]-MyLong)))</f>
        <v>1004.1832449163654</v>
      </c>
      <c r="J606">
        <f t="shared" si="19"/>
        <v>2</v>
      </c>
      <c r="K606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45.750913890969386</v>
      </c>
      <c r="L606" t="str">
        <f>IF(EVCleanedDataset[[#This Row],[Score]]&gt;50,"Yes","No")</f>
        <v>No</v>
      </c>
    </row>
    <row r="607" spans="1:12" x14ac:dyDescent="0.3">
      <c r="A607" t="s">
        <v>3039</v>
      </c>
      <c r="B607" t="s">
        <v>150</v>
      </c>
      <c r="C607" t="s">
        <v>1341</v>
      </c>
      <c r="D607">
        <v>12.969868780000001</v>
      </c>
      <c r="E607">
        <v>77.725217420000007</v>
      </c>
      <c r="F607">
        <f>IF(COUNTIF($C$5:C607,C607)=1,1,0)</f>
        <v>0</v>
      </c>
      <c r="G607" s="2" t="str">
        <f t="shared" si="18"/>
        <v/>
      </c>
      <c r="H607" s="2">
        <f>MAX(0, MyBattery - (EVCleanedDataset[[#This Row],[Distance(km)]]/VehicleRangeKm)*100)</f>
        <v>54.395759862344804</v>
      </c>
      <c r="I607" s="2">
        <f>6371*ACOS(SIN(RADIANS(MyLat))*SIN(RADIANS(EVCleanedDataset[[#This Row],[Latitude]]))+COS(RADIANS(MyLat))*COS(RADIANS(EVCleanedDataset[[#This Row],[Latitude]]))*COS(RADIANS(EVCleanedDataset[[#This Row],[Longitude]]-MyLong)))</f>
        <v>46.812720412965589</v>
      </c>
      <c r="J607">
        <f t="shared" si="19"/>
        <v>9</v>
      </c>
      <c r="K607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55.504863375256832</v>
      </c>
      <c r="L607" t="str">
        <f>IF(EVCleanedDataset[[#This Row],[Score]]&gt;50,"Yes","No")</f>
        <v>Yes</v>
      </c>
    </row>
    <row r="608" spans="1:12" x14ac:dyDescent="0.3">
      <c r="A608" t="s">
        <v>302</v>
      </c>
      <c r="B608" t="s">
        <v>150</v>
      </c>
      <c r="C608" t="s">
        <v>1341</v>
      </c>
      <c r="D608">
        <v>12.989235499999999</v>
      </c>
      <c r="E608">
        <v>77.727907700000003</v>
      </c>
      <c r="F608">
        <f>IF(COUNTIF($C$5:C608,C608)=1,1,0)</f>
        <v>0</v>
      </c>
      <c r="G608" s="2" t="str">
        <f t="shared" si="18"/>
        <v/>
      </c>
      <c r="H608" s="2">
        <f>MAX(0, MyBattery - (EVCleanedDataset[[#This Row],[Distance(km)]]/VehicleRangeKm)*100)</f>
        <v>54.995063981732699</v>
      </c>
      <c r="I608" s="2">
        <f>6371*ACOS(SIN(RADIANS(MyLat))*SIN(RADIANS(EVCleanedDataset[[#This Row],[Latitude]]))+COS(RADIANS(MyLat))*COS(RADIANS(EVCleanedDataset[[#This Row],[Latitude]]))*COS(RADIANS(EVCleanedDataset[[#This Row],[Longitude]]-MyLong)))</f>
        <v>45.014808054801904</v>
      </c>
      <c r="J608">
        <f t="shared" si="19"/>
        <v>6</v>
      </c>
      <c r="K608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65.716155421849834</v>
      </c>
      <c r="L608" t="str">
        <f>IF(EVCleanedDataset[[#This Row],[Score]]&gt;50,"Yes","No")</f>
        <v>Yes</v>
      </c>
    </row>
    <row r="609" spans="1:12" x14ac:dyDescent="0.3">
      <c r="A609" t="s">
        <v>633</v>
      </c>
      <c r="B609" t="s">
        <v>49</v>
      </c>
      <c r="C609" t="s">
        <v>188</v>
      </c>
      <c r="D609">
        <v>10.961166199999999</v>
      </c>
      <c r="E609">
        <v>76.954831999999996</v>
      </c>
      <c r="F609">
        <f>IF(COUNTIF($C$5:C609,C609)=1,1,0)</f>
        <v>0</v>
      </c>
      <c r="G609" s="2" t="str">
        <f t="shared" si="18"/>
        <v/>
      </c>
      <c r="H609" s="2">
        <f>MAX(0, MyBattery - (EVCleanedDataset[[#This Row],[Distance(km)]]/VehicleRangeKm)*100)</f>
        <v>0</v>
      </c>
      <c r="I609" s="2">
        <f>6371*ACOS(SIN(RADIANS(MyLat))*SIN(RADIANS(EVCleanedDataset[[#This Row],[Latitude]]))+COS(RADIANS(MyLat))*COS(RADIANS(EVCleanedDataset[[#This Row],[Latitude]]))*COS(RADIANS(EVCleanedDataset[[#This Row],[Longitude]]-MyLong)))</f>
        <v>272.97663755628645</v>
      </c>
      <c r="J609">
        <f t="shared" si="19"/>
        <v>3</v>
      </c>
      <c r="K609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55.224847132017032</v>
      </c>
      <c r="L609" t="str">
        <f>IF(EVCleanedDataset[[#This Row],[Score]]&gt;50,"Yes","No")</f>
        <v>Yes</v>
      </c>
    </row>
    <row r="610" spans="1:12" x14ac:dyDescent="0.3">
      <c r="A610" t="s">
        <v>3087</v>
      </c>
      <c r="B610" t="s">
        <v>463</v>
      </c>
      <c r="C610" t="s">
        <v>1160</v>
      </c>
      <c r="D610">
        <v>22.577245680000001</v>
      </c>
      <c r="E610">
        <v>88.479664080000006</v>
      </c>
      <c r="F610">
        <f>IF(COUNTIF($C$5:C610,C610)=1,1,0)</f>
        <v>0</v>
      </c>
      <c r="G610" s="2" t="str">
        <f t="shared" si="18"/>
        <v/>
      </c>
      <c r="H610" s="2">
        <f>MAX(0, MyBattery - (EVCleanedDataset[[#This Row],[Distance(km)]]/VehicleRangeKm)*100)</f>
        <v>0</v>
      </c>
      <c r="I610" s="2">
        <f>6371*ACOS(SIN(RADIANS(MyLat))*SIN(RADIANS(EVCleanedDataset[[#This Row],[Latitude]]))+COS(RADIANS(MyLat))*COS(RADIANS(EVCleanedDataset[[#This Row],[Latitude]]))*COS(RADIANS(EVCleanedDataset[[#This Row],[Longitude]]-MyLong)))</f>
        <v>1545.4136283178195</v>
      </c>
      <c r="J610">
        <f t="shared" si="19"/>
        <v>0</v>
      </c>
      <c r="K610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42.937857257231585</v>
      </c>
      <c r="L610" t="str">
        <f>IF(EVCleanedDataset[[#This Row],[Score]]&gt;50,"Yes","No")</f>
        <v>No</v>
      </c>
    </row>
    <row r="611" spans="1:12" x14ac:dyDescent="0.3">
      <c r="A611" t="s">
        <v>637</v>
      </c>
      <c r="B611" t="s">
        <v>49</v>
      </c>
      <c r="C611" t="s">
        <v>188</v>
      </c>
      <c r="D611">
        <v>11.175031499999999</v>
      </c>
      <c r="E611">
        <v>77.263438500000007</v>
      </c>
      <c r="F611">
        <f>IF(COUNTIF($C$5:C611,C611)=1,1,0)</f>
        <v>0</v>
      </c>
      <c r="G611" s="2" t="str">
        <f t="shared" si="18"/>
        <v/>
      </c>
      <c r="H611" s="2">
        <f>MAX(0, MyBattery - (EVCleanedDataset[[#This Row],[Distance(km)]]/VehicleRangeKm)*100)</f>
        <v>0</v>
      </c>
      <c r="I611" s="2">
        <f>6371*ACOS(SIN(RADIANS(MyLat))*SIN(RADIANS(EVCleanedDataset[[#This Row],[Latitude]]))+COS(RADIANS(MyLat))*COS(RADIANS(EVCleanedDataset[[#This Row],[Latitude]]))*COS(RADIANS(EVCleanedDataset[[#This Row],[Longitude]]-MyLong)))</f>
        <v>243.57448129468719</v>
      </c>
      <c r="J611">
        <f t="shared" si="19"/>
        <v>7</v>
      </c>
      <c r="K611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42.406518711632899</v>
      </c>
      <c r="L611" t="str">
        <f>IF(EVCleanedDataset[[#This Row],[Score]]&gt;50,"Yes","No")</f>
        <v>No</v>
      </c>
    </row>
    <row r="612" spans="1:12" x14ac:dyDescent="0.3">
      <c r="A612" t="s">
        <v>207</v>
      </c>
      <c r="B612" t="s">
        <v>41</v>
      </c>
      <c r="C612" t="s">
        <v>208</v>
      </c>
      <c r="D612">
        <v>19.359300000000001</v>
      </c>
      <c r="E612">
        <v>72.812299999999993</v>
      </c>
      <c r="F612">
        <f>IF(COUNTIF($C$5:C612,C612)=1,1,0)</f>
        <v>1</v>
      </c>
      <c r="G612" s="2">
        <f t="shared" si="18"/>
        <v>836.95880361097068</v>
      </c>
      <c r="H612" s="2">
        <f>MAX(0, MyBattery - (EVCleanedDataset[[#This Row],[Distance(km)]]/VehicleRangeKm)*100)</f>
        <v>0</v>
      </c>
      <c r="I612" s="2">
        <f>6371*ACOS(SIN(RADIANS(MyLat))*SIN(RADIANS(EVCleanedDataset[[#This Row],[Latitude]]))+COS(RADIANS(MyLat))*COS(RADIANS(EVCleanedDataset[[#This Row],[Latitude]]))*COS(RADIANS(EVCleanedDataset[[#This Row],[Longitude]]-MyLong)))</f>
        <v>836.95880361097068</v>
      </c>
      <c r="J612">
        <f t="shared" si="19"/>
        <v>4</v>
      </c>
      <c r="K61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42.013278269229581</v>
      </c>
      <c r="L612" t="str">
        <f>IF(EVCleanedDataset[[#This Row],[Score]]&gt;50,"Yes","No")</f>
        <v>No</v>
      </c>
    </row>
    <row r="613" spans="1:12" x14ac:dyDescent="0.3">
      <c r="A613" t="s">
        <v>2770</v>
      </c>
      <c r="B613" t="s">
        <v>18</v>
      </c>
      <c r="C613" t="s">
        <v>98</v>
      </c>
      <c r="D613">
        <v>28.9482803</v>
      </c>
      <c r="E613">
        <v>77.675485499999994</v>
      </c>
      <c r="F613">
        <f>IF(COUNTIF($C$5:C613,C613)=1,1,0)</f>
        <v>0</v>
      </c>
      <c r="G613" s="2" t="str">
        <f t="shared" si="18"/>
        <v/>
      </c>
      <c r="H613" s="2">
        <f>MAX(0, MyBattery - (EVCleanedDataset[[#This Row],[Distance(km)]]/VehicleRangeKm)*100)</f>
        <v>0</v>
      </c>
      <c r="I613" s="2">
        <f>6371*ACOS(SIN(RADIANS(MyLat))*SIN(RADIANS(EVCleanedDataset[[#This Row],[Latitude]]))+COS(RADIANS(MyLat))*COS(RADIANS(EVCleanedDataset[[#This Row],[Latitude]]))*COS(RADIANS(EVCleanedDataset[[#This Row],[Longitude]]-MyLong)))</f>
        <v>1734.6061857117309</v>
      </c>
      <c r="J613">
        <f t="shared" si="19"/>
        <v>1</v>
      </c>
      <c r="K61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36.290806733615049</v>
      </c>
      <c r="L613" t="str">
        <f>IF(EVCleanedDataset[[#This Row],[Score]]&gt;50,"Yes","No")</f>
        <v>No</v>
      </c>
    </row>
    <row r="614" spans="1:12" x14ac:dyDescent="0.3">
      <c r="A614" t="s">
        <v>3165</v>
      </c>
      <c r="B614" t="s">
        <v>506</v>
      </c>
      <c r="C614" t="s">
        <v>1236</v>
      </c>
      <c r="D614">
        <v>21.163948000000001</v>
      </c>
      <c r="E614">
        <v>81.788546999999994</v>
      </c>
      <c r="F614">
        <f>IF(COUNTIF($C$5:C614,C614)=1,1,0)</f>
        <v>0</v>
      </c>
      <c r="G614" s="2" t="str">
        <f t="shared" si="18"/>
        <v/>
      </c>
      <c r="H614" s="2">
        <f>MAX(0, MyBattery - (EVCleanedDataset[[#This Row],[Distance(km)]]/VehicleRangeKm)*100)</f>
        <v>0</v>
      </c>
      <c r="I614" s="2">
        <f>6371*ACOS(SIN(RADIANS(MyLat))*SIN(RADIANS(EVCleanedDataset[[#This Row],[Latitude]]))+COS(RADIANS(MyLat))*COS(RADIANS(EVCleanedDataset[[#This Row],[Latitude]]))*COS(RADIANS(EVCleanedDataset[[#This Row],[Longitude]]-MyLong)))</f>
        <v>979.01406629661574</v>
      </c>
      <c r="J614">
        <f t="shared" si="19"/>
        <v>8</v>
      </c>
      <c r="K614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26.191837315688669</v>
      </c>
      <c r="L614" t="str">
        <f>IF(EVCleanedDataset[[#This Row],[Score]]&gt;50,"Yes","No")</f>
        <v>No</v>
      </c>
    </row>
    <row r="615" spans="1:12" x14ac:dyDescent="0.3">
      <c r="A615" t="s">
        <v>3207</v>
      </c>
      <c r="B615" t="s">
        <v>49</v>
      </c>
      <c r="C615" t="s">
        <v>1982</v>
      </c>
      <c r="D615">
        <v>11.30199446</v>
      </c>
      <c r="E615">
        <v>77.600043760000005</v>
      </c>
      <c r="F615">
        <f>IF(COUNTIF($C$5:C615,C615)=1,1,0)</f>
        <v>1</v>
      </c>
      <c r="G615" s="2">
        <f t="shared" si="18"/>
        <v>227.731098576785</v>
      </c>
      <c r="H615" s="2">
        <f>MAX(0, MyBattery - (EVCleanedDataset[[#This Row],[Distance(km)]]/VehicleRangeKm)*100)</f>
        <v>0</v>
      </c>
      <c r="I615" s="2">
        <f>6371*ACOS(SIN(RADIANS(MyLat))*SIN(RADIANS(EVCleanedDataset[[#This Row],[Latitude]]))+COS(RADIANS(MyLat))*COS(RADIANS(EVCleanedDataset[[#This Row],[Latitude]]))*COS(RADIANS(EVCleanedDataset[[#This Row],[Longitude]]-MyLong)))</f>
        <v>227.731098576785</v>
      </c>
      <c r="J615">
        <f t="shared" si="19"/>
        <v>5</v>
      </c>
      <c r="K615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49.350725538396873</v>
      </c>
      <c r="L615" t="str">
        <f>IF(EVCleanedDataset[[#This Row],[Score]]&gt;50,"Yes","No")</f>
        <v>No</v>
      </c>
    </row>
    <row r="616" spans="1:12" x14ac:dyDescent="0.3">
      <c r="A616" t="s">
        <v>2979</v>
      </c>
      <c r="B616" t="s">
        <v>49</v>
      </c>
      <c r="C616" t="s">
        <v>1008</v>
      </c>
      <c r="D616">
        <v>12.730596</v>
      </c>
      <c r="E616">
        <v>80.004630000000006</v>
      </c>
      <c r="F616">
        <f>IF(COUNTIF($C$5:C616,C616)=1,1,0)</f>
        <v>0</v>
      </c>
      <c r="G616" s="2" t="str">
        <f t="shared" si="18"/>
        <v/>
      </c>
      <c r="H616" s="2">
        <f>MAX(0, MyBattery - (EVCleanedDataset[[#This Row],[Distance(km)]]/VehicleRangeKm)*100)</f>
        <v>0</v>
      </c>
      <c r="I616" s="2">
        <f>6371*ACOS(SIN(RADIANS(MyLat))*SIN(RADIANS(EVCleanedDataset[[#This Row],[Latitude]]))+COS(RADIANS(MyLat))*COS(RADIANS(EVCleanedDataset[[#This Row],[Latitude]]))*COS(RADIANS(EVCleanedDataset[[#This Row],[Longitude]]-MyLong)))</f>
        <v>275.96253561713854</v>
      </c>
      <c r="J616">
        <f t="shared" si="19"/>
        <v>2</v>
      </c>
      <c r="K61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58.505951836662653</v>
      </c>
      <c r="L616" t="str">
        <f>IF(EVCleanedDataset[[#This Row],[Score]]&gt;50,"Yes","No")</f>
        <v>Yes</v>
      </c>
    </row>
    <row r="617" spans="1:12" x14ac:dyDescent="0.3">
      <c r="A617" t="s">
        <v>3254</v>
      </c>
      <c r="B617" t="s">
        <v>405</v>
      </c>
      <c r="C617" t="s">
        <v>1064</v>
      </c>
      <c r="D617">
        <v>22.790939999999999</v>
      </c>
      <c r="E617">
        <v>86.147310000000004</v>
      </c>
      <c r="F617">
        <f>IF(COUNTIF($C$5:C617,C617)=1,1,0)</f>
        <v>0</v>
      </c>
      <c r="G617" s="2" t="str">
        <f t="shared" si="18"/>
        <v/>
      </c>
      <c r="H617" s="2">
        <f>MAX(0, MyBattery - (EVCleanedDataset[[#This Row],[Distance(km)]]/VehicleRangeKm)*100)</f>
        <v>0</v>
      </c>
      <c r="I617" s="2">
        <f>6371*ACOS(SIN(RADIANS(MyLat))*SIN(RADIANS(EVCleanedDataset[[#This Row],[Latitude]]))+COS(RADIANS(MyLat))*COS(RADIANS(EVCleanedDataset[[#This Row],[Latitude]]))*COS(RADIANS(EVCleanedDataset[[#This Row],[Longitude]]-MyLong)))</f>
        <v>1388.5224398188029</v>
      </c>
      <c r="J617">
        <f t="shared" si="19"/>
        <v>9</v>
      </c>
      <c r="K617" s="5">
        <f>((1-(EVCleanedDataset[[#This Row],[Distance(km)]]/MAX($I$5:$I$1121)))*0.4 + (1-(EVCleanedDataset[[#This Row],[QueueLength]]/MAX($J$5:$J$1121)))*0.3 + (EVCleanedDataset[[#This Row],[EstimatedBatteryOnArrival]]/100)*0.3 + (ROW()/10000000))*100</f>
        <v>15.685909219261656</v>
      </c>
      <c r="L617" t="str">
        <f>IF(EVCleanedDataset[[#This Row],[Score]]&gt;50,"Yes","No")</f>
        <v>No</v>
      </c>
    </row>
    <row r="618" spans="1:12" x14ac:dyDescent="0.3">
      <c r="A618" t="s">
        <v>1017</v>
      </c>
      <c r="B618" t="s">
        <v>18</v>
      </c>
      <c r="C618" t="s">
        <v>1018</v>
      </c>
      <c r="D618">
        <v>27.200797999999999</v>
      </c>
      <c r="E618">
        <v>78.008796000000004</v>
      </c>
      <c r="F618">
        <f>IF(COUNTIF($C$5:C618,C618)=1,1,0)</f>
        <v>1</v>
      </c>
      <c r="G618" s="2">
        <f t="shared" si="18"/>
        <v>1541.0153906668049</v>
      </c>
      <c r="H618" s="2">
        <f>MAX(0, MyBattery - (EVCleanedDataset[[#This Row],[Distance(km)]]/VehicleRangeKm)*100)</f>
        <v>0</v>
      </c>
      <c r="I618" s="2">
        <f>6371*ACOS(SIN(RADIANS(MyLat))*SIN(RADIANS(EVCleanedDataset[[#This Row],[Latitude]]))+COS(RADIANS(MyLat))*COS(RADIANS(EVCleanedDataset[[#This Row],[Latitude]]))*COS(RADIANS(EVCleanedDataset[[#This Row],[Longitude]]-MyLong)))</f>
        <v>1541.0153906668049</v>
      </c>
      <c r="J618">
        <f t="shared" si="19"/>
        <v>6</v>
      </c>
      <c r="K618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23.014973309066868</v>
      </c>
      <c r="L618" t="str">
        <f>IF(EVCleanedDataset[[#This Row],[Score]]&gt;50,"Yes","No")</f>
        <v>No</v>
      </c>
    </row>
    <row r="619" spans="1:12" x14ac:dyDescent="0.3">
      <c r="A619" t="s">
        <v>3312</v>
      </c>
      <c r="B619" t="s">
        <v>18</v>
      </c>
      <c r="C619" t="s">
        <v>1018</v>
      </c>
      <c r="D619">
        <v>27.211320000000001</v>
      </c>
      <c r="E619">
        <v>77.997420000000005</v>
      </c>
      <c r="F619">
        <f>IF(COUNTIF($C$5:C619,C619)=1,1,0)</f>
        <v>0</v>
      </c>
      <c r="G619" s="2" t="str">
        <f t="shared" si="18"/>
        <v/>
      </c>
      <c r="H619" s="2">
        <f>MAX(0, MyBattery - (EVCleanedDataset[[#This Row],[Distance(km)]]/VehicleRangeKm)*100)</f>
        <v>0</v>
      </c>
      <c r="I619" s="2">
        <f>6371*ACOS(SIN(RADIANS(MyLat))*SIN(RADIANS(EVCleanedDataset[[#This Row],[Latitude]]))+COS(RADIANS(MyLat))*COS(RADIANS(EVCleanedDataset[[#This Row],[Latitude]]))*COS(RADIANS(EVCleanedDataset[[#This Row],[Longitude]]-MyLong)))</f>
        <v>1542.1476243045456</v>
      </c>
      <c r="J619">
        <f t="shared" si="19"/>
        <v>3</v>
      </c>
      <c r="K619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32.995152000227392</v>
      </c>
      <c r="L619" t="str">
        <f>IF(EVCleanedDataset[[#This Row],[Score]]&gt;50,"Yes","No")</f>
        <v>No</v>
      </c>
    </row>
    <row r="620" spans="1:12" x14ac:dyDescent="0.3">
      <c r="A620" t="s">
        <v>602</v>
      </c>
      <c r="B620" t="s">
        <v>386</v>
      </c>
      <c r="C620" t="s">
        <v>1435</v>
      </c>
      <c r="D620">
        <v>10.0231762</v>
      </c>
      <c r="E620">
        <v>76.341164399999997</v>
      </c>
      <c r="F620">
        <f>IF(COUNTIF($C$5:C620,C620)=1,1,0)</f>
        <v>0</v>
      </c>
      <c r="G620" s="2" t="str">
        <f t="shared" si="18"/>
        <v/>
      </c>
      <c r="H620" s="2">
        <f>MAX(0, MyBattery - (EVCleanedDataset[[#This Row],[Distance(km)]]/VehicleRangeKm)*100)</f>
        <v>0</v>
      </c>
      <c r="I620" s="2">
        <f>6371*ACOS(SIN(RADIANS(MyLat))*SIN(RADIANS(EVCleanedDataset[[#This Row],[Latitude]]))+COS(RADIANS(MyLat))*COS(RADIANS(EVCleanedDataset[[#This Row],[Latitude]]))*COS(RADIANS(EVCleanedDataset[[#This Row],[Longitude]]-MyLong)))</f>
        <v>392.09375079990843</v>
      </c>
      <c r="J620">
        <f t="shared" si="19"/>
        <v>0</v>
      </c>
      <c r="K620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63.138595994121637</v>
      </c>
      <c r="L620" t="str">
        <f>IF(EVCleanedDataset[[#This Row],[Score]]&gt;50,"Yes","No")</f>
        <v>Yes</v>
      </c>
    </row>
    <row r="621" spans="1:12" x14ac:dyDescent="0.3">
      <c r="A621" t="s">
        <v>1300</v>
      </c>
      <c r="B621" t="s">
        <v>313</v>
      </c>
      <c r="C621" t="s">
        <v>1110</v>
      </c>
      <c r="D621">
        <v>20.238164999999999</v>
      </c>
      <c r="E621">
        <v>85.756642999999997</v>
      </c>
      <c r="F621">
        <f>IF(COUNTIF($C$5:C621,C621)=1,1,0)</f>
        <v>0</v>
      </c>
      <c r="G621" s="2" t="str">
        <f t="shared" si="18"/>
        <v/>
      </c>
      <c r="H621" s="2">
        <f>MAX(0, MyBattery - (EVCleanedDataset[[#This Row],[Distance(km)]]/VehicleRangeKm)*100)</f>
        <v>0</v>
      </c>
      <c r="I621" s="2">
        <f>6371*ACOS(SIN(RADIANS(MyLat))*SIN(RADIANS(EVCleanedDataset[[#This Row],[Latitude]]))+COS(RADIANS(MyLat))*COS(RADIANS(EVCleanedDataset[[#This Row],[Latitude]]))*COS(RADIANS(EVCleanedDataset[[#This Row],[Longitude]]-MyLong)))</f>
        <v>1162.3456239273492</v>
      </c>
      <c r="J621">
        <f t="shared" si="19"/>
        <v>7</v>
      </c>
      <c r="K621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26.314150094734494</v>
      </c>
      <c r="L621" t="str">
        <f>IF(EVCleanedDataset[[#This Row],[Score]]&gt;50,"Yes","No")</f>
        <v>No</v>
      </c>
    </row>
    <row r="622" spans="1:12" x14ac:dyDescent="0.3">
      <c r="A622" t="s">
        <v>2523</v>
      </c>
      <c r="B622" t="s">
        <v>49</v>
      </c>
      <c r="C622" t="s">
        <v>1008</v>
      </c>
      <c r="D622">
        <v>12.950258</v>
      </c>
      <c r="E622">
        <v>80.176002999999994</v>
      </c>
      <c r="F622">
        <f>IF(COUNTIF($C$5:C622,C622)=1,1,0)</f>
        <v>0</v>
      </c>
      <c r="G622" s="2" t="str">
        <f t="shared" si="18"/>
        <v/>
      </c>
      <c r="H622" s="2">
        <f>MAX(0, MyBattery - (EVCleanedDataset[[#This Row],[Distance(km)]]/VehicleRangeKm)*100)</f>
        <v>0</v>
      </c>
      <c r="I622" s="2">
        <f>6371*ACOS(SIN(RADIANS(MyLat))*SIN(RADIANS(EVCleanedDataset[[#This Row],[Latitude]]))+COS(RADIANS(MyLat))*COS(RADIANS(EVCleanedDataset[[#This Row],[Latitude]]))*COS(RADIANS(EVCleanedDataset[[#This Row],[Longitude]]-MyLong)))</f>
        <v>289.11442578015311</v>
      </c>
      <c r="J622">
        <f t="shared" si="19"/>
        <v>4</v>
      </c>
      <c r="K622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51.608987064608883</v>
      </c>
      <c r="L622" t="str">
        <f>IF(EVCleanedDataset[[#This Row],[Score]]&gt;50,"Yes","No")</f>
        <v>Yes</v>
      </c>
    </row>
    <row r="623" spans="1:12" x14ac:dyDescent="0.3">
      <c r="A623" t="s">
        <v>3313</v>
      </c>
      <c r="B623" t="s">
        <v>18</v>
      </c>
      <c r="C623" t="s">
        <v>1040</v>
      </c>
      <c r="D623">
        <v>29.3097043</v>
      </c>
      <c r="E623">
        <v>77.722104099999996</v>
      </c>
      <c r="F623">
        <f>IF(COUNTIF($C$5:C623,C623)=1,1,0)</f>
        <v>1</v>
      </c>
      <c r="G623" s="2">
        <f t="shared" si="18"/>
        <v>1774.8382304462707</v>
      </c>
      <c r="H623" s="2">
        <f>MAX(0, MyBattery - (EVCleanedDataset[[#This Row],[Distance(km)]]/VehicleRangeKm)*100)</f>
        <v>0</v>
      </c>
      <c r="I623" s="2">
        <f>6371*ACOS(SIN(RADIANS(MyLat))*SIN(RADIANS(EVCleanedDataset[[#This Row],[Latitude]]))+COS(RADIANS(MyLat))*COS(RADIANS(EVCleanedDataset[[#This Row],[Latitude]]))*COS(RADIANS(EVCleanedDataset[[#This Row],[Longitude]]-MyLong)))</f>
        <v>1774.8382304462707</v>
      </c>
      <c r="J623">
        <f t="shared" si="19"/>
        <v>1</v>
      </c>
      <c r="K623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35.586234060255862</v>
      </c>
      <c r="L623" t="str">
        <f>IF(EVCleanedDataset[[#This Row],[Score]]&gt;50,"Yes","No")</f>
        <v>No</v>
      </c>
    </row>
    <row r="624" spans="1:12" x14ac:dyDescent="0.3">
      <c r="A624" t="s">
        <v>2505</v>
      </c>
      <c r="B624" t="s">
        <v>49</v>
      </c>
      <c r="C624" t="s">
        <v>1211</v>
      </c>
      <c r="D624">
        <v>12.6238399</v>
      </c>
      <c r="E624">
        <v>80.194593100000006</v>
      </c>
      <c r="F624">
        <f>IF(COUNTIF($C$5:C624,C624)=1,1,0)</f>
        <v>0</v>
      </c>
      <c r="G624" s="2" t="str">
        <f t="shared" si="18"/>
        <v/>
      </c>
      <c r="H624" s="2">
        <f>MAX(0, MyBattery - (EVCleanedDataset[[#This Row],[Distance(km)]]/VehicleRangeKm)*100)</f>
        <v>0</v>
      </c>
      <c r="I624" s="2">
        <f>6371*ACOS(SIN(RADIANS(MyLat))*SIN(RADIANS(EVCleanedDataset[[#This Row],[Latitude]]))+COS(RADIANS(MyLat))*COS(RADIANS(EVCleanedDataset[[#This Row],[Latitude]]))*COS(RADIANS(EVCleanedDataset[[#This Row],[Longitude]]-MyLong)))</f>
        <v>298.97649631391738</v>
      </c>
      <c r="J624">
        <f t="shared" si="19"/>
        <v>8</v>
      </c>
      <c r="K62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38.102937504376335</v>
      </c>
      <c r="L624" t="str">
        <f>IF(EVCleanedDataset[[#This Row],[Score]]&gt;50,"Yes","No")</f>
        <v>No</v>
      </c>
    </row>
    <row r="625" spans="1:12" x14ac:dyDescent="0.3">
      <c r="A625" t="s">
        <v>2888</v>
      </c>
      <c r="B625" t="s">
        <v>49</v>
      </c>
      <c r="C625" t="s">
        <v>1008</v>
      </c>
      <c r="D625">
        <v>12.9644294</v>
      </c>
      <c r="E625">
        <v>80.2118897</v>
      </c>
      <c r="F625">
        <f>IF(COUNTIF($C$5:C625,C625)=1,1,0)</f>
        <v>0</v>
      </c>
      <c r="G625" s="2" t="str">
        <f t="shared" si="18"/>
        <v/>
      </c>
      <c r="H625" s="2">
        <f>MAX(0, MyBattery - (EVCleanedDataset[[#This Row],[Distance(km)]]/VehicleRangeKm)*100)</f>
        <v>0</v>
      </c>
      <c r="I625" s="2">
        <f>6371*ACOS(SIN(RADIANS(MyLat))*SIN(RADIANS(EVCleanedDataset[[#This Row],[Latitude]]))+COS(RADIANS(MyLat))*COS(RADIANS(EVCleanedDataset[[#This Row],[Latitude]]))*COS(RADIANS(EVCleanedDataset[[#This Row],[Longitude]]-MyLong)))</f>
        <v>292.7121105635552</v>
      </c>
      <c r="J625">
        <f t="shared" si="19"/>
        <v>5</v>
      </c>
      <c r="K62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48.212669530258637</v>
      </c>
      <c r="L625" t="str">
        <f>IF(EVCleanedDataset[[#This Row],[Score]]&gt;50,"Yes","No")</f>
        <v>No</v>
      </c>
    </row>
    <row r="626" spans="1:12" x14ac:dyDescent="0.3">
      <c r="A626" t="s">
        <v>343</v>
      </c>
      <c r="B626" t="s">
        <v>49</v>
      </c>
      <c r="C626" t="s">
        <v>1008</v>
      </c>
      <c r="D626">
        <v>12.991408399999999</v>
      </c>
      <c r="E626">
        <v>80.214305400000001</v>
      </c>
      <c r="F626">
        <f>IF(COUNTIF($C$5:C626,C626)=1,1,0)</f>
        <v>0</v>
      </c>
      <c r="G626" s="2" t="str">
        <f t="shared" si="18"/>
        <v/>
      </c>
      <c r="H626" s="2">
        <f>MAX(0, MyBattery - (EVCleanedDataset[[#This Row],[Distance(km)]]/VehicleRangeKm)*100)</f>
        <v>0</v>
      </c>
      <c r="I626" s="2">
        <f>6371*ACOS(SIN(RADIANS(MyLat))*SIN(RADIANS(EVCleanedDataset[[#This Row],[Latitude]]))+COS(RADIANS(MyLat))*COS(RADIANS(EVCleanedDataset[[#This Row],[Latitude]]))*COS(RADIANS(EVCleanedDataset[[#This Row],[Longitude]]-MyLong)))</f>
        <v>292.53218245116614</v>
      </c>
      <c r="J626">
        <f t="shared" si="19"/>
        <v>2</v>
      </c>
      <c r="K626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58.215831008758087</v>
      </c>
      <c r="L626" t="str">
        <f>IF(EVCleanedDataset[[#This Row],[Score]]&gt;50,"Yes","No")</f>
        <v>Yes</v>
      </c>
    </row>
    <row r="627" spans="1:12" x14ac:dyDescent="0.3">
      <c r="A627" t="s">
        <v>2450</v>
      </c>
      <c r="B627" t="s">
        <v>313</v>
      </c>
      <c r="C627" t="s">
        <v>1110</v>
      </c>
      <c r="D627">
        <v>20.3</v>
      </c>
      <c r="E627">
        <v>85.82</v>
      </c>
      <c r="F627">
        <f>IF(COUNTIF($C$5:C627,C627)=1,1,0)</f>
        <v>0</v>
      </c>
      <c r="G627" s="2" t="str">
        <f t="shared" si="18"/>
        <v/>
      </c>
      <c r="H627" s="2">
        <f>MAX(0, MyBattery - (EVCleanedDataset[[#This Row],[Distance(km)]]/VehicleRangeKm)*100)</f>
        <v>0</v>
      </c>
      <c r="I627" s="2">
        <f>6371*ACOS(SIN(RADIANS(MyLat))*SIN(RADIANS(EVCleanedDataset[[#This Row],[Latitude]]))+COS(RADIANS(MyLat))*COS(RADIANS(EVCleanedDataset[[#This Row],[Latitude]]))*COS(RADIANS(EVCleanedDataset[[#This Row],[Longitude]]-MyLong)))</f>
        <v>1171.8271119675701</v>
      </c>
      <c r="J627">
        <f t="shared" si="19"/>
        <v>9</v>
      </c>
      <c r="K627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19.481473183097417</v>
      </c>
      <c r="L627" t="str">
        <f>IF(EVCleanedDataset[[#This Row],[Score]]&gt;50,"Yes","No")</f>
        <v>No</v>
      </c>
    </row>
    <row r="628" spans="1:12" x14ac:dyDescent="0.3">
      <c r="A628" t="s">
        <v>3071</v>
      </c>
      <c r="B628" t="s">
        <v>49</v>
      </c>
      <c r="C628" t="s">
        <v>1008</v>
      </c>
      <c r="D628">
        <v>13.03152957</v>
      </c>
      <c r="E628">
        <v>80.239970400000004</v>
      </c>
      <c r="F628">
        <f>IF(COUNTIF($C$5:C628,C628)=1,1,0)</f>
        <v>0</v>
      </c>
      <c r="G628" s="2" t="str">
        <f t="shared" si="18"/>
        <v/>
      </c>
      <c r="H628" s="2">
        <f>MAX(0, MyBattery - (EVCleanedDataset[[#This Row],[Distance(km)]]/VehicleRangeKm)*100)</f>
        <v>0</v>
      </c>
      <c r="I628" s="2">
        <f>6371*ACOS(SIN(RADIANS(MyLat))*SIN(RADIANS(EVCleanedDataset[[#This Row],[Latitude]]))+COS(RADIANS(MyLat))*COS(RADIANS(EVCleanedDataset[[#This Row],[Latitude]]))*COS(RADIANS(EVCleanedDataset[[#This Row],[Longitude]]-MyLong)))</f>
        <v>294.6938363711543</v>
      </c>
      <c r="J628">
        <f t="shared" si="19"/>
        <v>6</v>
      </c>
      <c r="K62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44.844655855158685</v>
      </c>
      <c r="L628" t="str">
        <f>IF(EVCleanedDataset[[#This Row],[Score]]&gt;50,"Yes","No")</f>
        <v>No</v>
      </c>
    </row>
    <row r="629" spans="1:12" x14ac:dyDescent="0.3">
      <c r="A629" t="s">
        <v>702</v>
      </c>
      <c r="B629" t="s">
        <v>41</v>
      </c>
      <c r="C629" t="s">
        <v>221</v>
      </c>
      <c r="D629">
        <v>20.005202902104401</v>
      </c>
      <c r="E629">
        <v>73.791297380718007</v>
      </c>
      <c r="F629">
        <f>IF(COUNTIF($C$5:C629,C629)=1,1,0)</f>
        <v>0</v>
      </c>
      <c r="G629" s="2" t="str">
        <f t="shared" si="18"/>
        <v/>
      </c>
      <c r="H629" s="2">
        <f>MAX(0, MyBattery - (EVCleanedDataset[[#This Row],[Distance(km)]]/VehicleRangeKm)*100)</f>
        <v>0</v>
      </c>
      <c r="I629" s="2">
        <f>6371*ACOS(SIN(RADIANS(MyLat))*SIN(RADIANS(EVCleanedDataset[[#This Row],[Latitude]]))+COS(RADIANS(MyLat))*COS(RADIANS(EVCleanedDataset[[#This Row],[Latitude]]))*COS(RADIANS(EVCleanedDataset[[#This Row],[Longitude]]-MyLong)))</f>
        <v>840.70268383526115</v>
      </c>
      <c r="J629">
        <f t="shared" si="19"/>
        <v>3</v>
      </c>
      <c r="K629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45.281206757839136</v>
      </c>
      <c r="L629" t="str">
        <f>IF(EVCleanedDataset[[#This Row],[Score]]&gt;50,"Yes","No")</f>
        <v>No</v>
      </c>
    </row>
    <row r="630" spans="1:12" x14ac:dyDescent="0.3">
      <c r="A630" t="s">
        <v>2921</v>
      </c>
      <c r="B630" t="s">
        <v>49</v>
      </c>
      <c r="C630" t="s">
        <v>1008</v>
      </c>
      <c r="D630">
        <v>13.044485</v>
      </c>
      <c r="E630">
        <v>80.268708000000004</v>
      </c>
      <c r="F630">
        <f>IF(COUNTIF($C$5:C630,C630)=1,1,0)</f>
        <v>0</v>
      </c>
      <c r="G630" s="2" t="str">
        <f t="shared" si="18"/>
        <v/>
      </c>
      <c r="H630" s="2">
        <f>MAX(0, MyBattery - (EVCleanedDataset[[#This Row],[Distance(km)]]/VehicleRangeKm)*100)</f>
        <v>0</v>
      </c>
      <c r="I630" s="2">
        <f>6371*ACOS(SIN(RADIANS(MyLat))*SIN(RADIANS(EVCleanedDataset[[#This Row],[Latitude]]))+COS(RADIANS(MyLat))*COS(RADIANS(EVCleanedDataset[[#This Row],[Latitude]]))*COS(RADIANS(EVCleanedDataset[[#This Row],[Longitude]]-MyLong)))</f>
        <v>297.60761765658515</v>
      </c>
      <c r="J630">
        <f t="shared" si="19"/>
        <v>0</v>
      </c>
      <c r="K63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64.793640366867294</v>
      </c>
      <c r="L630" t="str">
        <f>IF(EVCleanedDataset[[#This Row],[Score]]&gt;50,"Yes","No")</f>
        <v>Yes</v>
      </c>
    </row>
    <row r="631" spans="1:12" x14ac:dyDescent="0.3">
      <c r="A631" t="s">
        <v>1219</v>
      </c>
      <c r="B631" t="s">
        <v>502</v>
      </c>
      <c r="C631" t="s">
        <v>1410</v>
      </c>
      <c r="D631">
        <v>15.023949999999999</v>
      </c>
      <c r="E631">
        <v>77.620627999999996</v>
      </c>
      <c r="F631">
        <f>IF(COUNTIF($C$5:C631,C631)=1,1,0)</f>
        <v>0</v>
      </c>
      <c r="G631" s="2" t="str">
        <f t="shared" si="18"/>
        <v/>
      </c>
      <c r="H631" s="2">
        <f>MAX(0, MyBattery - (EVCleanedDataset[[#This Row],[Distance(km)]]/VehicleRangeKm)*100)</f>
        <v>7.85058749720951</v>
      </c>
      <c r="I631" s="2">
        <f>6371*ACOS(SIN(RADIANS(MyLat))*SIN(RADIANS(EVCleanedDataset[[#This Row],[Latitude]]))+COS(RADIANS(MyLat))*COS(RADIANS(EVCleanedDataset[[#This Row],[Latitude]]))*COS(RADIANS(EVCleanedDataset[[#This Row],[Longitude]]-MyLong)))</f>
        <v>186.44823750837148</v>
      </c>
      <c r="J631">
        <f t="shared" si="19"/>
        <v>7</v>
      </c>
      <c r="K631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45.762473061995564</v>
      </c>
      <c r="L631" t="str">
        <f>IF(EVCleanedDataset[[#This Row],[Score]]&gt;50,"Yes","No")</f>
        <v>No</v>
      </c>
    </row>
    <row r="632" spans="1:12" x14ac:dyDescent="0.3">
      <c r="A632" t="s">
        <v>1353</v>
      </c>
      <c r="B632" t="s">
        <v>463</v>
      </c>
      <c r="C632" t="s">
        <v>1354</v>
      </c>
      <c r="D632">
        <v>21.624423</v>
      </c>
      <c r="E632">
        <v>87.528599</v>
      </c>
      <c r="F632">
        <f>IF(COUNTIF($C$5:C632,C632)=1,1,0)</f>
        <v>1</v>
      </c>
      <c r="G632" s="2">
        <f t="shared" si="18"/>
        <v>1400.7457925754989</v>
      </c>
      <c r="H632" s="2">
        <f>MAX(0, MyBattery - (EVCleanedDataset[[#This Row],[Distance(km)]]/VehicleRangeKm)*100)</f>
        <v>0</v>
      </c>
      <c r="I632" s="2">
        <f>6371*ACOS(SIN(RADIANS(MyLat))*SIN(RADIANS(EVCleanedDataset[[#This Row],[Latitude]]))+COS(RADIANS(MyLat))*COS(RADIANS(EVCleanedDataset[[#This Row],[Latitude]]))*COS(RADIANS(EVCleanedDataset[[#This Row],[Longitude]]-MyLong)))</f>
        <v>1402.3947212421488</v>
      </c>
      <c r="J632">
        <f t="shared" si="19"/>
        <v>4</v>
      </c>
      <c r="K632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32.109749977030802</v>
      </c>
      <c r="L632" t="str">
        <f>IF(EVCleanedDataset[[#This Row],[Score]]&gt;50,"Yes","No")</f>
        <v>No</v>
      </c>
    </row>
    <row r="633" spans="1:12" x14ac:dyDescent="0.3">
      <c r="A633" t="s">
        <v>785</v>
      </c>
      <c r="B633" t="s">
        <v>463</v>
      </c>
      <c r="C633" t="s">
        <v>1157</v>
      </c>
      <c r="D633">
        <v>26.7321074</v>
      </c>
      <c r="E633">
        <v>88.432271200000002</v>
      </c>
      <c r="F633">
        <f>IF(COUNTIF($C$5:C633,C633)=1,1,0)</f>
        <v>1</v>
      </c>
      <c r="G633" s="2">
        <f t="shared" si="18"/>
        <v>1867.213621717857</v>
      </c>
      <c r="H633" s="2">
        <f>MAX(0, MyBattery - (EVCleanedDataset[[#This Row],[Distance(km)]]/VehicleRangeKm)*100)</f>
        <v>0</v>
      </c>
      <c r="I633" s="2">
        <f>6371*ACOS(SIN(RADIANS(MyLat))*SIN(RADIANS(EVCleanedDataset[[#This Row],[Latitude]]))+COS(RADIANS(MyLat))*COS(RADIANS(EVCleanedDataset[[#This Row],[Latitude]]))*COS(RADIANS(EVCleanedDataset[[#This Row],[Longitude]]-MyLong)))</f>
        <v>1871.103531502976</v>
      </c>
      <c r="J633">
        <f t="shared" si="19"/>
        <v>1</v>
      </c>
      <c r="K633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33.900227189602134</v>
      </c>
      <c r="L633" t="str">
        <f>IF(EVCleanedDataset[[#This Row],[Score]]&gt;50,"Yes","No")</f>
        <v>No</v>
      </c>
    </row>
    <row r="634" spans="1:12" x14ac:dyDescent="0.3">
      <c r="A634" t="s">
        <v>643</v>
      </c>
      <c r="B634" t="s">
        <v>386</v>
      </c>
      <c r="C634" t="s">
        <v>2009</v>
      </c>
      <c r="D634">
        <v>11.2541077</v>
      </c>
      <c r="E634">
        <v>75.771278300000006</v>
      </c>
      <c r="F634">
        <f>IF(COUNTIF($C$5:C634,C634)=1,1,0)</f>
        <v>0</v>
      </c>
      <c r="G634" s="2" t="str">
        <f t="shared" si="18"/>
        <v/>
      </c>
      <c r="H634" s="2">
        <f>MAX(0, MyBattery - (EVCleanedDataset[[#This Row],[Distance(km)]]/VehicleRangeKm)*100)</f>
        <v>0</v>
      </c>
      <c r="I634" s="2">
        <f>6371*ACOS(SIN(RADIANS(MyLat))*SIN(RADIANS(EVCleanedDataset[[#This Row],[Latitude]]))+COS(RADIANS(MyLat))*COS(RADIANS(EVCleanedDataset[[#This Row],[Latitude]]))*COS(RADIANS(EVCleanedDataset[[#This Row],[Longitude]]-MyLong)))</f>
        <v>301.80029006130172</v>
      </c>
      <c r="J634">
        <f t="shared" si="19"/>
        <v>8</v>
      </c>
      <c r="K63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38.053578166624213</v>
      </c>
      <c r="L634" t="str">
        <f>IF(EVCleanedDataset[[#This Row],[Score]]&gt;50,"Yes","No")</f>
        <v>No</v>
      </c>
    </row>
    <row r="635" spans="1:12" x14ac:dyDescent="0.3">
      <c r="A635" t="s">
        <v>2901</v>
      </c>
      <c r="B635" t="s">
        <v>150</v>
      </c>
      <c r="C635" t="s">
        <v>3377</v>
      </c>
      <c r="D635">
        <v>12.298036</v>
      </c>
      <c r="E635">
        <v>76.663957999999994</v>
      </c>
      <c r="F635">
        <f>IF(COUNTIF($C$5:C635,C635)=1,1,0)</f>
        <v>0</v>
      </c>
      <c r="G635" s="2" t="str">
        <f t="shared" si="18"/>
        <v/>
      </c>
      <c r="H635" s="2">
        <f>MAX(0, MyBattery - (EVCleanedDataset[[#This Row],[Distance(km)]]/VehicleRangeKm)*100)</f>
        <v>19.856027404672467</v>
      </c>
      <c r="I635" s="2">
        <f>6371*ACOS(SIN(RADIANS(MyLat))*SIN(RADIANS(EVCleanedDataset[[#This Row],[Latitude]]))+COS(RADIANS(MyLat))*COS(RADIANS(EVCleanedDataset[[#This Row],[Latitude]]))*COS(RADIANS(EVCleanedDataset[[#This Row],[Longitude]]-MyLong)))</f>
        <v>150.43191778598262</v>
      </c>
      <c r="J635">
        <f t="shared" si="19"/>
        <v>5</v>
      </c>
      <c r="K635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56.661645069445932</v>
      </c>
      <c r="L635" t="str">
        <f>IF(EVCleanedDataset[[#This Row],[Score]]&gt;50,"Yes","No")</f>
        <v>Yes</v>
      </c>
    </row>
    <row r="636" spans="1:12" x14ac:dyDescent="0.3">
      <c r="A636" t="s">
        <v>190</v>
      </c>
      <c r="B636" t="s">
        <v>64</v>
      </c>
      <c r="C636" t="s">
        <v>191</v>
      </c>
      <c r="D636">
        <v>29.323699999999999</v>
      </c>
      <c r="E636">
        <v>79.592100000000002</v>
      </c>
      <c r="F636">
        <f>IF(COUNTIF($C$5:C636,C636)=1,1,0)</f>
        <v>1</v>
      </c>
      <c r="G636" s="2">
        <f t="shared" si="18"/>
        <v>1788.8739133110039</v>
      </c>
      <c r="H636" s="2">
        <f>MAX(0, MyBattery - (EVCleanedDataset[[#This Row],[Distance(km)]]/VehicleRangeKm)*100)</f>
        <v>0</v>
      </c>
      <c r="I636" s="2">
        <f>6371*ACOS(SIN(RADIANS(MyLat))*SIN(RADIANS(EVCleanedDataset[[#This Row],[Latitude]]))+COS(RADIANS(MyLat))*COS(RADIANS(EVCleanedDataset[[#This Row],[Latitude]]))*COS(RADIANS(EVCleanedDataset[[#This Row],[Longitude]]-MyLong)))</f>
        <v>1788.8739133110039</v>
      </c>
      <c r="J636">
        <f t="shared" si="19"/>
        <v>2</v>
      </c>
      <c r="K636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32.007192807622793</v>
      </c>
      <c r="L636" t="str">
        <f>IF(EVCleanedDataset[[#This Row],[Score]]&gt;50,"Yes","No")</f>
        <v>No</v>
      </c>
    </row>
    <row r="637" spans="1:12" x14ac:dyDescent="0.3">
      <c r="A637" t="s">
        <v>3203</v>
      </c>
      <c r="B637" t="s">
        <v>49</v>
      </c>
      <c r="C637" t="s">
        <v>1964</v>
      </c>
      <c r="D637">
        <v>12.779884450000001</v>
      </c>
      <c r="E637">
        <v>78.717769709999999</v>
      </c>
      <c r="F637">
        <f>IF(COUNTIF($C$5:C637,C637)=1,1,0)</f>
        <v>1</v>
      </c>
      <c r="G637" s="2">
        <f t="shared" si="18"/>
        <v>142.65269379098353</v>
      </c>
      <c r="H637" s="2">
        <f>MAX(0, MyBattery - (EVCleanedDataset[[#This Row],[Distance(km)]]/VehicleRangeKm)*100)</f>
        <v>22.449102069672158</v>
      </c>
      <c r="I637" s="2">
        <f>6371*ACOS(SIN(RADIANS(MyLat))*SIN(RADIANS(EVCleanedDataset[[#This Row],[Latitude]]))+COS(RADIANS(MyLat))*COS(RADIANS(EVCleanedDataset[[#This Row],[Latitude]]))*COS(RADIANS(EVCleanedDataset[[#This Row],[Longitude]]-MyLong)))</f>
        <v>142.65269379098353</v>
      </c>
      <c r="J637">
        <f t="shared" si="19"/>
        <v>9</v>
      </c>
      <c r="K637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44.242508870001124</v>
      </c>
      <c r="L637" t="str">
        <f>IF(EVCleanedDataset[[#This Row],[Score]]&gt;50,"Yes","No")</f>
        <v>No</v>
      </c>
    </row>
    <row r="638" spans="1:12" x14ac:dyDescent="0.3">
      <c r="A638" t="s">
        <v>471</v>
      </c>
      <c r="B638" t="s">
        <v>41</v>
      </c>
      <c r="C638" t="s">
        <v>42</v>
      </c>
      <c r="D638">
        <v>18.4931152837874</v>
      </c>
      <c r="E638">
        <v>73.815486593164806</v>
      </c>
      <c r="F638">
        <f>IF(COUNTIF($C$5:C638,C638)=1,1,0)</f>
        <v>0</v>
      </c>
      <c r="G638" s="2" t="str">
        <f t="shared" si="18"/>
        <v/>
      </c>
      <c r="H638" s="2">
        <f>MAX(0, MyBattery - (EVCleanedDataset[[#This Row],[Distance(km)]]/VehicleRangeKm)*100)</f>
        <v>0</v>
      </c>
      <c r="I638" s="2">
        <f>6371*ACOS(SIN(RADIANS(MyLat))*SIN(RADIANS(EVCleanedDataset[[#This Row],[Latitude]]))+COS(RADIANS(MyLat))*COS(RADIANS(EVCleanedDataset[[#This Row],[Latitude]]))*COS(RADIANS(EVCleanedDataset[[#This Row],[Longitude]]-MyLong)))</f>
        <v>696.72881539675041</v>
      </c>
      <c r="J638">
        <f t="shared" si="19"/>
        <v>6</v>
      </c>
      <c r="K638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37.803029158860497</v>
      </c>
      <c r="L638" t="str">
        <f>IF(EVCleanedDataset[[#This Row],[Score]]&gt;50,"Yes","No")</f>
        <v>No</v>
      </c>
    </row>
    <row r="639" spans="1:12" x14ac:dyDescent="0.3">
      <c r="A639" t="s">
        <v>2994</v>
      </c>
      <c r="B639" t="s">
        <v>502</v>
      </c>
      <c r="C639" t="s">
        <v>1985</v>
      </c>
      <c r="D639">
        <v>17.712413040000001</v>
      </c>
      <c r="E639">
        <v>83.3184811</v>
      </c>
      <c r="F639">
        <f>IF(COUNTIF($C$5:C639,C639)=1,1,0)</f>
        <v>0</v>
      </c>
      <c r="G639" s="2" t="str">
        <f t="shared" si="18"/>
        <v/>
      </c>
      <c r="H639" s="2">
        <f>MAX(0, MyBattery - (EVCleanedDataset[[#This Row],[Distance(km)]]/VehicleRangeKm)*100)</f>
        <v>0</v>
      </c>
      <c r="I639" s="2">
        <f>6371*ACOS(SIN(RADIANS(MyLat))*SIN(RADIANS(EVCleanedDataset[[#This Row],[Latitude]]))+COS(RADIANS(MyLat))*COS(RADIANS(EVCleanedDataset[[#This Row],[Latitude]]))*COS(RADIANS(EVCleanedDataset[[#This Row],[Longitude]]-MyLong)))</f>
        <v>786.59440901671326</v>
      </c>
      <c r="J639">
        <f t="shared" si="19"/>
        <v>3</v>
      </c>
      <c r="K639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46.229024501712743</v>
      </c>
      <c r="L639" t="str">
        <f>IF(EVCleanedDataset[[#This Row],[Score]]&gt;50,"Yes","No")</f>
        <v>No</v>
      </c>
    </row>
    <row r="640" spans="1:12" x14ac:dyDescent="0.3">
      <c r="A640" t="s">
        <v>968</v>
      </c>
      <c r="B640" t="s">
        <v>502</v>
      </c>
      <c r="C640" t="s">
        <v>1985</v>
      </c>
      <c r="D640">
        <v>17.7407038627437</v>
      </c>
      <c r="E640">
        <v>83.311685815344006</v>
      </c>
      <c r="F640">
        <f>IF(COUNTIF($C$5:C640,C640)=1,1,0)</f>
        <v>0</v>
      </c>
      <c r="G640" s="2" t="str">
        <f t="shared" si="18"/>
        <v/>
      </c>
      <c r="H640" s="2">
        <f>MAX(0, MyBattery - (EVCleanedDataset[[#This Row],[Distance(km)]]/VehicleRangeKm)*100)</f>
        <v>0</v>
      </c>
      <c r="I640" s="2">
        <f>6371*ACOS(SIN(RADIANS(MyLat))*SIN(RADIANS(EVCleanedDataset[[#This Row],[Latitude]]))+COS(RADIANS(MyLat))*COS(RADIANS(EVCleanedDataset[[#This Row],[Latitude]]))*COS(RADIANS(EVCleanedDataset[[#This Row],[Longitude]]-MyLong)))</f>
        <v>787.93210410110703</v>
      </c>
      <c r="J640">
        <f t="shared" si="19"/>
        <v>0</v>
      </c>
      <c r="K640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56.205604492686867</v>
      </c>
      <c r="L640" t="str">
        <f>IF(EVCleanedDataset[[#This Row],[Score]]&gt;50,"Yes","No")</f>
        <v>Yes</v>
      </c>
    </row>
    <row r="641" spans="1:12" x14ac:dyDescent="0.3">
      <c r="A641" t="s">
        <v>379</v>
      </c>
      <c r="B641" t="s">
        <v>115</v>
      </c>
      <c r="C641" t="s">
        <v>1163</v>
      </c>
      <c r="D641">
        <v>17.391683400000002</v>
      </c>
      <c r="E641">
        <v>78.476672399999998</v>
      </c>
      <c r="F641">
        <f>IF(COUNTIF($C$5:C641,C641)=1,1,0)</f>
        <v>0</v>
      </c>
      <c r="G641" s="2" t="str">
        <f t="shared" si="18"/>
        <v/>
      </c>
      <c r="H641" s="2">
        <f>MAX(0, MyBattery - (EVCleanedDataset[[#This Row],[Distance(km)]]/VehicleRangeKm)*100)</f>
        <v>0</v>
      </c>
      <c r="I641" s="2">
        <f>6371*ACOS(SIN(RADIANS(MyLat))*SIN(RADIANS(EVCleanedDataset[[#This Row],[Latitude]]))+COS(RADIANS(MyLat))*COS(RADIANS(EVCleanedDataset[[#This Row],[Latitude]]))*COS(RADIANS(EVCleanedDataset[[#This Row],[Longitude]]-MyLong)))</f>
        <v>460.64740733654941</v>
      </c>
      <c r="J641">
        <f t="shared" si="19"/>
        <v>7</v>
      </c>
      <c r="K64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38.604741036557698</v>
      </c>
      <c r="L641" t="str">
        <f>IF(EVCleanedDataset[[#This Row],[Score]]&gt;50,"Yes","No")</f>
        <v>No</v>
      </c>
    </row>
    <row r="642" spans="1:12" x14ac:dyDescent="0.3">
      <c r="A642" t="s">
        <v>442</v>
      </c>
      <c r="B642" t="s">
        <v>41</v>
      </c>
      <c r="C642" t="s">
        <v>42</v>
      </c>
      <c r="D642">
        <v>18.520778133176499</v>
      </c>
      <c r="E642">
        <v>73.8405353264273</v>
      </c>
      <c r="F642">
        <f>IF(COUNTIF($C$5:C642,C642)=1,1,0)</f>
        <v>0</v>
      </c>
      <c r="G642" s="2" t="str">
        <f t="shared" si="18"/>
        <v/>
      </c>
      <c r="H642" s="2">
        <f>MAX(0, MyBattery - (EVCleanedDataset[[#This Row],[Distance(km)]]/VehicleRangeKm)*100)</f>
        <v>0</v>
      </c>
      <c r="I642" s="2">
        <f>6371*ACOS(SIN(RADIANS(MyLat))*SIN(RADIANS(EVCleanedDataset[[#This Row],[Latitude]]))+COS(RADIANS(MyLat))*COS(RADIANS(EVCleanedDataset[[#This Row],[Latitude]]))*COS(RADIANS(EVCleanedDataset[[#This Row],[Longitude]]-MyLong)))</f>
        <v>697.72014531879472</v>
      </c>
      <c r="J642">
        <f t="shared" si="19"/>
        <v>4</v>
      </c>
      <c r="K642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44.452372474721663</v>
      </c>
      <c r="L642" t="str">
        <f>IF(EVCleanedDataset[[#This Row],[Score]]&gt;50,"Yes","No")</f>
        <v>No</v>
      </c>
    </row>
    <row r="643" spans="1:12" x14ac:dyDescent="0.3">
      <c r="A643" t="s">
        <v>330</v>
      </c>
      <c r="B643" t="s">
        <v>115</v>
      </c>
      <c r="C643" t="s">
        <v>1163</v>
      </c>
      <c r="D643">
        <v>17.427019099999999</v>
      </c>
      <c r="E643">
        <v>78.443419199999994</v>
      </c>
      <c r="F643">
        <f>IF(COUNTIF($C$5:C643,C643)=1,1,0)</f>
        <v>0</v>
      </c>
      <c r="G643" s="2" t="str">
        <f t="shared" si="18"/>
        <v/>
      </c>
      <c r="H643" s="2">
        <f>MAX(0, MyBattery - (EVCleanedDataset[[#This Row],[Distance(km)]]/VehicleRangeKm)*100)</f>
        <v>0</v>
      </c>
      <c r="I643" s="2">
        <f>6371*ACOS(SIN(RADIANS(MyLat))*SIN(RADIANS(EVCleanedDataset[[#This Row],[Latitude]]))+COS(RADIANS(MyLat))*COS(RADIANS(EVCleanedDataset[[#This Row],[Latitude]]))*COS(RADIANS(EVCleanedDataset[[#This Row],[Longitude]]-MyLong)))</f>
        <v>463.72108261920016</v>
      </c>
      <c r="J643">
        <f t="shared" si="19"/>
        <v>1</v>
      </c>
      <c r="K64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58.550924971481841</v>
      </c>
      <c r="L643" t="str">
        <f>IF(EVCleanedDataset[[#This Row],[Score]]&gt;50,"Yes","No")</f>
        <v>Yes</v>
      </c>
    </row>
    <row r="644" spans="1:12" x14ac:dyDescent="0.3">
      <c r="A644" t="s">
        <v>3191</v>
      </c>
      <c r="B644" t="s">
        <v>386</v>
      </c>
      <c r="C644" t="s">
        <v>3378</v>
      </c>
      <c r="D644">
        <v>11.20838069</v>
      </c>
      <c r="E644">
        <v>75.808485869999998</v>
      </c>
      <c r="F644">
        <f>IF(COUNTIF($C$5:C644,C644)=1,1,0)</f>
        <v>0</v>
      </c>
      <c r="G644" s="2" t="str">
        <f t="shared" si="18"/>
        <v/>
      </c>
      <c r="H644" s="2">
        <f>MAX(0, MyBattery - (EVCleanedDataset[[#This Row],[Distance(km)]]/VehicleRangeKm)*100)</f>
        <v>0</v>
      </c>
      <c r="I644" s="2">
        <f>6371*ACOS(SIN(RADIANS(MyLat))*SIN(RADIANS(EVCleanedDataset[[#This Row],[Latitude]]))+COS(RADIANS(MyLat))*COS(RADIANS(EVCleanedDataset[[#This Row],[Latitude]]))*COS(RADIANS(EVCleanedDataset[[#This Row],[Longitude]]-MyLong)))</f>
        <v>303.23158702353595</v>
      </c>
      <c r="J644">
        <f t="shared" si="19"/>
        <v>8</v>
      </c>
      <c r="K64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38.028608701142076</v>
      </c>
      <c r="L644" t="str">
        <f>IF(EVCleanedDataset[[#This Row],[Score]]&gt;50,"Yes","No")</f>
        <v>No</v>
      </c>
    </row>
    <row r="645" spans="1:12" x14ac:dyDescent="0.3">
      <c r="A645" t="s">
        <v>3198</v>
      </c>
      <c r="B645" t="s">
        <v>115</v>
      </c>
      <c r="C645" t="s">
        <v>1163</v>
      </c>
      <c r="D645">
        <v>17.444838000000001</v>
      </c>
      <c r="E645">
        <v>78.466949</v>
      </c>
      <c r="F645">
        <f>IF(COUNTIF($C$5:C645,C645)=1,1,0)</f>
        <v>0</v>
      </c>
      <c r="G645" s="2" t="str">
        <f t="shared" ref="G645:G708" si="20">IF(F645=1, IF(C645=MyCity, "", _xlfn.MINIFS($I$5:$I$1121,$C$5:$C$1121,C645)), "")</f>
        <v/>
      </c>
      <c r="H645" s="2">
        <f>MAX(0, MyBattery - (EVCleanedDataset[[#This Row],[Distance(km)]]/VehicleRangeKm)*100)</f>
        <v>0</v>
      </c>
      <c r="I645" s="2">
        <f>6371*ACOS(SIN(RADIANS(MyLat))*SIN(RADIANS(EVCleanedDataset[[#This Row],[Latitude]]))+COS(RADIANS(MyLat))*COS(RADIANS(EVCleanedDataset[[#This Row],[Latitude]]))*COS(RADIANS(EVCleanedDataset[[#This Row],[Longitude]]-MyLong)))</f>
        <v>466.19014129262479</v>
      </c>
      <c r="J645">
        <f t="shared" ref="J645:J708" si="21">MOD(ROW()*7,10)</f>
        <v>5</v>
      </c>
      <c r="K64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45.174365559368198</v>
      </c>
      <c r="L645" t="str">
        <f>IF(EVCleanedDataset[[#This Row],[Score]]&gt;50,"Yes","No")</f>
        <v>No</v>
      </c>
    </row>
    <row r="646" spans="1:12" x14ac:dyDescent="0.3">
      <c r="A646" t="s">
        <v>2875</v>
      </c>
      <c r="B646" t="s">
        <v>115</v>
      </c>
      <c r="C646" t="s">
        <v>1163</v>
      </c>
      <c r="D646">
        <v>17.3998101</v>
      </c>
      <c r="E646">
        <v>78.555116699999999</v>
      </c>
      <c r="F646">
        <f>IF(COUNTIF($C$5:C646,C646)=1,1,0)</f>
        <v>0</v>
      </c>
      <c r="G646" s="2" t="str">
        <f t="shared" si="20"/>
        <v/>
      </c>
      <c r="H646" s="2">
        <f>MAX(0, MyBattery - (EVCleanedDataset[[#This Row],[Distance(km)]]/VehicleRangeKm)*100)</f>
        <v>0</v>
      </c>
      <c r="I646" s="2">
        <f>6371*ACOS(SIN(RADIANS(MyLat))*SIN(RADIANS(EVCleanedDataset[[#This Row],[Latitude]]))+COS(RADIANS(MyLat))*COS(RADIANS(EVCleanedDataset[[#This Row],[Latitude]]))*COS(RADIANS(EVCleanedDataset[[#This Row],[Longitude]]-MyLong)))</f>
        <v>463.43544820803498</v>
      </c>
      <c r="J646">
        <f t="shared" si="21"/>
        <v>2</v>
      </c>
      <c r="K646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55.22262458456715</v>
      </c>
      <c r="L646" t="str">
        <f>IF(EVCleanedDataset[[#This Row],[Score]]&gt;50,"Yes","No")</f>
        <v>Yes</v>
      </c>
    </row>
    <row r="647" spans="1:12" x14ac:dyDescent="0.3">
      <c r="A647" t="s">
        <v>102</v>
      </c>
      <c r="B647" t="s">
        <v>41</v>
      </c>
      <c r="C647" t="s">
        <v>42</v>
      </c>
      <c r="D647">
        <v>18.561900000000001</v>
      </c>
      <c r="E647">
        <v>73.771799999999999</v>
      </c>
      <c r="F647">
        <f>IF(COUNTIF($C$5:C647,C647)=1,1,0)</f>
        <v>0</v>
      </c>
      <c r="G647" s="2" t="str">
        <f t="shared" si="20"/>
        <v/>
      </c>
      <c r="H647" s="2">
        <f>MAX(0, MyBattery - (EVCleanedDataset[[#This Row],[Distance(km)]]/VehicleRangeKm)*100)</f>
        <v>0</v>
      </c>
      <c r="I647" s="2">
        <f>6371*ACOS(SIN(RADIANS(MyLat))*SIN(RADIANS(EVCleanedDataset[[#This Row],[Latitude]]))+COS(RADIANS(MyLat))*COS(RADIANS(EVCleanedDataset[[#This Row],[Latitude]]))*COS(RADIANS(EVCleanedDataset[[#This Row],[Longitude]]-MyLong)))</f>
        <v>705.63217755229414</v>
      </c>
      <c r="J647">
        <f t="shared" si="21"/>
        <v>9</v>
      </c>
      <c r="K64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27.647174909607706</v>
      </c>
      <c r="L647" t="str">
        <f>IF(EVCleanedDataset[[#This Row],[Score]]&gt;50,"Yes","No")</f>
        <v>No</v>
      </c>
    </row>
    <row r="648" spans="1:12" x14ac:dyDescent="0.3">
      <c r="A648" t="s">
        <v>2927</v>
      </c>
      <c r="B648" t="s">
        <v>502</v>
      </c>
      <c r="C648" t="s">
        <v>1985</v>
      </c>
      <c r="D648">
        <v>17.808350099999998</v>
      </c>
      <c r="E648">
        <v>83.388800599999996</v>
      </c>
      <c r="F648">
        <f>IF(COUNTIF($C$5:C648,C648)=1,1,0)</f>
        <v>0</v>
      </c>
      <c r="G648" s="2" t="str">
        <f t="shared" si="20"/>
        <v/>
      </c>
      <c r="H648" s="2">
        <f>MAX(0, MyBattery - (EVCleanedDataset[[#This Row],[Distance(km)]]/VehicleRangeKm)*100)</f>
        <v>0</v>
      </c>
      <c r="I648" s="2">
        <f>6371*ACOS(SIN(RADIANS(MyLat))*SIN(RADIANS(EVCleanedDataset[[#This Row],[Latitude]]))+COS(RADIANS(MyLat))*COS(RADIANS(EVCleanedDataset[[#This Row],[Latitude]]))*COS(RADIANS(EVCleanedDataset[[#This Row],[Longitude]]-MyLong)))</f>
        <v>798.98938139192319</v>
      </c>
      <c r="J648">
        <f t="shared" si="21"/>
        <v>6</v>
      </c>
      <c r="K648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36.012013969599991</v>
      </c>
      <c r="L648" t="str">
        <f>IF(EVCleanedDataset[[#This Row],[Score]]&gt;50,"Yes","No")</f>
        <v>No</v>
      </c>
    </row>
    <row r="649" spans="1:12" x14ac:dyDescent="0.3">
      <c r="A649" t="s">
        <v>1842</v>
      </c>
      <c r="B649" t="s">
        <v>41</v>
      </c>
      <c r="C649" t="s">
        <v>42</v>
      </c>
      <c r="D649">
        <v>18.621901999999999</v>
      </c>
      <c r="E649">
        <v>73.824969999999993</v>
      </c>
      <c r="F649">
        <f>IF(COUNTIF($C$5:C649,C649)=1,1,0)</f>
        <v>0</v>
      </c>
      <c r="G649" s="2" t="str">
        <f t="shared" si="20"/>
        <v/>
      </c>
      <c r="H649" s="2">
        <f>MAX(0, MyBattery - (EVCleanedDataset[[#This Row],[Distance(km)]]/VehicleRangeKm)*100)</f>
        <v>0</v>
      </c>
      <c r="I649" s="2">
        <f>6371*ACOS(SIN(RADIANS(MyLat))*SIN(RADIANS(EVCleanedDataset[[#This Row],[Latitude]]))+COS(RADIANS(MyLat))*COS(RADIANS(EVCleanedDataset[[#This Row],[Latitude]]))*COS(RADIANS(EVCleanedDataset[[#This Row],[Longitude]]-MyLong)))</f>
        <v>707.88755021482859</v>
      </c>
      <c r="J649">
        <f t="shared" si="21"/>
        <v>3</v>
      </c>
      <c r="K649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47.607691585975616</v>
      </c>
      <c r="L649" t="str">
        <f>IF(EVCleanedDataset[[#This Row],[Score]]&gt;50,"Yes","No")</f>
        <v>No</v>
      </c>
    </row>
    <row r="650" spans="1:12" x14ac:dyDescent="0.3">
      <c r="A650" t="s">
        <v>2657</v>
      </c>
      <c r="B650" t="s">
        <v>68</v>
      </c>
      <c r="C650" t="s">
        <v>2658</v>
      </c>
      <c r="D650">
        <v>20.38000422</v>
      </c>
      <c r="E650">
        <v>72.914852999999994</v>
      </c>
      <c r="F650">
        <f>IF(COUNTIF($C$5:C650,C650)=1,1,0)</f>
        <v>0</v>
      </c>
      <c r="G650" s="2" t="str">
        <f t="shared" si="20"/>
        <v/>
      </c>
      <c r="H650" s="2">
        <f>MAX(0, MyBattery - (EVCleanedDataset[[#This Row],[Distance(km)]]/VehicleRangeKm)*100)</f>
        <v>0</v>
      </c>
      <c r="I650" s="2">
        <f>6371*ACOS(SIN(RADIANS(MyLat))*SIN(RADIANS(EVCleanedDataset[[#This Row],[Latitude]]))+COS(RADIANS(MyLat))*COS(RADIANS(EVCleanedDataset[[#This Row],[Latitude]]))*COS(RADIANS(EVCleanedDataset[[#This Row],[Longitude]]-MyLong)))</f>
        <v>923.46408690540386</v>
      </c>
      <c r="J650">
        <f t="shared" si="21"/>
        <v>0</v>
      </c>
      <c r="K650" s="5">
        <f>((1-(EVCleanedDataset[[#This Row],[Distance(km)]]/MAX($I$5:$I$1121)))*0.4 + (1-(EVCleanedDataset[[#This Row],[QueueLength]]/MAX($J$5:$J$1121)))*0.3 + (EVCleanedDataset[[#This Row],[EstimatedBatteryOnArrival]]/100)*0.3 + (ROW()/10000000))*100</f>
        <v>53.831833483183289</v>
      </c>
      <c r="L650" t="str">
        <f>IF(EVCleanedDataset[[#This Row],[Score]]&gt;50,"Yes","No")</f>
        <v>Yes</v>
      </c>
    </row>
    <row r="651" spans="1:12" x14ac:dyDescent="0.3">
      <c r="A651" t="s">
        <v>2770</v>
      </c>
      <c r="B651" t="s">
        <v>115</v>
      </c>
      <c r="C651" t="s">
        <v>1163</v>
      </c>
      <c r="D651">
        <v>17.561620999999999</v>
      </c>
      <c r="E651">
        <v>78.430317099999996</v>
      </c>
      <c r="F651">
        <f>IF(COUNTIF($C$5:C651,C651)=1,1,0)</f>
        <v>0</v>
      </c>
      <c r="G651" s="2" t="str">
        <f t="shared" si="20"/>
        <v/>
      </c>
      <c r="H651" s="2">
        <f>MAX(0, MyBattery - (EVCleanedDataset[[#This Row],[Distance(km)]]/VehicleRangeKm)*100)</f>
        <v>0</v>
      </c>
      <c r="I651" s="2">
        <f>6371*ACOS(SIN(RADIANS(MyLat))*SIN(RADIANS(EVCleanedDataset[[#This Row],[Latitude]]))+COS(RADIANS(MyLat))*COS(RADIANS(EVCleanedDataset[[#This Row],[Latitude]]))*COS(RADIANS(EVCleanedDataset[[#This Row],[Longitude]]-MyLong)))</f>
        <v>478.07702153467955</v>
      </c>
      <c r="J651">
        <f t="shared" si="21"/>
        <v>7</v>
      </c>
      <c r="K65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38.299557700509126</v>
      </c>
      <c r="L651" t="str">
        <f>IF(EVCleanedDataset[[#This Row],[Score]]&gt;50,"Yes","No")</f>
        <v>No</v>
      </c>
    </row>
    <row r="652" spans="1:12" x14ac:dyDescent="0.3">
      <c r="A652" t="s">
        <v>3210</v>
      </c>
      <c r="B652" t="s">
        <v>49</v>
      </c>
      <c r="C652" t="s">
        <v>2763</v>
      </c>
      <c r="D652">
        <v>11.591984999999999</v>
      </c>
      <c r="E652">
        <v>78.627218999999997</v>
      </c>
      <c r="F652">
        <f>IF(COUNTIF($C$5:C652,C652)=1,1,0)</f>
        <v>1</v>
      </c>
      <c r="G652" s="2">
        <f t="shared" si="20"/>
        <v>228.41051515719883</v>
      </c>
      <c r="H652" s="2">
        <f>MAX(0, MyBattery - (EVCleanedDataset[[#This Row],[Distance(km)]]/VehicleRangeKm)*100)</f>
        <v>0</v>
      </c>
      <c r="I652" s="2">
        <f>6371*ACOS(SIN(RADIANS(MyLat))*SIN(RADIANS(EVCleanedDataset[[#This Row],[Latitude]]))+COS(RADIANS(MyLat))*COS(RADIANS(EVCleanedDataset[[#This Row],[Latitude]]))*COS(RADIANS(EVCleanedDataset[[#This Row],[Longitude]]-MyLong)))</f>
        <v>228.41051515719883</v>
      </c>
      <c r="J652">
        <f t="shared" si="21"/>
        <v>4</v>
      </c>
      <c r="K652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52.672528748303627</v>
      </c>
      <c r="L652" t="str">
        <f>IF(EVCleanedDataset[[#This Row],[Score]]&gt;50,"Yes","No")</f>
        <v>Yes</v>
      </c>
    </row>
    <row r="653" spans="1:12" x14ac:dyDescent="0.3">
      <c r="A653" t="s">
        <v>2964</v>
      </c>
      <c r="B653" t="s">
        <v>68</v>
      </c>
      <c r="C653" t="s">
        <v>185</v>
      </c>
      <c r="D653">
        <v>22.403828000000001</v>
      </c>
      <c r="E653">
        <v>73.134550000000004</v>
      </c>
      <c r="F653">
        <f>IF(COUNTIF($C$5:C653,C653)=1,1,0)</f>
        <v>0</v>
      </c>
      <c r="G653" s="2" t="str">
        <f t="shared" si="20"/>
        <v/>
      </c>
      <c r="H653" s="2">
        <f>MAX(0, MyBattery - (EVCleanedDataset[[#This Row],[Distance(km)]]/VehicleRangeKm)*100)</f>
        <v>0</v>
      </c>
      <c r="I653" s="2">
        <f>6371*ACOS(SIN(RADIANS(MyLat))*SIN(RADIANS(EVCleanedDataset[[#This Row],[Latitude]]))+COS(RADIANS(MyLat))*COS(RADIANS(EVCleanedDataset[[#This Row],[Latitude]]))*COS(RADIANS(EVCleanedDataset[[#This Row],[Longitude]]-MyLong)))</f>
        <v>1109.156401308052</v>
      </c>
      <c r="J653">
        <f t="shared" si="21"/>
        <v>1</v>
      </c>
      <c r="K653" s="5">
        <f>((1-(EVCleanedDataset[[#This Row],[Distance(km)]]/MAX($I$5:$I$1121)))*0.4 + (1-(EVCleanedDataset[[#This Row],[QueueLength]]/MAX($J$5:$J$1121)))*0.3 + (EVCleanedDataset[[#This Row],[EstimatedBatteryOnArrival]]/100)*0.3 + (ROW()/10000000))*100</f>
        <v>47.246090447225782</v>
      </c>
      <c r="L653" t="str">
        <f>IF(EVCleanedDataset[[#This Row],[Score]]&gt;50,"Yes","No")</f>
        <v>No</v>
      </c>
    </row>
    <row r="654" spans="1:12" x14ac:dyDescent="0.3">
      <c r="A654" t="s">
        <v>2657</v>
      </c>
      <c r="B654" t="s">
        <v>18</v>
      </c>
      <c r="C654" t="s">
        <v>2666</v>
      </c>
      <c r="D654">
        <v>28.0236646</v>
      </c>
      <c r="E654">
        <v>77.973842099999999</v>
      </c>
      <c r="F654">
        <f>IF(COUNTIF($C$5:C654,C654)=1,1,0)</f>
        <v>1</v>
      </c>
      <c r="G654" s="2">
        <f t="shared" si="20"/>
        <v>1632.3613697164242</v>
      </c>
      <c r="H654" s="2">
        <f>MAX(0, MyBattery - (EVCleanedDataset[[#This Row],[Distance(km)]]/VehicleRangeKm)*100)</f>
        <v>0</v>
      </c>
      <c r="I654" s="2">
        <f>6371*ACOS(SIN(RADIANS(MyLat))*SIN(RADIANS(EVCleanedDataset[[#This Row],[Latitude]]))+COS(RADIANS(MyLat))*COS(RADIANS(EVCleanedDataset[[#This Row],[Latitude]]))*COS(RADIANS(EVCleanedDataset[[#This Row],[Longitude]]-MyLong)))</f>
        <v>1632.3613697164242</v>
      </c>
      <c r="J654">
        <f t="shared" si="21"/>
        <v>8</v>
      </c>
      <c r="K654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14.748722725002292</v>
      </c>
      <c r="L654" t="str">
        <f>IF(EVCleanedDataset[[#This Row],[Score]]&gt;50,"Yes","No")</f>
        <v>No</v>
      </c>
    </row>
    <row r="655" spans="1:12" x14ac:dyDescent="0.3">
      <c r="A655" t="s">
        <v>1047</v>
      </c>
      <c r="B655" t="s">
        <v>502</v>
      </c>
      <c r="C655" t="s">
        <v>1048</v>
      </c>
      <c r="D655">
        <v>15.576915</v>
      </c>
      <c r="E655">
        <v>77.937039999999996</v>
      </c>
      <c r="F655">
        <f>IF(COUNTIF($C$5:C655,C655)=1,1,0)</f>
        <v>0</v>
      </c>
      <c r="G655" s="2" t="str">
        <f t="shared" si="20"/>
        <v/>
      </c>
      <c r="H655" s="2">
        <f>MAX(0, MyBattery - (EVCleanedDataset[[#This Row],[Distance(km)]]/VehicleRangeKm)*100)</f>
        <v>0</v>
      </c>
      <c r="I655" s="2">
        <f>6371*ACOS(SIN(RADIANS(MyLat))*SIN(RADIANS(EVCleanedDataset[[#This Row],[Latitude]]))+COS(RADIANS(MyLat))*COS(RADIANS(EVCleanedDataset[[#This Row],[Latitude]]))*COS(RADIANS(EVCleanedDataset[[#This Row],[Longitude]]-MyLong)))</f>
        <v>251.42657755811837</v>
      </c>
      <c r="J655">
        <f t="shared" si="21"/>
        <v>5</v>
      </c>
      <c r="K655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48.936094270896632</v>
      </c>
      <c r="L655" t="str">
        <f>IF(EVCleanedDataset[[#This Row],[Score]]&gt;50,"Yes","No")</f>
        <v>No</v>
      </c>
    </row>
    <row r="656" spans="1:12" x14ac:dyDescent="0.3">
      <c r="A656" t="s">
        <v>1364</v>
      </c>
      <c r="B656" t="s">
        <v>502</v>
      </c>
      <c r="C656" t="s">
        <v>1365</v>
      </c>
      <c r="D656">
        <v>16.992119599999999</v>
      </c>
      <c r="E656">
        <v>81.773577399999994</v>
      </c>
      <c r="F656">
        <f>IF(COUNTIF($C$5:C656,C656)=1,1,0)</f>
        <v>0</v>
      </c>
      <c r="G656" s="2" t="str">
        <f t="shared" si="20"/>
        <v/>
      </c>
      <c r="H656" s="2">
        <f>MAX(0, MyBattery - (EVCleanedDataset[[#This Row],[Distance(km)]]/VehicleRangeKm)*100)</f>
        <v>0</v>
      </c>
      <c r="I656" s="2">
        <f>6371*ACOS(SIN(RADIANS(MyLat))*SIN(RADIANS(EVCleanedDataset[[#This Row],[Latitude]]))+COS(RADIANS(MyLat))*COS(RADIANS(EVCleanedDataset[[#This Row],[Latitude]]))*COS(RADIANS(EVCleanedDataset[[#This Row],[Longitude]]-MyLong)))</f>
        <v>608.83106740387746</v>
      </c>
      <c r="J656">
        <f t="shared" si="21"/>
        <v>2</v>
      </c>
      <c r="K656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52.676089921837999</v>
      </c>
      <c r="L656" t="str">
        <f>IF(EVCleanedDataset[[#This Row],[Score]]&gt;50,"Yes","No")</f>
        <v>Yes</v>
      </c>
    </row>
    <row r="657" spans="1:12" x14ac:dyDescent="0.3">
      <c r="A657" t="s">
        <v>1392</v>
      </c>
      <c r="B657" t="s">
        <v>14</v>
      </c>
      <c r="C657" t="s">
        <v>1393</v>
      </c>
      <c r="D657">
        <v>26.487745</v>
      </c>
      <c r="E657">
        <v>74.629316399999993</v>
      </c>
      <c r="F657">
        <f>IF(COUNTIF($C$5:C657,C657)=1,1,0)</f>
        <v>0</v>
      </c>
      <c r="G657" s="2" t="str">
        <f t="shared" si="20"/>
        <v/>
      </c>
      <c r="H657" s="2">
        <f>MAX(0, MyBattery - (EVCleanedDataset[[#This Row],[Distance(km)]]/VehicleRangeKm)*100)</f>
        <v>0</v>
      </c>
      <c r="I657" s="2">
        <f>6371*ACOS(SIN(RADIANS(MyLat))*SIN(RADIANS(EVCleanedDataset[[#This Row],[Latitude]]))+COS(RADIANS(MyLat))*COS(RADIANS(EVCleanedDataset[[#This Row],[Latitude]]))*COS(RADIANS(EVCleanedDataset[[#This Row],[Longitude]]-MyLong)))</f>
        <v>1492.058322844026</v>
      </c>
      <c r="J657">
        <f t="shared" si="21"/>
        <v>9</v>
      </c>
      <c r="K65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13.872856585636207</v>
      </c>
      <c r="L657" t="str">
        <f>IF(EVCleanedDataset[[#This Row],[Score]]&gt;50,"Yes","No")</f>
        <v>No</v>
      </c>
    </row>
    <row r="658" spans="1:12" x14ac:dyDescent="0.3">
      <c r="A658" t="s">
        <v>809</v>
      </c>
      <c r="B658" t="s">
        <v>386</v>
      </c>
      <c r="C658" t="s">
        <v>1831</v>
      </c>
      <c r="D658">
        <v>10.9841315056431</v>
      </c>
      <c r="E658">
        <v>75.997859110153996</v>
      </c>
      <c r="F658">
        <f>IF(COUNTIF($C$5:C658,C658)=1,1,0)</f>
        <v>0</v>
      </c>
      <c r="G658" s="2" t="str">
        <f t="shared" si="20"/>
        <v/>
      </c>
      <c r="H658" s="2">
        <f>MAX(0, MyBattery - (EVCleanedDataset[[#This Row],[Distance(km)]]/VehicleRangeKm)*100)</f>
        <v>0</v>
      </c>
      <c r="I658" s="2">
        <f>6371*ACOS(SIN(RADIANS(MyLat))*SIN(RADIANS(EVCleanedDataset[[#This Row],[Latitude]]))+COS(RADIANS(MyLat))*COS(RADIANS(EVCleanedDataset[[#This Row],[Latitude]]))*COS(RADIANS(EVCleanedDataset[[#This Row],[Longitude]]-MyLong)))</f>
        <v>311.70330629275639</v>
      </c>
      <c r="J658">
        <f t="shared" si="21"/>
        <v>6</v>
      </c>
      <c r="K65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44.547031433937612</v>
      </c>
      <c r="L658" t="str">
        <f>IF(EVCleanedDataset[[#This Row],[Score]]&gt;50,"Yes","No")</f>
        <v>No</v>
      </c>
    </row>
    <row r="659" spans="1:12" x14ac:dyDescent="0.3">
      <c r="A659" t="s">
        <v>2789</v>
      </c>
      <c r="B659" t="s">
        <v>41</v>
      </c>
      <c r="C659" t="s">
        <v>2614</v>
      </c>
      <c r="D659">
        <v>18.763000000000002</v>
      </c>
      <c r="E659">
        <v>73.425200000000004</v>
      </c>
      <c r="F659">
        <f>IF(COUNTIF($C$5:C659,C659)=1,1,0)</f>
        <v>0</v>
      </c>
      <c r="G659" s="2" t="str">
        <f t="shared" si="20"/>
        <v/>
      </c>
      <c r="H659" s="2">
        <f>MAX(0, MyBattery - (EVCleanedDataset[[#This Row],[Distance(km)]]/VehicleRangeKm)*100)</f>
        <v>0</v>
      </c>
      <c r="I659" s="2">
        <f>6371*ACOS(SIN(RADIANS(MyLat))*SIN(RADIANS(EVCleanedDataset[[#This Row],[Latitude]]))+COS(RADIANS(MyLat))*COS(RADIANS(EVCleanedDataset[[#This Row],[Latitude]]))*COS(RADIANS(EVCleanedDataset[[#This Row],[Longitude]]-MyLong)))</f>
        <v>745.19313826251835</v>
      </c>
      <c r="J659">
        <f t="shared" si="21"/>
        <v>3</v>
      </c>
      <c r="K659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46.954376413213268</v>
      </c>
      <c r="L659" t="str">
        <f>IF(EVCleanedDataset[[#This Row],[Score]]&gt;50,"Yes","No")</f>
        <v>No</v>
      </c>
    </row>
    <row r="660" spans="1:12" x14ac:dyDescent="0.3">
      <c r="A660" t="s">
        <v>3342</v>
      </c>
      <c r="B660" t="s">
        <v>386</v>
      </c>
      <c r="C660" t="s">
        <v>2755</v>
      </c>
      <c r="D660">
        <v>10.923581199999999</v>
      </c>
      <c r="E660">
        <v>75.913120500000005</v>
      </c>
      <c r="F660">
        <f>IF(COUNTIF($C$5:C660,C660)=1,1,0)</f>
        <v>1</v>
      </c>
      <c r="G660" s="2">
        <f t="shared" si="20"/>
        <v>322.36557867947084</v>
      </c>
      <c r="H660" s="2">
        <f>MAX(0, MyBattery - (EVCleanedDataset[[#This Row],[Distance(km)]]/VehicleRangeKm)*100)</f>
        <v>0</v>
      </c>
      <c r="I660" s="2">
        <f>6371*ACOS(SIN(RADIANS(MyLat))*SIN(RADIANS(EVCleanedDataset[[#This Row],[Latitude]]))+COS(RADIANS(MyLat))*COS(RADIANS(EVCleanedDataset[[#This Row],[Latitude]]))*COS(RADIANS(EVCleanedDataset[[#This Row],[Longitude]]-MyLong)))</f>
        <v>322.36557867947084</v>
      </c>
      <c r="J660">
        <f t="shared" si="21"/>
        <v>0</v>
      </c>
      <c r="K66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64.360299504315222</v>
      </c>
      <c r="L660" t="str">
        <f>IF(EVCleanedDataset[[#This Row],[Score]]&gt;50,"Yes","No")</f>
        <v>Yes</v>
      </c>
    </row>
    <row r="661" spans="1:12" x14ac:dyDescent="0.3">
      <c r="A661" t="s">
        <v>3297</v>
      </c>
      <c r="B661" t="s">
        <v>14</v>
      </c>
      <c r="C661" t="s">
        <v>2474</v>
      </c>
      <c r="D661">
        <v>24.581105999999998</v>
      </c>
      <c r="E661">
        <v>73.696686999999997</v>
      </c>
      <c r="F661">
        <f>IF(COUNTIF($C$5:C661,C661)=1,1,0)</f>
        <v>1</v>
      </c>
      <c r="G661" s="2">
        <f t="shared" si="20"/>
        <v>1310.1070859674667</v>
      </c>
      <c r="H661" s="2">
        <f>MAX(0, MyBattery - (EVCleanedDataset[[#This Row],[Distance(km)]]/VehicleRangeKm)*100)</f>
        <v>0</v>
      </c>
      <c r="I661" s="2">
        <f>6371*ACOS(SIN(RADIANS(MyLat))*SIN(RADIANS(EVCleanedDataset[[#This Row],[Latitude]]))+COS(RADIANS(MyLat))*COS(RADIANS(EVCleanedDataset[[#This Row],[Latitude]]))*COS(RADIANS(EVCleanedDataset[[#This Row],[Longitude]]-MyLong)))</f>
        <v>1312.3523632703452</v>
      </c>
      <c r="J661">
        <f t="shared" si="21"/>
        <v>7</v>
      </c>
      <c r="K661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23.687150698750674</v>
      </c>
      <c r="L661" t="str">
        <f>IF(EVCleanedDataset[[#This Row],[Score]]&gt;50,"Yes","No")</f>
        <v>No</v>
      </c>
    </row>
    <row r="662" spans="1:12" x14ac:dyDescent="0.3">
      <c r="A662" t="s">
        <v>2770</v>
      </c>
      <c r="B662" t="s">
        <v>3321</v>
      </c>
      <c r="C662" t="s">
        <v>2697</v>
      </c>
      <c r="D662">
        <v>11.630305</v>
      </c>
      <c r="E662">
        <v>92.724834999999999</v>
      </c>
      <c r="F662">
        <f>IF(COUNTIF($C$5:C662,C662)=1,1,0)</f>
        <v>1</v>
      </c>
      <c r="G662" s="2">
        <f t="shared" si="20"/>
        <v>1659.5330485217519</v>
      </c>
      <c r="H662" s="2">
        <f>MAX(0, MyBattery - (EVCleanedDataset[[#This Row],[Distance(km)]]/VehicleRangeKm)*100)</f>
        <v>0</v>
      </c>
      <c r="I662" s="2">
        <f>6371*ACOS(SIN(RADIANS(MyLat))*SIN(RADIANS(EVCleanedDataset[[#This Row],[Latitude]]))+COS(RADIANS(MyLat))*COS(RADIANS(EVCleanedDataset[[#This Row],[Latitude]]))*COS(RADIANS(EVCleanedDataset[[#This Row],[Longitude]]-MyLong)))</f>
        <v>1659.5330485217519</v>
      </c>
      <c r="J662">
        <f t="shared" si="21"/>
        <v>4</v>
      </c>
      <c r="K66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27.606218424276886</v>
      </c>
      <c r="L662" t="str">
        <f>IF(EVCleanedDataset[[#This Row],[Score]]&gt;50,"Yes","No")</f>
        <v>No</v>
      </c>
    </row>
    <row r="663" spans="1:12" x14ac:dyDescent="0.3">
      <c r="A663" t="s">
        <v>2635</v>
      </c>
      <c r="B663" t="s">
        <v>49</v>
      </c>
      <c r="C663" t="s">
        <v>2533</v>
      </c>
      <c r="D663">
        <v>11.42</v>
      </c>
      <c r="E663">
        <v>76.7</v>
      </c>
      <c r="F663">
        <f>IF(COUNTIF($C$5:C663,C663)=1,1,0)</f>
        <v>0</v>
      </c>
      <c r="G663" s="2" t="str">
        <f t="shared" si="20"/>
        <v/>
      </c>
      <c r="H663" s="2">
        <f>MAX(0, MyBattery - (EVCleanedDataset[[#This Row],[Distance(km)]]/VehicleRangeKm)*100)</f>
        <v>0</v>
      </c>
      <c r="I663" s="2">
        <f>6371*ACOS(SIN(RADIANS(MyLat))*SIN(RADIANS(EVCleanedDataset[[#This Row],[Latitude]]))+COS(RADIANS(MyLat))*COS(RADIANS(EVCleanedDataset[[#This Row],[Latitude]]))*COS(RADIANS(EVCleanedDataset[[#This Row],[Longitude]]-MyLong)))</f>
        <v>232.99462894770397</v>
      </c>
      <c r="J663">
        <f t="shared" si="21"/>
        <v>1</v>
      </c>
      <c r="K663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62.592347037030869</v>
      </c>
      <c r="L663" t="str">
        <f>IF(EVCleanedDataset[[#This Row],[Score]]&gt;50,"Yes","No")</f>
        <v>Yes</v>
      </c>
    </row>
    <row r="664" spans="1:12" x14ac:dyDescent="0.3">
      <c r="A664" t="s">
        <v>2880</v>
      </c>
      <c r="B664" t="s">
        <v>8</v>
      </c>
      <c r="C664" t="s">
        <v>9</v>
      </c>
      <c r="D664">
        <v>28.4109579</v>
      </c>
      <c r="E664">
        <v>77.042484000000002</v>
      </c>
      <c r="F664">
        <f>IF(COUNTIF($C$5:C664,C664)=1,1,0)</f>
        <v>0</v>
      </c>
      <c r="G664" s="2" t="str">
        <f t="shared" si="20"/>
        <v/>
      </c>
      <c r="H664" s="2">
        <f>MAX(0, MyBattery - (EVCleanedDataset[[#This Row],[Distance(km)]]/VehicleRangeKm)*100)</f>
        <v>0</v>
      </c>
      <c r="I664" s="2">
        <f>6371*ACOS(SIN(RADIANS(MyLat))*SIN(RADIANS(EVCleanedDataset[[#This Row],[Latitude]]))+COS(RADIANS(MyLat))*COS(RADIANS(EVCleanedDataset[[#This Row],[Latitude]]))*COS(RADIANS(EVCleanedDataset[[#This Row],[Longitude]]-MyLong)))</f>
        <v>1675.5830786032604</v>
      </c>
      <c r="J664">
        <f t="shared" si="21"/>
        <v>8</v>
      </c>
      <c r="K66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13.991785459076517</v>
      </c>
      <c r="L664" t="str">
        <f>IF(EVCleanedDataset[[#This Row],[Score]]&gt;50,"Yes","No")</f>
        <v>No</v>
      </c>
    </row>
    <row r="665" spans="1:12" x14ac:dyDescent="0.3">
      <c r="A665" t="s">
        <v>733</v>
      </c>
      <c r="B665" t="s">
        <v>8</v>
      </c>
      <c r="C665" t="s">
        <v>9</v>
      </c>
      <c r="D665">
        <v>28.428213</v>
      </c>
      <c r="E665">
        <v>77.140545799999998</v>
      </c>
      <c r="F665">
        <f>IF(COUNTIF($C$5:C665,C665)=1,1,0)</f>
        <v>0</v>
      </c>
      <c r="G665" s="2" t="str">
        <f t="shared" si="20"/>
        <v/>
      </c>
      <c r="H665" s="2">
        <f>MAX(0, MyBattery - (EVCleanedDataset[[#This Row],[Distance(km)]]/VehicleRangeKm)*100)</f>
        <v>0</v>
      </c>
      <c r="I665" s="2">
        <f>6371*ACOS(SIN(RADIANS(MyLat))*SIN(RADIANS(EVCleanedDataset[[#This Row],[Latitude]]))+COS(RADIANS(MyLat))*COS(RADIANS(EVCleanedDataset[[#This Row],[Latitude]]))*COS(RADIANS(EVCleanedDataset[[#This Row],[Longitude]]-MyLong)))</f>
        <v>1677.2216982525483</v>
      </c>
      <c r="J665">
        <f t="shared" si="21"/>
        <v>5</v>
      </c>
      <c r="K66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23.963094693393298</v>
      </c>
      <c r="L665" t="str">
        <f>IF(EVCleanedDataset[[#This Row],[Score]]&gt;50,"Yes","No")</f>
        <v>No</v>
      </c>
    </row>
    <row r="666" spans="1:12" x14ac:dyDescent="0.3">
      <c r="A666" t="s">
        <v>3044</v>
      </c>
      <c r="B666" t="s">
        <v>8</v>
      </c>
      <c r="C666" t="s">
        <v>9</v>
      </c>
      <c r="D666">
        <v>28.445882940000001</v>
      </c>
      <c r="E666">
        <v>77.040600870000006</v>
      </c>
      <c r="F666">
        <f>IF(COUNTIF($C$5:C666,C666)=1,1,0)</f>
        <v>0</v>
      </c>
      <c r="G666" s="2" t="str">
        <f t="shared" si="20"/>
        <v/>
      </c>
      <c r="H666" s="2">
        <f>MAX(0, MyBattery - (EVCleanedDataset[[#This Row],[Distance(km)]]/VehicleRangeKm)*100)</f>
        <v>0</v>
      </c>
      <c r="I666" s="2">
        <f>6371*ACOS(SIN(RADIANS(MyLat))*SIN(RADIANS(EVCleanedDataset[[#This Row],[Latitude]]))+COS(RADIANS(MyLat))*COS(RADIANS(EVCleanedDataset[[#This Row],[Latitude]]))*COS(RADIANS(EVCleanedDataset[[#This Row],[Longitude]]-MyLong)))</f>
        <v>1679.470490847033</v>
      </c>
      <c r="J666">
        <f t="shared" si="21"/>
        <v>2</v>
      </c>
      <c r="K66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33.923716621028554</v>
      </c>
      <c r="L666" t="str">
        <f>IF(EVCleanedDataset[[#This Row],[Score]]&gt;50,"Yes","No")</f>
        <v>No</v>
      </c>
    </row>
    <row r="667" spans="1:12" x14ac:dyDescent="0.3">
      <c r="A667" t="s">
        <v>536</v>
      </c>
      <c r="B667" t="s">
        <v>8</v>
      </c>
      <c r="C667" t="s">
        <v>9</v>
      </c>
      <c r="D667">
        <v>28.4493495</v>
      </c>
      <c r="E667">
        <v>77.031596699999994</v>
      </c>
      <c r="F667">
        <f>IF(COUNTIF($C$5:C667,C667)=1,1,0)</f>
        <v>0</v>
      </c>
      <c r="G667" s="2" t="str">
        <f t="shared" si="20"/>
        <v/>
      </c>
      <c r="H667" s="2">
        <f>MAX(0, MyBattery - (EVCleanedDataset[[#This Row],[Distance(km)]]/VehicleRangeKm)*100)</f>
        <v>0</v>
      </c>
      <c r="I667" s="2">
        <f>6371*ACOS(SIN(RADIANS(MyLat))*SIN(RADIANS(EVCleanedDataset[[#This Row],[Latitude]]))+COS(RADIANS(MyLat))*COS(RADIANS(EVCleanedDataset[[#This Row],[Latitude]]))*COS(RADIANS(EVCleanedDataset[[#This Row],[Longitude]]-MyLong)))</f>
        <v>1679.8845120304497</v>
      </c>
      <c r="J667">
        <f t="shared" si="21"/>
        <v>9</v>
      </c>
      <c r="K66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10.583141620123492</v>
      </c>
      <c r="L667" t="str">
        <f>IF(EVCleanedDataset[[#This Row],[Score]]&gt;50,"Yes","No")</f>
        <v>No</v>
      </c>
    </row>
    <row r="668" spans="1:12" x14ac:dyDescent="0.3">
      <c r="A668" t="s">
        <v>516</v>
      </c>
      <c r="B668" t="s">
        <v>8</v>
      </c>
      <c r="C668" t="s">
        <v>9</v>
      </c>
      <c r="D668">
        <v>28.467282300000001</v>
      </c>
      <c r="E668">
        <v>77.092763199999993</v>
      </c>
      <c r="F668">
        <f>IF(COUNTIF($C$5:C668,C668)=1,1,0)</f>
        <v>0</v>
      </c>
      <c r="G668" s="2" t="str">
        <f t="shared" si="20"/>
        <v/>
      </c>
      <c r="H668" s="2">
        <f>MAX(0, MyBattery - (EVCleanedDataset[[#This Row],[Distance(km)]]/VehicleRangeKm)*100)</f>
        <v>0</v>
      </c>
      <c r="I668" s="2">
        <f>6371*ACOS(SIN(RADIANS(MyLat))*SIN(RADIANS(EVCleanedDataset[[#This Row],[Latitude]]))+COS(RADIANS(MyLat))*COS(RADIANS(EVCleanedDataset[[#This Row],[Latitude]]))*COS(RADIANS(EVCleanedDataset[[#This Row],[Longitude]]-MyLong)))</f>
        <v>1681.69249876813</v>
      </c>
      <c r="J668">
        <f t="shared" si="21"/>
        <v>6</v>
      </c>
      <c r="K66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20.551484354483744</v>
      </c>
      <c r="L668" t="str">
        <f>IF(EVCleanedDataset[[#This Row],[Score]]&gt;50,"Yes","No")</f>
        <v>No</v>
      </c>
    </row>
    <row r="669" spans="1:12" x14ac:dyDescent="0.3">
      <c r="A669" t="s">
        <v>3190</v>
      </c>
      <c r="B669" t="s">
        <v>386</v>
      </c>
      <c r="C669" t="s">
        <v>3378</v>
      </c>
      <c r="D669">
        <v>8.8929527910000008</v>
      </c>
      <c r="E669">
        <v>76.578787329999997</v>
      </c>
      <c r="F669">
        <f>IF(COUNTIF($C$5:C669,C669)=1,1,0)</f>
        <v>0</v>
      </c>
      <c r="G669" s="2" t="str">
        <f t="shared" si="20"/>
        <v/>
      </c>
      <c r="H669" s="2">
        <f>MAX(0, MyBattery - (EVCleanedDataset[[#This Row],[Distance(km)]]/VehicleRangeKm)*100)</f>
        <v>0</v>
      </c>
      <c r="I669" s="2">
        <f>6371*ACOS(SIN(RADIANS(MyLat))*SIN(RADIANS(EVCleanedDataset[[#This Row],[Latitude]]))+COS(RADIANS(MyLat))*COS(RADIANS(EVCleanedDataset[[#This Row],[Latitude]]))*COS(RADIANS(EVCleanedDataset[[#This Row],[Longitude]]-MyLong)))</f>
        <v>506.41764976975327</v>
      </c>
      <c r="J669">
        <f t="shared" si="21"/>
        <v>3</v>
      </c>
      <c r="K66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51.136679006172471</v>
      </c>
      <c r="L669" t="str">
        <f>IF(EVCleanedDataset[[#This Row],[Score]]&gt;50,"Yes","No")</f>
        <v>Yes</v>
      </c>
    </row>
    <row r="670" spans="1:12" x14ac:dyDescent="0.3">
      <c r="A670" t="s">
        <v>3231</v>
      </c>
      <c r="B670" t="s">
        <v>49</v>
      </c>
      <c r="C670" t="s">
        <v>1338</v>
      </c>
      <c r="D670">
        <v>9.9444999999999997</v>
      </c>
      <c r="E670">
        <v>78.154179999999997</v>
      </c>
      <c r="F670">
        <f>IF(COUNTIF($C$5:C670,C670)=1,1,0)</f>
        <v>0</v>
      </c>
      <c r="G670" s="2" t="str">
        <f t="shared" si="20"/>
        <v/>
      </c>
      <c r="H670" s="2">
        <f>MAX(0, MyBattery - (EVCleanedDataset[[#This Row],[Distance(km)]]/VehicleRangeKm)*100)</f>
        <v>0</v>
      </c>
      <c r="I670" s="2">
        <f>6371*ACOS(SIN(RADIANS(MyLat))*SIN(RADIANS(EVCleanedDataset[[#This Row],[Latitude]]))+COS(RADIANS(MyLat))*COS(RADIANS(EVCleanedDataset[[#This Row],[Latitude]]))*COS(RADIANS(EVCleanedDataset[[#This Row],[Longitude]]-MyLong)))</f>
        <v>384.48512272654318</v>
      </c>
      <c r="J670">
        <f t="shared" si="21"/>
        <v>0</v>
      </c>
      <c r="K670" s="5">
        <f>((1-(EVCleanedDataset[[#This Row],[Distance(km)]]/MAX($I$5:$I$1121)))*0.4 + (1-(EVCleanedDataset[[#This Row],[QueueLength]]/MAX($J$5:$J$1121)))*0.3 + (EVCleanedDataset[[#This Row],[EstimatedBatteryOnArrival]]/100)*0.3 + (ROW()/10000000))*100</f>
        <v>63.272362705282639</v>
      </c>
      <c r="L670" t="str">
        <f>IF(EVCleanedDataset[[#This Row],[Score]]&gt;50,"Yes","No")</f>
        <v>Yes</v>
      </c>
    </row>
    <row r="671" spans="1:12" x14ac:dyDescent="0.3">
      <c r="A671" t="s">
        <v>2993</v>
      </c>
      <c r="B671" t="s">
        <v>45</v>
      </c>
      <c r="C671" t="s">
        <v>45</v>
      </c>
      <c r="D671">
        <v>28.5512199</v>
      </c>
      <c r="E671">
        <v>77.056702000000001</v>
      </c>
      <c r="F671">
        <f>IF(COUNTIF($C$5:C671,C671)=1,1,0)</f>
        <v>0</v>
      </c>
      <c r="G671" s="2" t="str">
        <f t="shared" si="20"/>
        <v/>
      </c>
      <c r="H671" s="2">
        <f>MAX(0, MyBattery - (EVCleanedDataset[[#This Row],[Distance(km)]]/VehicleRangeKm)*100)</f>
        <v>0</v>
      </c>
      <c r="I671" s="2">
        <f>6371*ACOS(SIN(RADIANS(MyLat))*SIN(RADIANS(EVCleanedDataset[[#This Row],[Latitude]]))+COS(RADIANS(MyLat))*COS(RADIANS(EVCleanedDataset[[#This Row],[Latitude]]))*COS(RADIANS(EVCleanedDataset[[#This Row],[Longitude]]-MyLong)))</f>
        <v>1691.1275595394181</v>
      </c>
      <c r="J671">
        <f t="shared" si="21"/>
        <v>7</v>
      </c>
      <c r="K671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17.052923959500188</v>
      </c>
      <c r="L671" t="str">
        <f>IF(EVCleanedDataset[[#This Row],[Score]]&gt;50,"Yes","No")</f>
        <v>No</v>
      </c>
    </row>
    <row r="672" spans="1:12" x14ac:dyDescent="0.3">
      <c r="A672" t="s">
        <v>2932</v>
      </c>
      <c r="B672" t="s">
        <v>41</v>
      </c>
      <c r="C672" t="s">
        <v>119</v>
      </c>
      <c r="D672">
        <v>18.994535153037098</v>
      </c>
      <c r="E672">
        <v>73.115132418965601</v>
      </c>
      <c r="F672">
        <f>IF(COUNTIF($C$5:C672,C672)=1,1,0)</f>
        <v>0</v>
      </c>
      <c r="G672" s="2" t="str">
        <f t="shared" si="20"/>
        <v/>
      </c>
      <c r="H672" s="2">
        <f>MAX(0, MyBattery - (EVCleanedDataset[[#This Row],[Distance(km)]]/VehicleRangeKm)*100)</f>
        <v>0</v>
      </c>
      <c r="I672" s="2">
        <f>6371*ACOS(SIN(RADIANS(MyLat))*SIN(RADIANS(EVCleanedDataset[[#This Row],[Latitude]]))+COS(RADIANS(MyLat))*COS(RADIANS(EVCleanedDataset[[#This Row],[Latitude]]))*COS(RADIANS(EVCleanedDataset[[#This Row],[Longitude]]-MyLong)))</f>
        <v>785.41755159911997</v>
      </c>
      <c r="J672">
        <f t="shared" si="21"/>
        <v>4</v>
      </c>
      <c r="K67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42.916634072050847</v>
      </c>
      <c r="L672" t="str">
        <f>IF(EVCleanedDataset[[#This Row],[Score]]&gt;50,"Yes","No")</f>
        <v>No</v>
      </c>
    </row>
    <row r="673" spans="1:12" x14ac:dyDescent="0.3">
      <c r="A673" t="s">
        <v>2784</v>
      </c>
      <c r="B673" t="s">
        <v>45</v>
      </c>
      <c r="C673" t="s">
        <v>46</v>
      </c>
      <c r="D673">
        <v>28.565999999999999</v>
      </c>
      <c r="E673">
        <v>77.266400000000004</v>
      </c>
      <c r="F673">
        <f>IF(COUNTIF($C$5:C673,C673)=1,1,0)</f>
        <v>0</v>
      </c>
      <c r="G673" s="2" t="str">
        <f t="shared" si="20"/>
        <v/>
      </c>
      <c r="H673" s="2">
        <f>MAX(0, MyBattery - (EVCleanedDataset[[#This Row],[Distance(km)]]/VehicleRangeKm)*100)</f>
        <v>0</v>
      </c>
      <c r="I673" s="2">
        <f>6371*ACOS(SIN(RADIANS(MyLat))*SIN(RADIANS(EVCleanedDataset[[#This Row],[Latitude]]))+COS(RADIANS(MyLat))*COS(RADIANS(EVCleanedDataset[[#This Row],[Latitude]]))*COS(RADIANS(EVCleanedDataset[[#This Row],[Longitude]]-MyLong)))</f>
        <v>1692.2722506675673</v>
      </c>
      <c r="J673">
        <f t="shared" si="21"/>
        <v>1</v>
      </c>
      <c r="K67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37.032894455112192</v>
      </c>
      <c r="L673" t="str">
        <f>IF(EVCleanedDataset[[#This Row],[Score]]&gt;50,"Yes","No")</f>
        <v>No</v>
      </c>
    </row>
    <row r="674" spans="1:12" x14ac:dyDescent="0.3">
      <c r="A674" t="s">
        <v>1685</v>
      </c>
      <c r="B674" t="s">
        <v>45</v>
      </c>
      <c r="C674" t="s">
        <v>46</v>
      </c>
      <c r="D674">
        <v>28.582673790000001</v>
      </c>
      <c r="E674">
        <v>77.17947959</v>
      </c>
      <c r="F674">
        <f>IF(COUNTIF($C$5:C674,C674)=1,1,0)</f>
        <v>0</v>
      </c>
      <c r="G674" s="2" t="str">
        <f t="shared" si="20"/>
        <v/>
      </c>
      <c r="H674" s="2">
        <f>MAX(0, MyBattery - (EVCleanedDataset[[#This Row],[Distance(km)]]/VehicleRangeKm)*100)</f>
        <v>0</v>
      </c>
      <c r="I674" s="2">
        <f>6371*ACOS(SIN(RADIANS(MyLat))*SIN(RADIANS(EVCleanedDataset[[#This Row],[Latitude]]))+COS(RADIANS(MyLat))*COS(RADIANS(EVCleanedDataset[[#This Row],[Latitude]]))*COS(RADIANS(EVCleanedDataset[[#This Row],[Longitude]]-MyLong)))</f>
        <v>1694.2985228486457</v>
      </c>
      <c r="J674">
        <f t="shared" si="21"/>
        <v>8</v>
      </c>
      <c r="K67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13.664080540969081</v>
      </c>
      <c r="L674" t="str">
        <f>IF(EVCleanedDataset[[#This Row],[Score]]&gt;50,"Yes","No")</f>
        <v>No</v>
      </c>
    </row>
    <row r="675" spans="1:12" x14ac:dyDescent="0.3">
      <c r="A675" t="s">
        <v>538</v>
      </c>
      <c r="B675" t="s">
        <v>41</v>
      </c>
      <c r="C675" t="s">
        <v>119</v>
      </c>
      <c r="D675">
        <v>18.928454509660899</v>
      </c>
      <c r="E675">
        <v>72.832030313899693</v>
      </c>
      <c r="F675">
        <f>IF(COUNTIF($C$5:C675,C675)=1,1,0)</f>
        <v>0</v>
      </c>
      <c r="G675" s="2" t="str">
        <f t="shared" si="20"/>
        <v/>
      </c>
      <c r="H675" s="2">
        <f>MAX(0, MyBattery - (EVCleanedDataset[[#This Row],[Distance(km)]]/VehicleRangeKm)*100)</f>
        <v>0</v>
      </c>
      <c r="I675" s="2">
        <f>6371*ACOS(SIN(RADIANS(MyLat))*SIN(RADIANS(EVCleanedDataset[[#This Row],[Latitude]]))+COS(RADIANS(MyLat))*COS(RADIANS(EVCleanedDataset[[#This Row],[Latitude]]))*COS(RADIANS(EVCleanedDataset[[#This Row],[Longitude]]-MyLong)))</f>
        <v>798.27322566437624</v>
      </c>
      <c r="J675">
        <f t="shared" si="21"/>
        <v>5</v>
      </c>
      <c r="K675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39.358160920201648</v>
      </c>
      <c r="L675" t="str">
        <f>IF(EVCleanedDataset[[#This Row],[Score]]&gt;50,"Yes","No")</f>
        <v>No</v>
      </c>
    </row>
    <row r="676" spans="1:12" x14ac:dyDescent="0.3">
      <c r="A676" t="s">
        <v>2839</v>
      </c>
      <c r="B676" t="s">
        <v>64</v>
      </c>
      <c r="C676" t="s">
        <v>65</v>
      </c>
      <c r="D676">
        <v>30.3886</v>
      </c>
      <c r="E676">
        <v>78.065399999999997</v>
      </c>
      <c r="F676">
        <f>IF(COUNTIF($C$5:C676,C676)=1,1,0)</f>
        <v>1</v>
      </c>
      <c r="G676" s="2">
        <f t="shared" si="20"/>
        <v>1879.9674329542991</v>
      </c>
      <c r="H676" s="2">
        <f>MAX(0, MyBattery - (EVCleanedDataset[[#This Row],[Distance(km)]]/VehicleRangeKm)*100)</f>
        <v>0</v>
      </c>
      <c r="I676" s="2">
        <f>6371*ACOS(SIN(RADIANS(MyLat))*SIN(RADIANS(EVCleanedDataset[[#This Row],[Latitude]]))+COS(RADIANS(MyLat))*COS(RADIANS(EVCleanedDataset[[#This Row],[Latitude]]))*COS(RADIANS(EVCleanedDataset[[#This Row],[Longitude]]-MyLong)))</f>
        <v>1895.4782958544045</v>
      </c>
      <c r="J676">
        <f t="shared" si="21"/>
        <v>2</v>
      </c>
      <c r="K676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30.140394763518135</v>
      </c>
      <c r="L676" t="str">
        <f>IF(EVCleanedDataset[[#This Row],[Score]]&gt;50,"Yes","No")</f>
        <v>No</v>
      </c>
    </row>
    <row r="677" spans="1:12" x14ac:dyDescent="0.3">
      <c r="A677" t="s">
        <v>3184</v>
      </c>
      <c r="B677" t="s">
        <v>45</v>
      </c>
      <c r="C677" t="s">
        <v>45</v>
      </c>
      <c r="D677">
        <v>28.595833330000001</v>
      </c>
      <c r="E677">
        <v>77.180555560000002</v>
      </c>
      <c r="F677">
        <f>IF(COUNTIF($C$5:C677,C677)=1,1,0)</f>
        <v>0</v>
      </c>
      <c r="G677" s="2" t="str">
        <f t="shared" si="20"/>
        <v/>
      </c>
      <c r="H677" s="2">
        <f>MAX(0, MyBattery - (EVCleanedDataset[[#This Row],[Distance(km)]]/VehicleRangeKm)*100)</f>
        <v>0</v>
      </c>
      <c r="I677" s="2">
        <f>6371*ACOS(SIN(RADIANS(MyLat))*SIN(RADIANS(EVCleanedDataset[[#This Row],[Latitude]]))+COS(RADIANS(MyLat))*COS(RADIANS(EVCleanedDataset[[#This Row],[Latitude]]))*COS(RADIANS(EVCleanedDataset[[#This Row],[Longitude]]-MyLong)))</f>
        <v>1695.7589811977964</v>
      </c>
      <c r="J677">
        <f t="shared" si="21"/>
        <v>9</v>
      </c>
      <c r="K67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10.305196974366062</v>
      </c>
      <c r="L677" t="str">
        <f>IF(EVCleanedDataset[[#This Row],[Score]]&gt;50,"Yes","No")</f>
        <v>No</v>
      </c>
    </row>
    <row r="678" spans="1:12" x14ac:dyDescent="0.3">
      <c r="A678" t="s">
        <v>3152</v>
      </c>
      <c r="B678" t="s">
        <v>18</v>
      </c>
      <c r="C678" t="s">
        <v>259</v>
      </c>
      <c r="D678">
        <v>28.570888709999998</v>
      </c>
      <c r="E678">
        <v>77.362121049999999</v>
      </c>
      <c r="F678">
        <f>IF(COUNTIF($C$5:C678,C678)=1,1,0)</f>
        <v>1</v>
      </c>
      <c r="G678" s="2">
        <f t="shared" si="20"/>
        <v>1680.0116489423065</v>
      </c>
      <c r="H678" s="2">
        <f>MAX(0, MyBattery - (EVCleanedDataset[[#This Row],[Distance(km)]]/VehicleRangeKm)*100)</f>
        <v>0</v>
      </c>
      <c r="I678" s="2">
        <f>6371*ACOS(SIN(RADIANS(MyLat))*SIN(RADIANS(EVCleanedDataset[[#This Row],[Latitude]]))+COS(RADIANS(MyLat))*COS(RADIANS(EVCleanedDataset[[#This Row],[Latitude]]))*COS(RADIANS(EVCleanedDataset[[#This Row],[Longitude]]-MyLong)))</f>
        <v>1692.680807263084</v>
      </c>
      <c r="J678">
        <f t="shared" si="21"/>
        <v>6</v>
      </c>
      <c r="K67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20.359121834273154</v>
      </c>
      <c r="L678" t="str">
        <f>IF(EVCleanedDataset[[#This Row],[Score]]&gt;50,"Yes","No")</f>
        <v>No</v>
      </c>
    </row>
    <row r="679" spans="1:12" x14ac:dyDescent="0.3">
      <c r="A679" t="s">
        <v>3162</v>
      </c>
      <c r="B679" t="s">
        <v>18</v>
      </c>
      <c r="C679" t="s">
        <v>259</v>
      </c>
      <c r="D679">
        <v>28.582606859999999</v>
      </c>
      <c r="E679">
        <v>77.312843580000006</v>
      </c>
      <c r="F679">
        <f>IF(COUNTIF($C$5:C679,C679)=1,1,0)</f>
        <v>0</v>
      </c>
      <c r="G679" s="2" t="str">
        <f t="shared" si="20"/>
        <v/>
      </c>
      <c r="H679" s="2">
        <f>MAX(0, MyBattery - (EVCleanedDataset[[#This Row],[Distance(km)]]/VehicleRangeKm)*100)</f>
        <v>0</v>
      </c>
      <c r="I679" s="2">
        <f>6371*ACOS(SIN(RADIANS(MyLat))*SIN(RADIANS(EVCleanedDataset[[#This Row],[Latitude]]))+COS(RADIANS(MyLat))*COS(RADIANS(EVCleanedDataset[[#This Row],[Latitude]]))*COS(RADIANS(EVCleanedDataset[[#This Row],[Longitude]]-MyLong)))</f>
        <v>1694.0459206476844</v>
      </c>
      <c r="J679">
        <f t="shared" si="21"/>
        <v>3</v>
      </c>
      <c r="K67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30.335221587987839</v>
      </c>
      <c r="L679" t="str">
        <f>IF(EVCleanedDataset[[#This Row],[Score]]&gt;50,"Yes","No")</f>
        <v>No</v>
      </c>
    </row>
    <row r="680" spans="1:12" x14ac:dyDescent="0.3">
      <c r="A680" t="s">
        <v>3161</v>
      </c>
      <c r="B680" t="s">
        <v>18</v>
      </c>
      <c r="C680" t="s">
        <v>259</v>
      </c>
      <c r="D680">
        <v>28.584864710000002</v>
      </c>
      <c r="E680">
        <v>77.315031590000004</v>
      </c>
      <c r="F680">
        <f>IF(COUNTIF($C$5:C680,C680)=1,1,0)</f>
        <v>0</v>
      </c>
      <c r="G680" s="2" t="str">
        <f t="shared" si="20"/>
        <v/>
      </c>
      <c r="H680" s="2">
        <f>MAX(0, MyBattery - (EVCleanedDataset[[#This Row],[Distance(km)]]/VehicleRangeKm)*100)</f>
        <v>0</v>
      </c>
      <c r="I680" s="2">
        <f>6371*ACOS(SIN(RADIANS(MyLat))*SIN(RADIANS(EVCleanedDataset[[#This Row],[Latitude]]))+COS(RADIANS(MyLat))*COS(RADIANS(EVCleanedDataset[[#This Row],[Latitude]]))*COS(RADIANS(EVCleanedDataset[[#This Row],[Longitude]]-MyLong)))</f>
        <v>1694.2938694241802</v>
      </c>
      <c r="J680">
        <f t="shared" si="21"/>
        <v>0</v>
      </c>
      <c r="K68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40.330888713337984</v>
      </c>
      <c r="L680" t="str">
        <f>IF(EVCleanedDataset[[#This Row],[Score]]&gt;50,"Yes","No")</f>
        <v>No</v>
      </c>
    </row>
    <row r="681" spans="1:12" x14ac:dyDescent="0.3">
      <c r="A681" t="s">
        <v>2770</v>
      </c>
      <c r="B681" t="s">
        <v>18</v>
      </c>
      <c r="C681" t="s">
        <v>259</v>
      </c>
      <c r="D681">
        <v>28.592257</v>
      </c>
      <c r="E681">
        <v>77.322171999999995</v>
      </c>
      <c r="F681">
        <f>IF(COUNTIF($C$5:C681,C681)=1,1,0)</f>
        <v>0</v>
      </c>
      <c r="G681" s="2" t="str">
        <f t="shared" si="20"/>
        <v/>
      </c>
      <c r="H681" s="2">
        <f>MAX(0, MyBattery - (EVCleanedDataset[[#This Row],[Distance(km)]]/VehicleRangeKm)*100)</f>
        <v>0</v>
      </c>
      <c r="I681" s="2">
        <f>6371*ACOS(SIN(RADIANS(MyLat))*SIN(RADIANS(EVCleanedDataset[[#This Row],[Latitude]]))+COS(RADIANS(MyLat))*COS(RADIANS(EVCleanedDataset[[#This Row],[Latitude]]))*COS(RADIANS(EVCleanedDataset[[#This Row],[Longitude]]-MyLong)))</f>
        <v>1695.1059134306986</v>
      </c>
      <c r="J681">
        <f t="shared" si="21"/>
        <v>7</v>
      </c>
      <c r="K68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16.983342259486303</v>
      </c>
      <c r="L681" t="str">
        <f>IF(EVCleanedDataset[[#This Row],[Score]]&gt;50,"Yes","No")</f>
        <v>No</v>
      </c>
    </row>
    <row r="682" spans="1:12" x14ac:dyDescent="0.3">
      <c r="A682" t="s">
        <v>2982</v>
      </c>
      <c r="B682" t="s">
        <v>45</v>
      </c>
      <c r="C682" t="s">
        <v>45</v>
      </c>
      <c r="D682">
        <v>28.603498800000001</v>
      </c>
      <c r="E682">
        <v>77.335422100000002</v>
      </c>
      <c r="F682">
        <f>IF(COUNTIF($C$5:C682,C682)=1,1,0)</f>
        <v>0</v>
      </c>
      <c r="G682" s="2" t="str">
        <f t="shared" si="20"/>
        <v/>
      </c>
      <c r="H682" s="2">
        <f>MAX(0, MyBattery - (EVCleanedDataset[[#This Row],[Distance(km)]]/VehicleRangeKm)*100)</f>
        <v>0</v>
      </c>
      <c r="I682" s="2">
        <f>6371*ACOS(SIN(RADIANS(MyLat))*SIN(RADIANS(EVCleanedDataset[[#This Row],[Latitude]]))+COS(RADIANS(MyLat))*COS(RADIANS(EVCleanedDataset[[#This Row],[Latitude]]))*COS(RADIANS(EVCleanedDataset[[#This Row],[Longitude]]-MyLong)))</f>
        <v>1696.3384001013301</v>
      </c>
      <c r="J682">
        <f t="shared" si="21"/>
        <v>4</v>
      </c>
      <c r="K68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26.961764997819543</v>
      </c>
      <c r="L682" t="str">
        <f>IF(EVCleanedDataset[[#This Row],[Score]]&gt;50,"Yes","No")</f>
        <v>No</v>
      </c>
    </row>
    <row r="683" spans="1:12" x14ac:dyDescent="0.3">
      <c r="A683" t="s">
        <v>3031</v>
      </c>
      <c r="B683" t="s">
        <v>18</v>
      </c>
      <c r="C683" t="s">
        <v>1259</v>
      </c>
      <c r="D683">
        <v>28.619548300000002</v>
      </c>
      <c r="E683">
        <v>77.483818299999996</v>
      </c>
      <c r="F683">
        <f>IF(COUNTIF($C$5:C683,C683)=1,1,0)</f>
        <v>0</v>
      </c>
      <c r="G683" s="2" t="str">
        <f t="shared" si="20"/>
        <v/>
      </c>
      <c r="H683" s="2">
        <f>MAX(0, MyBattery - (EVCleanedDataset[[#This Row],[Distance(km)]]/VehicleRangeKm)*100)</f>
        <v>0</v>
      </c>
      <c r="I683" s="2">
        <f>6371*ACOS(SIN(RADIANS(MyLat))*SIN(RADIANS(EVCleanedDataset[[#This Row],[Latitude]]))+COS(RADIANS(MyLat))*COS(RADIANS(EVCleanedDataset[[#This Row],[Latitude]]))*COS(RADIANS(EVCleanedDataset[[#This Row],[Longitude]]-MyLong)))</f>
        <v>1698.0034362045733</v>
      </c>
      <c r="J683">
        <f t="shared" si="21"/>
        <v>1</v>
      </c>
      <c r="K68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36.932611542423388</v>
      </c>
      <c r="L683" t="str">
        <f>IF(EVCleanedDataset[[#This Row],[Score]]&gt;50,"Yes","No")</f>
        <v>No</v>
      </c>
    </row>
    <row r="684" spans="1:12" x14ac:dyDescent="0.3">
      <c r="A684" t="s">
        <v>1822</v>
      </c>
      <c r="B684" t="s">
        <v>41</v>
      </c>
      <c r="C684" t="s">
        <v>1206</v>
      </c>
      <c r="D684">
        <v>19.068953570000001</v>
      </c>
      <c r="E684">
        <v>73.022510150000002</v>
      </c>
      <c r="F684">
        <f>IF(COUNTIF($C$5:C684,C684)=1,1,0)</f>
        <v>0</v>
      </c>
      <c r="G684" s="2" t="str">
        <f t="shared" si="20"/>
        <v/>
      </c>
      <c r="H684" s="2">
        <f>MAX(0, MyBattery - (EVCleanedDataset[[#This Row],[Distance(km)]]/VehicleRangeKm)*100)</f>
        <v>0</v>
      </c>
      <c r="I684" s="2">
        <f>6371*ACOS(SIN(RADIANS(MyLat))*SIN(RADIANS(EVCleanedDataset[[#This Row],[Latitude]]))+COS(RADIANS(MyLat))*COS(RADIANS(EVCleanedDataset[[#This Row],[Latitude]]))*COS(RADIANS(EVCleanedDataset[[#This Row],[Longitude]]-MyLong)))</f>
        <v>797.91920539179341</v>
      </c>
      <c r="J684">
        <f t="shared" si="21"/>
        <v>8</v>
      </c>
      <c r="K68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29.364451659277936</v>
      </c>
      <c r="L684" t="str">
        <f>IF(EVCleanedDataset[[#This Row],[Score]]&gt;50,"Yes","No")</f>
        <v>No</v>
      </c>
    </row>
    <row r="685" spans="1:12" x14ac:dyDescent="0.3">
      <c r="A685" t="s">
        <v>3315</v>
      </c>
      <c r="B685" t="s">
        <v>18</v>
      </c>
      <c r="C685" t="s">
        <v>1259</v>
      </c>
      <c r="D685">
        <v>28.646630900000002</v>
      </c>
      <c r="E685">
        <v>77.384303000000003</v>
      </c>
      <c r="F685">
        <f>IF(COUNTIF($C$5:C685,C685)=1,1,0)</f>
        <v>0</v>
      </c>
      <c r="G685" s="2" t="str">
        <f t="shared" si="20"/>
        <v/>
      </c>
      <c r="H685" s="2">
        <f>MAX(0, MyBattery - (EVCleanedDataset[[#This Row],[Distance(km)]]/VehicleRangeKm)*100)</f>
        <v>0</v>
      </c>
      <c r="I685" s="2">
        <f>6371*ACOS(SIN(RADIANS(MyLat))*SIN(RADIANS(EVCleanedDataset[[#This Row],[Latitude]]))+COS(RADIANS(MyLat))*COS(RADIANS(EVCleanedDataset[[#This Row],[Latitude]]))*COS(RADIANS(EVCleanedDataset[[#This Row],[Longitude]]-MyLong)))</f>
        <v>1701.0795256300346</v>
      </c>
      <c r="J685">
        <f t="shared" si="21"/>
        <v>5</v>
      </c>
      <c r="K68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23.54541985979823</v>
      </c>
      <c r="L685" t="str">
        <f>IF(EVCleanedDataset[[#This Row],[Score]]&gt;50,"Yes","No")</f>
        <v>No</v>
      </c>
    </row>
    <row r="686" spans="1:12" x14ac:dyDescent="0.3">
      <c r="A686" t="s">
        <v>2482</v>
      </c>
      <c r="B686" t="s">
        <v>14</v>
      </c>
      <c r="C686" t="s">
        <v>214</v>
      </c>
      <c r="D686">
        <v>26.901322100000002</v>
      </c>
      <c r="E686">
        <v>75.835451199999994</v>
      </c>
      <c r="F686">
        <f>IF(COUNTIF($C$5:C686,C686)=1,1,0)</f>
        <v>0</v>
      </c>
      <c r="G686" s="2" t="str">
        <f t="shared" si="20"/>
        <v/>
      </c>
      <c r="H686" s="2">
        <f>MAX(0, MyBattery - (EVCleanedDataset[[#This Row],[Distance(km)]]/VehicleRangeKm)*100)</f>
        <v>0</v>
      </c>
      <c r="I686" s="2">
        <f>6371*ACOS(SIN(RADIANS(MyLat))*SIN(RADIANS(EVCleanedDataset[[#This Row],[Latitude]]))+COS(RADIANS(MyLat))*COS(RADIANS(EVCleanedDataset[[#This Row],[Latitude]]))*COS(RADIANS(EVCleanedDataset[[#This Row],[Longitude]]-MyLong)))</f>
        <v>1517.3097028106367</v>
      </c>
      <c r="J686">
        <f t="shared" si="21"/>
        <v>2</v>
      </c>
      <c r="K68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36.764196720477173</v>
      </c>
      <c r="L686" t="str">
        <f>IF(EVCleanedDataset[[#This Row],[Score]]&gt;50,"Yes","No")</f>
        <v>No</v>
      </c>
    </row>
    <row r="687" spans="1:12" x14ac:dyDescent="0.3">
      <c r="A687" t="s">
        <v>652</v>
      </c>
      <c r="B687" t="s">
        <v>45</v>
      </c>
      <c r="C687" t="s">
        <v>45</v>
      </c>
      <c r="D687">
        <v>28.683936899999999</v>
      </c>
      <c r="E687">
        <v>77.202296799999999</v>
      </c>
      <c r="F687">
        <f>IF(COUNTIF($C$5:C687,C687)=1,1,0)</f>
        <v>0</v>
      </c>
      <c r="G687" s="2" t="str">
        <f t="shared" si="20"/>
        <v/>
      </c>
      <c r="H687" s="2">
        <f>MAX(0, MyBattery - (EVCleanedDataset[[#This Row],[Distance(km)]]/VehicleRangeKm)*100)</f>
        <v>0</v>
      </c>
      <c r="I687" s="2">
        <f>6371*ACOS(SIN(RADIANS(MyLat))*SIN(RADIANS(EVCleanedDataset[[#This Row],[Latitude]]))+COS(RADIANS(MyLat))*COS(RADIANS(EVCleanedDataset[[#This Row],[Latitude]]))*COS(RADIANS(EVCleanedDataset[[#This Row],[Longitude]]-MyLong)))</f>
        <v>1705.5059431325001</v>
      </c>
      <c r="J687">
        <f t="shared" si="21"/>
        <v>9</v>
      </c>
      <c r="K68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10.134576898640923</v>
      </c>
      <c r="L687" t="str">
        <f>IF(EVCleanedDataset[[#This Row],[Score]]&gt;50,"Yes","No")</f>
        <v>No</v>
      </c>
    </row>
    <row r="688" spans="1:12" x14ac:dyDescent="0.3">
      <c r="A688" t="s">
        <v>553</v>
      </c>
      <c r="B688" t="s">
        <v>14</v>
      </c>
      <c r="C688" t="s">
        <v>214</v>
      </c>
      <c r="D688">
        <v>26.911545</v>
      </c>
      <c r="E688">
        <v>75.748760000000004</v>
      </c>
      <c r="F688">
        <f>IF(COUNTIF($C$5:C688,C688)=1,1,0)</f>
        <v>0</v>
      </c>
      <c r="G688" s="2" t="str">
        <f t="shared" si="20"/>
        <v/>
      </c>
      <c r="H688" s="2">
        <f>MAX(0, MyBattery - (EVCleanedDataset[[#This Row],[Distance(km)]]/VehicleRangeKm)*100)</f>
        <v>0</v>
      </c>
      <c r="I688" s="2">
        <f>6371*ACOS(SIN(RADIANS(MyLat))*SIN(RADIANS(EVCleanedDataset[[#This Row],[Latitude]]))+COS(RADIANS(MyLat))*COS(RADIANS(EVCleanedDataset[[#This Row],[Latitude]]))*COS(RADIANS(EVCleanedDataset[[#This Row],[Longitude]]-MyLong)))</f>
        <v>1519.5165081807193</v>
      </c>
      <c r="J688">
        <f t="shared" si="21"/>
        <v>6</v>
      </c>
      <c r="K688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23.392230729791219</v>
      </c>
      <c r="L688" t="str">
        <f>IF(EVCleanedDataset[[#This Row],[Score]]&gt;50,"Yes","No")</f>
        <v>No</v>
      </c>
    </row>
    <row r="689" spans="1:12" x14ac:dyDescent="0.3">
      <c r="A689" t="s">
        <v>2857</v>
      </c>
      <c r="B689" t="s">
        <v>150</v>
      </c>
      <c r="C689" t="s">
        <v>1341</v>
      </c>
      <c r="D689">
        <v>12.9739999771118</v>
      </c>
      <c r="E689">
        <v>77.551399230957003</v>
      </c>
      <c r="F689">
        <f>IF(COUNTIF($C$5:C689,C689)=1,1,0)</f>
        <v>0</v>
      </c>
      <c r="G689" s="2" t="str">
        <f t="shared" si="20"/>
        <v/>
      </c>
      <c r="H689" s="2">
        <f>MAX(0, MyBattery - (EVCleanedDataset[[#This Row],[Distance(km)]]/VehicleRangeKm)*100)</f>
        <v>56.087219977571486</v>
      </c>
      <c r="I689" s="2">
        <f>6371*ACOS(SIN(RADIANS(MyLat))*SIN(RADIANS(EVCleanedDataset[[#This Row],[Latitude]]))+COS(RADIANS(MyLat))*COS(RADIANS(EVCleanedDataset[[#This Row],[Latitude]]))*COS(RADIANS(EVCleanedDataset[[#This Row],[Longitude]]-MyLong)))</f>
        <v>41.738340067285542</v>
      </c>
      <c r="J689">
        <f t="shared" si="21"/>
        <v>3</v>
      </c>
      <c r="K689" s="5">
        <f>((1-(EVCleanedDataset[[#This Row],[Distance(km)]]/MAX($I$5:$I$1121)))*0.4 + (1-(EVCleanedDataset[[#This Row],[QueueLength]]/MAX($J$5:$J$1121)))*0.3 + (EVCleanedDataset[[#This Row],[EstimatedBatteryOnArrival]]/100)*0.3 + (ROW()/10000000))*100</f>
        <v>76.102000242293471</v>
      </c>
      <c r="L689" t="str">
        <f>IF(EVCleanedDataset[[#This Row],[Score]]&gt;50,"Yes","No")</f>
        <v>Yes</v>
      </c>
    </row>
    <row r="690" spans="1:12" x14ac:dyDescent="0.3">
      <c r="A690" t="s">
        <v>3227</v>
      </c>
      <c r="B690" t="s">
        <v>49</v>
      </c>
      <c r="C690" t="s">
        <v>2769</v>
      </c>
      <c r="D690">
        <v>11.71881</v>
      </c>
      <c r="E690">
        <v>79.335750000000004</v>
      </c>
      <c r="F690">
        <f>IF(COUNTIF($C$5:C690,C690)=1,1,0)</f>
        <v>1</v>
      </c>
      <c r="G690" s="2">
        <f t="shared" si="20"/>
        <v>266.38161990472906</v>
      </c>
      <c r="H690" s="2">
        <f>MAX(0, MyBattery - (EVCleanedDataset[[#This Row],[Distance(km)]]/VehicleRangeKm)*100)</f>
        <v>0</v>
      </c>
      <c r="I690" s="2">
        <f>6371*ACOS(SIN(RADIANS(MyLat))*SIN(RADIANS(EVCleanedDataset[[#This Row],[Latitude]]))+COS(RADIANS(MyLat))*COS(RADIANS(EVCleanedDataset[[#This Row],[Latitude]]))*COS(RADIANS(EVCleanedDataset[[#This Row],[Longitude]]-MyLong)))</f>
        <v>266.38161990472906</v>
      </c>
      <c r="J690">
        <f t="shared" si="21"/>
        <v>0</v>
      </c>
      <c r="K690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65.341170244761798</v>
      </c>
      <c r="L690" t="str">
        <f>IF(EVCleanedDataset[[#This Row],[Score]]&gt;50,"Yes","No")</f>
        <v>Yes</v>
      </c>
    </row>
    <row r="691" spans="1:12" x14ac:dyDescent="0.3">
      <c r="A691" t="s">
        <v>3199</v>
      </c>
      <c r="B691" t="s">
        <v>181</v>
      </c>
      <c r="C691" t="s">
        <v>2424</v>
      </c>
      <c r="D691">
        <v>30.661356000000001</v>
      </c>
      <c r="E691">
        <v>76.731482</v>
      </c>
      <c r="F691">
        <f>IF(COUNTIF($C$5:C691,C691)=1,1,0)</f>
        <v>0</v>
      </c>
      <c r="G691" s="2" t="str">
        <f t="shared" si="20"/>
        <v/>
      </c>
      <c r="H691" s="2">
        <f>MAX(0, MyBattery - (EVCleanedDataset[[#This Row],[Distance(km)]]/VehicleRangeKm)*100)</f>
        <v>0</v>
      </c>
      <c r="I691" s="2">
        <f>6371*ACOS(SIN(RADIANS(MyLat))*SIN(RADIANS(EVCleanedDataset[[#This Row],[Latitude]]))+COS(RADIANS(MyLat))*COS(RADIANS(EVCleanedDataset[[#This Row],[Latitude]]))*COS(RADIANS(EVCleanedDataset[[#This Row],[Longitude]]-MyLong)))</f>
        <v>1926.8052931693289</v>
      </c>
      <c r="J691">
        <f t="shared" si="21"/>
        <v>7</v>
      </c>
      <c r="K691" s="5">
        <f>((1-(EVCleanedDataset[[#This Row],[Distance(km)]]/MAX($I$5:$I$1121)))*0.4 + (1-(EVCleanedDataset[[#This Row],[QueueLength]]/MAX($J$5:$J$1121)))*0.3 + (EVCleanedDataset[[#This Row],[EstimatedBatteryOnArrival]]/100)*0.3 + (ROW()/10000000))*100</f>
        <v>12.925179190497543</v>
      </c>
      <c r="L691" t="str">
        <f>IF(EVCleanedDataset[[#This Row],[Score]]&gt;50,"Yes","No")</f>
        <v>No</v>
      </c>
    </row>
    <row r="692" spans="1:12" x14ac:dyDescent="0.3">
      <c r="A692" t="s">
        <v>3271</v>
      </c>
      <c r="B692" t="s">
        <v>18</v>
      </c>
      <c r="C692" t="s">
        <v>1259</v>
      </c>
      <c r="D692">
        <v>28.683212999999999</v>
      </c>
      <c r="E692">
        <v>77.377082000000001</v>
      </c>
      <c r="F692">
        <f>IF(COUNTIF($C$5:C692,C692)=1,1,0)</f>
        <v>0</v>
      </c>
      <c r="G692" s="2" t="str">
        <f t="shared" si="20"/>
        <v/>
      </c>
      <c r="H692" s="2">
        <f>MAX(0, MyBattery - (EVCleanedDataset[[#This Row],[Distance(km)]]/VehicleRangeKm)*100)</f>
        <v>0</v>
      </c>
      <c r="I692" s="2">
        <f>6371*ACOS(SIN(RADIANS(MyLat))*SIN(RADIANS(EVCleanedDataset[[#This Row],[Latitude]]))+COS(RADIANS(MyLat))*COS(RADIANS(EVCleanedDataset[[#This Row],[Latitude]]))*COS(RADIANS(EVCleanedDataset[[#This Row],[Longitude]]-MyLong)))</f>
        <v>1705.1541653686882</v>
      </c>
      <c r="J692">
        <f t="shared" si="21"/>
        <v>4</v>
      </c>
      <c r="K69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26.807455026373994</v>
      </c>
      <c r="L692" t="str">
        <f>IF(EVCleanedDataset[[#This Row],[Score]]&gt;50,"Yes","No")</f>
        <v>No</v>
      </c>
    </row>
    <row r="693" spans="1:12" x14ac:dyDescent="0.3">
      <c r="A693" t="s">
        <v>2237</v>
      </c>
      <c r="B693" t="s">
        <v>150</v>
      </c>
      <c r="C693" t="s">
        <v>1341</v>
      </c>
      <c r="D693">
        <v>12.903919999999999</v>
      </c>
      <c r="E693">
        <v>77.573490000000007</v>
      </c>
      <c r="F693">
        <f>IF(COUNTIF($C$5:C693,C693)=1,1,0)</f>
        <v>0</v>
      </c>
      <c r="G693" s="2" t="str">
        <f t="shared" si="20"/>
        <v/>
      </c>
      <c r="H693" s="2">
        <f>MAX(0, MyBattery - (EVCleanedDataset[[#This Row],[Distance(km)]]/VehicleRangeKm)*100)</f>
        <v>53.447707523997551</v>
      </c>
      <c r="I693" s="2">
        <f>6371*ACOS(SIN(RADIANS(MyLat))*SIN(RADIANS(EVCleanedDataset[[#This Row],[Latitude]]))+COS(RADIANS(MyLat))*COS(RADIANS(EVCleanedDataset[[#This Row],[Latitude]]))*COS(RADIANS(EVCleanedDataset[[#This Row],[Longitude]]-MyLong)))</f>
        <v>49.656877428007341</v>
      </c>
      <c r="J693">
        <f t="shared" si="21"/>
        <v>1</v>
      </c>
      <c r="K693" s="5">
        <f>((1-(EVCleanedDataset[[#This Row],[Distance(km)]]/MAX($I$5:$I$1121)))*0.4 + (1-(EVCleanedDataset[[#This Row],[QueueLength]]/MAX($J$5:$J$1121)))*0.3 + (EVCleanedDataset[[#This Row],[EstimatedBatteryOnArrival]]/100)*0.3 + (ROW()/10000000))*100</f>
        <v>81.838158335777564</v>
      </c>
      <c r="L693" t="str">
        <f>IF(EVCleanedDataset[[#This Row],[Score]]&gt;50,"Yes","No")</f>
        <v>Yes</v>
      </c>
    </row>
    <row r="694" spans="1:12" x14ac:dyDescent="0.3">
      <c r="A694" t="s">
        <v>3059</v>
      </c>
      <c r="B694" t="s">
        <v>150</v>
      </c>
      <c r="C694" t="s">
        <v>1341</v>
      </c>
      <c r="D694">
        <v>12.93068034</v>
      </c>
      <c r="E694">
        <v>77.576627389999999</v>
      </c>
      <c r="F694">
        <f>IF(COUNTIF($C$5:C694,C694)=1,1,0)</f>
        <v>0</v>
      </c>
      <c r="G694" s="2" t="str">
        <f t="shared" si="20"/>
        <v/>
      </c>
      <c r="H694" s="2">
        <f>MAX(0, MyBattery - (EVCleanedDataset[[#This Row],[Distance(km)]]/VehicleRangeKm)*100)</f>
        <v>54.426473333114473</v>
      </c>
      <c r="I694" s="2">
        <f>6371*ACOS(SIN(RADIANS(MyLat))*SIN(RADIANS(EVCleanedDataset[[#This Row],[Latitude]]))+COS(RADIANS(MyLat))*COS(RADIANS(EVCleanedDataset[[#This Row],[Latitude]]))*COS(RADIANS(EVCleanedDataset[[#This Row],[Longitude]]-MyLong)))</f>
        <v>46.720580000656568</v>
      </c>
      <c r="J694">
        <f t="shared" si="21"/>
        <v>8</v>
      </c>
      <c r="K694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58.849894608403055</v>
      </c>
      <c r="L694" t="str">
        <f>IF(EVCleanedDataset[[#This Row],[Score]]&gt;50,"Yes","No")</f>
        <v>Yes</v>
      </c>
    </row>
    <row r="695" spans="1:12" x14ac:dyDescent="0.3">
      <c r="A695" t="s">
        <v>216</v>
      </c>
      <c r="B695" t="s">
        <v>150</v>
      </c>
      <c r="C695" t="s">
        <v>1341</v>
      </c>
      <c r="D695">
        <v>12.858499999999999</v>
      </c>
      <c r="E695">
        <v>77.593000000000004</v>
      </c>
      <c r="F695">
        <f>IF(COUNTIF($C$5:C695,C695)=1,1,0)</f>
        <v>0</v>
      </c>
      <c r="G695" s="2" t="str">
        <f t="shared" si="20"/>
        <v/>
      </c>
      <c r="H695" s="2">
        <f>MAX(0, MyBattery - (EVCleanedDataset[[#This Row],[Distance(km)]]/VehicleRangeKm)*100)</f>
        <v>51.705246370011594</v>
      </c>
      <c r="I695" s="2">
        <f>6371*ACOS(SIN(RADIANS(MyLat))*SIN(RADIANS(EVCleanedDataset[[#This Row],[Latitude]]))+COS(RADIANS(MyLat))*COS(RADIANS(EVCleanedDataset[[#This Row],[Latitude]]))*COS(RADIANS(EVCleanedDataset[[#This Row],[Longitude]]-MyLong)))</f>
        <v>54.884260889965212</v>
      </c>
      <c r="J695">
        <f t="shared" si="21"/>
        <v>5</v>
      </c>
      <c r="K695" s="5">
        <f>((1-(EVCleanedDataset[[#This Row],[Distance(km)]]/MAX($I$5:$I$1121)))*0.4 + (1-(EVCleanedDataset[[#This Row],[QueueLength]]/MAX($J$5:$J$1121)))*0.3 + (EVCleanedDataset[[#This Row],[EstimatedBatteryOnArrival]]/100)*0.3 + (ROW()/10000000))*100</f>
        <v>67.890547942215463</v>
      </c>
      <c r="L695" t="str">
        <f>IF(EVCleanedDataset[[#This Row],[Score]]&gt;50,"Yes","No")</f>
        <v>Yes</v>
      </c>
    </row>
    <row r="696" spans="1:12" x14ac:dyDescent="0.3">
      <c r="A696" t="s">
        <v>2947</v>
      </c>
      <c r="B696" t="s">
        <v>361</v>
      </c>
      <c r="C696" t="s">
        <v>361</v>
      </c>
      <c r="D696">
        <v>30.696490000000001</v>
      </c>
      <c r="E696">
        <v>76.796620000000004</v>
      </c>
      <c r="F696">
        <f>IF(COUNTIF($C$5:C696,C696)=1,1,0)</f>
        <v>1</v>
      </c>
      <c r="G696" s="2">
        <f t="shared" si="20"/>
        <v>1930.4337688868652</v>
      </c>
      <c r="H696" s="2">
        <f>MAX(0, MyBattery - (EVCleanedDataset[[#This Row],[Distance(km)]]/VehicleRangeKm)*100)</f>
        <v>0</v>
      </c>
      <c r="I696" s="2">
        <f>6371*ACOS(SIN(RADIANS(MyLat))*SIN(RADIANS(EVCleanedDataset[[#This Row],[Latitude]]))+COS(RADIANS(MyLat))*COS(RADIANS(EVCleanedDataset[[#This Row],[Latitude]]))*COS(RADIANS(EVCleanedDataset[[#This Row],[Longitude]]-MyLong)))</f>
        <v>1930.4337688868652</v>
      </c>
      <c r="J696">
        <f t="shared" si="21"/>
        <v>2</v>
      </c>
      <c r="K696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29.528342346499613</v>
      </c>
      <c r="L696" t="str">
        <f>IF(EVCleanedDataset[[#This Row],[Score]]&gt;50,"Yes","No")</f>
        <v>No</v>
      </c>
    </row>
    <row r="697" spans="1:12" x14ac:dyDescent="0.3">
      <c r="A697" t="s">
        <v>2825</v>
      </c>
      <c r="B697" t="s">
        <v>150</v>
      </c>
      <c r="C697" t="s">
        <v>1341</v>
      </c>
      <c r="D697">
        <v>19.1709</v>
      </c>
      <c r="E697">
        <v>73.081900000000005</v>
      </c>
      <c r="F697">
        <f>IF(COUNTIF($C$5:C697,C697)=1,1,0)</f>
        <v>0</v>
      </c>
      <c r="G697" s="2" t="str">
        <f t="shared" si="20"/>
        <v/>
      </c>
      <c r="H697" s="2">
        <f>MAX(0, MyBattery - (EVCleanedDataset[[#This Row],[Distance(km)]]/VehicleRangeKm)*100)</f>
        <v>0</v>
      </c>
      <c r="I697" s="2">
        <f>6371*ACOS(SIN(RADIANS(MyLat))*SIN(RADIANS(EVCleanedDataset[[#This Row],[Latitude]]))+COS(RADIANS(MyLat))*COS(RADIANS(EVCleanedDataset[[#This Row],[Latitude]]))*COS(RADIANS(EVCleanedDataset[[#This Row],[Longitude]]-MyLong)))</f>
        <v>803.13767002624627</v>
      </c>
      <c r="J697">
        <f t="shared" si="21"/>
        <v>9</v>
      </c>
      <c r="K697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25.939845827039708</v>
      </c>
      <c r="L697" t="str">
        <f>IF(EVCleanedDataset[[#This Row],[Score]]&gt;50,"Yes","No")</f>
        <v>No</v>
      </c>
    </row>
    <row r="698" spans="1:12" x14ac:dyDescent="0.3">
      <c r="A698" t="s">
        <v>1462</v>
      </c>
      <c r="B698" t="s">
        <v>41</v>
      </c>
      <c r="C698" t="s">
        <v>119</v>
      </c>
      <c r="D698">
        <v>19.114241499999999</v>
      </c>
      <c r="E698">
        <v>72.851876599999997</v>
      </c>
      <c r="F698">
        <f>IF(COUNTIF($C$5:C698,C698)=1,1,0)</f>
        <v>0</v>
      </c>
      <c r="G698" s="2" t="str">
        <f t="shared" si="20"/>
        <v/>
      </c>
      <c r="H698" s="2">
        <f>MAX(0, MyBattery - (EVCleanedDataset[[#This Row],[Distance(km)]]/VehicleRangeKm)*100)</f>
        <v>0</v>
      </c>
      <c r="I698" s="2">
        <f>6371*ACOS(SIN(RADIANS(MyLat))*SIN(RADIANS(EVCleanedDataset[[#This Row],[Latitude]]))+COS(RADIANS(MyLat))*COS(RADIANS(EVCleanedDataset[[#This Row],[Latitude]]))*COS(RADIANS(EVCleanedDataset[[#This Row],[Longitude]]-MyLong)))</f>
        <v>812.97158189415097</v>
      </c>
      <c r="J698">
        <f t="shared" si="21"/>
        <v>6</v>
      </c>
      <c r="K69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35.767612805059123</v>
      </c>
      <c r="L698" t="str">
        <f>IF(EVCleanedDataset[[#This Row],[Score]]&gt;50,"Yes","No")</f>
        <v>No</v>
      </c>
    </row>
    <row r="699" spans="1:12" x14ac:dyDescent="0.3">
      <c r="A699" t="s">
        <v>3380</v>
      </c>
      <c r="B699" t="s">
        <v>150</v>
      </c>
      <c r="C699" t="s">
        <v>1341</v>
      </c>
      <c r="D699">
        <v>12.976338999999999</v>
      </c>
      <c r="E699">
        <v>77.619716999999994</v>
      </c>
      <c r="F699">
        <f>IF(COUNTIF($C$5:C699,C699)=1,1,0)</f>
        <v>0</v>
      </c>
      <c r="G699" s="2" t="str">
        <f t="shared" si="20"/>
        <v/>
      </c>
      <c r="H699" s="2">
        <f>MAX(0, MyBattery - (EVCleanedDataset[[#This Row],[Distance(km)]]/VehicleRangeKm)*100)</f>
        <v>55.867982041808681</v>
      </c>
      <c r="I699" s="2">
        <f>6371*ACOS(SIN(RADIANS(MyLat))*SIN(RADIANS(EVCleanedDataset[[#This Row],[Latitude]]))+COS(RADIANS(MyLat))*COS(RADIANS(EVCleanedDataset[[#This Row],[Latitude]]))*COS(RADIANS(EVCleanedDataset[[#This Row],[Longitude]]-MyLong)))</f>
        <v>42.396053874573951</v>
      </c>
      <c r="J699">
        <f t="shared" si="21"/>
        <v>3</v>
      </c>
      <c r="K699" s="5">
        <f>((1-(EVCleanedDataset[[#This Row],[Distance(km)]]/MAX($I$5:$I$1121)))*0.4 + (1-(EVCleanedDataset[[#This Row],[QueueLength]]/MAX($J$5:$J$1121)))*0.3 + (EVCleanedDataset[[#This Row],[EstimatedBatteryOnArrival]]/100)*0.3 + (ROW()/10000000))*100</f>
        <v>76.024808866745929</v>
      </c>
      <c r="L699" t="str">
        <f>IF(EVCleanedDataset[[#This Row],[Score]]&gt;50,"Yes","No")</f>
        <v>Yes</v>
      </c>
    </row>
    <row r="700" spans="1:12" x14ac:dyDescent="0.3">
      <c r="A700" t="s">
        <v>1099</v>
      </c>
      <c r="B700" t="s">
        <v>14</v>
      </c>
      <c r="C700" t="s">
        <v>1100</v>
      </c>
      <c r="D700">
        <v>24.973775</v>
      </c>
      <c r="E700">
        <v>72.895964000000006</v>
      </c>
      <c r="F700">
        <f>IF(COUNTIF($C$5:C700,C700)=1,1,0)</f>
        <v>1</v>
      </c>
      <c r="G700" s="2">
        <f t="shared" si="20"/>
        <v>1381.0769411324204</v>
      </c>
      <c r="H700" s="2">
        <f>MAX(0, MyBattery - (EVCleanedDataset[[#This Row],[Distance(km)]]/VehicleRangeKm)*100)</f>
        <v>0</v>
      </c>
      <c r="I700" s="2">
        <f>6371*ACOS(SIN(RADIANS(MyLat))*SIN(RADIANS(EVCleanedDataset[[#This Row],[Latitude]]))+COS(RADIANS(MyLat))*COS(RADIANS(EVCleanedDataset[[#This Row],[Latitude]]))*COS(RADIANS(EVCleanedDataset[[#This Row],[Longitude]]-MyLong)))</f>
        <v>1381.0769411324204</v>
      </c>
      <c r="J700">
        <f t="shared" si="21"/>
        <v>0</v>
      </c>
      <c r="K700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45.81714868511019</v>
      </c>
      <c r="L700" t="str">
        <f>IF(EVCleanedDataset[[#This Row],[Score]]&gt;50,"Yes","No")</f>
        <v>No</v>
      </c>
    </row>
    <row r="701" spans="1:12" x14ac:dyDescent="0.3">
      <c r="A701" t="s">
        <v>2895</v>
      </c>
      <c r="B701" t="s">
        <v>41</v>
      </c>
      <c r="C701" t="s">
        <v>119</v>
      </c>
      <c r="D701">
        <v>19.159395199999999</v>
      </c>
      <c r="E701">
        <v>72.945111999999995</v>
      </c>
      <c r="F701">
        <f>IF(COUNTIF($C$5:C701,C701)=1,1,0)</f>
        <v>0</v>
      </c>
      <c r="G701" s="2" t="str">
        <f t="shared" si="20"/>
        <v/>
      </c>
      <c r="H701" s="2">
        <f>MAX(0, MyBattery - (EVCleanedDataset[[#This Row],[Distance(km)]]/VehicleRangeKm)*100)</f>
        <v>0</v>
      </c>
      <c r="I701" s="2">
        <f>6371*ACOS(SIN(RADIANS(MyLat))*SIN(RADIANS(EVCleanedDataset[[#This Row],[Latitude]]))+COS(RADIANS(MyLat))*COS(RADIANS(EVCleanedDataset[[#This Row],[Latitude]]))*COS(RADIANS(EVCleanedDataset[[#This Row],[Longitude]]-MyLong)))</f>
        <v>810.84973439772818</v>
      </c>
      <c r="J701">
        <f t="shared" si="21"/>
        <v>7</v>
      </c>
      <c r="K701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32.471474074162245</v>
      </c>
      <c r="L701" t="str">
        <f>IF(EVCleanedDataset[[#This Row],[Score]]&gt;50,"Yes","No")</f>
        <v>No</v>
      </c>
    </row>
    <row r="702" spans="1:12" x14ac:dyDescent="0.3">
      <c r="A702" t="s">
        <v>321</v>
      </c>
      <c r="B702" t="s">
        <v>150</v>
      </c>
      <c r="C702" t="s">
        <v>1341</v>
      </c>
      <c r="D702">
        <v>12.9689998626709</v>
      </c>
      <c r="E702">
        <v>77.636199951171903</v>
      </c>
      <c r="F702">
        <f>IF(COUNTIF($C$5:C702,C702)=1,1,0)</f>
        <v>0</v>
      </c>
      <c r="G702" s="2" t="str">
        <f t="shared" si="20"/>
        <v/>
      </c>
      <c r="H702" s="2">
        <f>MAX(0, MyBattery - (EVCleanedDataset[[#This Row],[Distance(km)]]/VehicleRangeKm)*100)</f>
        <v>55.467641969929574</v>
      </c>
      <c r="I702" s="2">
        <f>6371*ACOS(SIN(RADIANS(MyLat))*SIN(RADIANS(EVCleanedDataset[[#This Row],[Latitude]]))+COS(RADIANS(MyLat))*COS(RADIANS(EVCleanedDataset[[#This Row],[Latitude]]))*COS(RADIANS(EVCleanedDataset[[#This Row],[Longitude]]-MyLong)))</f>
        <v>43.597074090211287</v>
      </c>
      <c r="J702">
        <f t="shared" si="21"/>
        <v>4</v>
      </c>
      <c r="K702" s="5">
        <f>((1-(EVCleanedDataset[[#This Row],[Distance(km)]]/MAX($I$5:$I$1121)))*0.4 + (1-(EVCleanedDataset[[#This Row],[QueueLength]]/MAX($J$5:$J$1121)))*0.3 + (EVCleanedDataset[[#This Row],[EstimatedBatteryOnArrival]]/100)*0.3 + (ROW()/10000000))*100</f>
        <v>72.550367391718851</v>
      </c>
      <c r="L702" t="str">
        <f>IF(EVCleanedDataset[[#This Row],[Score]]&gt;50,"Yes","No")</f>
        <v>Yes</v>
      </c>
    </row>
    <row r="703" spans="1:12" x14ac:dyDescent="0.3">
      <c r="A703" t="s">
        <v>3381</v>
      </c>
      <c r="B703" t="s">
        <v>150</v>
      </c>
      <c r="C703" t="s">
        <v>1341</v>
      </c>
      <c r="D703">
        <v>12.865031999999999</v>
      </c>
      <c r="E703">
        <v>77.657853000000003</v>
      </c>
      <c r="F703">
        <f>IF(COUNTIF($C$5:C703,C703)=1,1,0)</f>
        <v>0</v>
      </c>
      <c r="G703" s="2" t="str">
        <f t="shared" si="20"/>
        <v/>
      </c>
      <c r="H703" s="2">
        <f>MAX(0, MyBattery - (EVCleanedDataset[[#This Row],[Distance(km)]]/VehicleRangeKm)*100)</f>
        <v>51.538913731113652</v>
      </c>
      <c r="I703" s="2">
        <f>6371*ACOS(SIN(RADIANS(MyLat))*SIN(RADIANS(EVCleanedDataset[[#This Row],[Latitude]]))+COS(RADIANS(MyLat))*COS(RADIANS(EVCleanedDataset[[#This Row],[Latitude]]))*COS(RADIANS(EVCleanedDataset[[#This Row],[Longitude]]-MyLong)))</f>
        <v>55.38325880665905</v>
      </c>
      <c r="J703">
        <f t="shared" si="21"/>
        <v>1</v>
      </c>
      <c r="K703" s="5">
        <f>((1-(EVCleanedDataset[[#This Row],[Distance(km)]]/MAX($I$5:$I$1121)))*0.4 + (1-(EVCleanedDataset[[#This Row],[QueueLength]]/MAX($J$5:$J$1121)))*0.3 + (EVCleanedDataset[[#This Row],[EstimatedBatteryOnArrival]]/100)*0.3 + (ROW()/10000000))*100</f>
        <v>81.165321431061386</v>
      </c>
      <c r="L703" t="str">
        <f>IF(EVCleanedDataset[[#This Row],[Score]]&gt;50,"Yes","No")</f>
        <v>Yes</v>
      </c>
    </row>
    <row r="704" spans="1:12" x14ac:dyDescent="0.3">
      <c r="A704" t="s">
        <v>3036</v>
      </c>
      <c r="B704" t="s">
        <v>150</v>
      </c>
      <c r="C704" t="s">
        <v>1341</v>
      </c>
      <c r="D704">
        <v>12.851903269999999</v>
      </c>
      <c r="E704">
        <v>77.666622469999993</v>
      </c>
      <c r="F704">
        <f>IF(COUNTIF($C$5:C704,C704)=1,1,0)</f>
        <v>0</v>
      </c>
      <c r="G704" s="2" t="str">
        <f t="shared" si="20"/>
        <v/>
      </c>
      <c r="H704" s="2">
        <f>MAX(0, MyBattery - (EVCleanedDataset[[#This Row],[Distance(km)]]/VehicleRangeKm)*100)</f>
        <v>50.990454642402923</v>
      </c>
      <c r="I704" s="2">
        <f>6371*ACOS(SIN(RADIANS(MyLat))*SIN(RADIANS(EVCleanedDataset[[#This Row],[Latitude]]))+COS(RADIANS(MyLat))*COS(RADIANS(EVCleanedDataset[[#This Row],[Latitude]]))*COS(RADIANS(EVCleanedDataset[[#This Row],[Longitude]]-MyLong)))</f>
        <v>57.028636072791237</v>
      </c>
      <c r="J704">
        <f t="shared" si="21"/>
        <v>8</v>
      </c>
      <c r="K704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57.638641244360031</v>
      </c>
      <c r="L704" t="str">
        <f>IF(EVCleanedDataset[[#This Row],[Score]]&gt;50,"Yes","No")</f>
        <v>Yes</v>
      </c>
    </row>
    <row r="705" spans="1:12" x14ac:dyDescent="0.3">
      <c r="A705" t="s">
        <v>661</v>
      </c>
      <c r="B705" t="s">
        <v>105</v>
      </c>
      <c r="C705" t="s">
        <v>105</v>
      </c>
      <c r="D705">
        <v>15.5000488654027</v>
      </c>
      <c r="E705">
        <v>73.914127312739197</v>
      </c>
      <c r="F705">
        <f>IF(COUNTIF($C$5:C705,C705)=1,1,0)</f>
        <v>0</v>
      </c>
      <c r="G705" s="2" t="str">
        <f t="shared" si="20"/>
        <v/>
      </c>
      <c r="H705" s="2">
        <f>MAX(0, MyBattery - (EVCleanedDataset[[#This Row],[Distance(km)]]/VehicleRangeKm)*100)</f>
        <v>0</v>
      </c>
      <c r="I705" s="2">
        <f>6371*ACOS(SIN(RADIANS(MyLat))*SIN(RADIANS(EVCleanedDataset[[#This Row],[Latitude]]))+COS(RADIANS(MyLat))*COS(RADIANS(EVCleanedDataset[[#This Row],[Latitude]]))*COS(RADIANS(EVCleanedDataset[[#This Row],[Longitude]]-MyLong)))</f>
        <v>457.64123577372982</v>
      </c>
      <c r="J705">
        <f t="shared" si="21"/>
        <v>5</v>
      </c>
      <c r="K70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45.324701426536862</v>
      </c>
      <c r="L705" t="str">
        <f>IF(EVCleanedDataset[[#This Row],[Score]]&gt;50,"Yes","No")</f>
        <v>No</v>
      </c>
    </row>
    <row r="706" spans="1:12" x14ac:dyDescent="0.3">
      <c r="A706" t="s">
        <v>2791</v>
      </c>
      <c r="B706" t="s">
        <v>14</v>
      </c>
      <c r="C706" t="s">
        <v>77</v>
      </c>
      <c r="D706">
        <v>27.0307</v>
      </c>
      <c r="E706">
        <v>75.889899999999997</v>
      </c>
      <c r="F706">
        <f>IF(COUNTIF($C$5:C706,C706)=1,1,0)</f>
        <v>1</v>
      </c>
      <c r="G706" s="2">
        <f t="shared" si="20"/>
        <v>1530.9442350551692</v>
      </c>
      <c r="H706" s="2">
        <f>MAX(0, MyBattery - (EVCleanedDataset[[#This Row],[Distance(km)]]/VehicleRangeKm)*100)</f>
        <v>0</v>
      </c>
      <c r="I706" s="2">
        <f>6371*ACOS(SIN(RADIANS(MyLat))*SIN(RADIANS(EVCleanedDataset[[#This Row],[Latitude]]))+COS(RADIANS(MyLat))*COS(RADIANS(EVCleanedDataset[[#This Row],[Latitude]]))*COS(RADIANS(EVCleanedDataset[[#This Row],[Longitude]]-MyLong)))</f>
        <v>1530.9442350551692</v>
      </c>
      <c r="J706">
        <f t="shared" si="21"/>
        <v>2</v>
      </c>
      <c r="K70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36.525585038144051</v>
      </c>
      <c r="L706" t="str">
        <f>IF(EVCleanedDataset[[#This Row],[Score]]&gt;50,"Yes","No")</f>
        <v>No</v>
      </c>
    </row>
    <row r="707" spans="1:12" x14ac:dyDescent="0.3">
      <c r="A707" t="s">
        <v>1989</v>
      </c>
      <c r="B707" t="s">
        <v>511</v>
      </c>
      <c r="C707" t="s">
        <v>1540</v>
      </c>
      <c r="D707">
        <v>23.24006</v>
      </c>
      <c r="E707">
        <v>75.781220000000005</v>
      </c>
      <c r="F707">
        <f>IF(COUNTIF($C$5:C707,C707)=1,1,0)</f>
        <v>0</v>
      </c>
      <c r="G707" s="2" t="str">
        <f t="shared" si="20"/>
        <v/>
      </c>
      <c r="H707" s="2">
        <f>MAX(0, MyBattery - (EVCleanedDataset[[#This Row],[Distance(km)]]/VehicleRangeKm)*100)</f>
        <v>0</v>
      </c>
      <c r="I707" s="2">
        <f>6371*ACOS(SIN(RADIANS(MyLat))*SIN(RADIANS(EVCleanedDataset[[#This Row],[Latitude]]))+COS(RADIANS(MyLat))*COS(RADIANS(EVCleanedDataset[[#This Row],[Latitude]]))*COS(RADIANS(EVCleanedDataset[[#This Row],[Longitude]]-MyLong)))</f>
        <v>1115.2920085091041</v>
      </c>
      <c r="J707">
        <f t="shared" si="21"/>
        <v>9</v>
      </c>
      <c r="K707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20.472497337886981</v>
      </c>
      <c r="L707" t="str">
        <f>IF(EVCleanedDataset[[#This Row],[Score]]&gt;50,"Yes","No")</f>
        <v>No</v>
      </c>
    </row>
    <row r="708" spans="1:12" x14ac:dyDescent="0.3">
      <c r="A708" t="s">
        <v>3245</v>
      </c>
      <c r="B708" t="s">
        <v>45</v>
      </c>
      <c r="C708" t="s">
        <v>45</v>
      </c>
      <c r="D708">
        <v>28.855880200000001</v>
      </c>
      <c r="E708">
        <v>77.124500400000002</v>
      </c>
      <c r="F708">
        <f>IF(COUNTIF($C$5:C708,C708)=1,1,0)</f>
        <v>0</v>
      </c>
      <c r="G708" s="2" t="str">
        <f t="shared" si="20"/>
        <v/>
      </c>
      <c r="H708" s="2">
        <f>MAX(0, MyBattery - (EVCleanedDataset[[#This Row],[Distance(km)]]/VehicleRangeKm)*100)</f>
        <v>0</v>
      </c>
      <c r="I708" s="2">
        <f>6371*ACOS(SIN(RADIANS(MyLat))*SIN(RADIANS(EVCleanedDataset[[#This Row],[Latitude]]))+COS(RADIANS(MyLat))*COS(RADIANS(EVCleanedDataset[[#This Row],[Latitude]]))*COS(RADIANS(EVCleanedDataset[[#This Row],[Longitude]]-MyLong)))</f>
        <v>1724.8007781685599</v>
      </c>
      <c r="J708">
        <f t="shared" si="21"/>
        <v>6</v>
      </c>
      <c r="K708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19.7968338297229</v>
      </c>
      <c r="L708" t="str">
        <f>IF(EVCleanedDataset[[#This Row],[Score]]&gt;50,"Yes","No")</f>
        <v>No</v>
      </c>
    </row>
    <row r="709" spans="1:12" x14ac:dyDescent="0.3">
      <c r="A709" t="s">
        <v>1240</v>
      </c>
      <c r="B709" t="s">
        <v>506</v>
      </c>
      <c r="C709" t="s">
        <v>1241</v>
      </c>
      <c r="D709">
        <v>21.2165392</v>
      </c>
      <c r="E709">
        <v>81.401487000000003</v>
      </c>
      <c r="F709">
        <f>IF(COUNTIF($C$5:C709,C709)=1,1,0)</f>
        <v>1</v>
      </c>
      <c r="G709" s="2">
        <f t="shared" ref="G709:G772" si="22">IF(F709=1, IF(C709=MyCity, "", _xlfn.MINIFS($I$5:$I$1121,$C$5:$C$1121,C709)), "")</f>
        <v>966.05800806327204</v>
      </c>
      <c r="H709" s="2">
        <f>MAX(0, MyBattery - (EVCleanedDataset[[#This Row],[Distance(km)]]/VehicleRangeKm)*100)</f>
        <v>0</v>
      </c>
      <c r="I709" s="2">
        <f>6371*ACOS(SIN(RADIANS(MyLat))*SIN(RADIANS(EVCleanedDataset[[#This Row],[Latitude]]))+COS(RADIANS(MyLat))*COS(RADIANS(EVCleanedDataset[[#This Row],[Latitude]]))*COS(RADIANS(EVCleanedDataset[[#This Row],[Longitude]]-MyLong)))</f>
        <v>966.05800806327204</v>
      </c>
      <c r="J709">
        <f t="shared" ref="J709:J772" si="23">MOD(ROW()*7,10)</f>
        <v>3</v>
      </c>
      <c r="K709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43.086382050558875</v>
      </c>
      <c r="L709" t="str">
        <f>IF(EVCleanedDataset[[#This Row],[Score]]&gt;50,"Yes","No")</f>
        <v>No</v>
      </c>
    </row>
    <row r="710" spans="1:12" x14ac:dyDescent="0.3">
      <c r="A710" t="s">
        <v>2877</v>
      </c>
      <c r="B710" t="s">
        <v>49</v>
      </c>
      <c r="C710" t="s">
        <v>188</v>
      </c>
      <c r="D710">
        <v>10.9984009</v>
      </c>
      <c r="E710">
        <v>76.976531600000001</v>
      </c>
      <c r="F710">
        <f>IF(COUNTIF($C$5:C710,C710)=1,1,0)</f>
        <v>0</v>
      </c>
      <c r="G710" s="2" t="str">
        <f t="shared" si="22"/>
        <v/>
      </c>
      <c r="H710" s="2">
        <f>MAX(0, MyBattery - (EVCleanedDataset[[#This Row],[Distance(km)]]/VehicleRangeKm)*100)</f>
        <v>0</v>
      </c>
      <c r="I710" s="2">
        <f>6371*ACOS(SIN(RADIANS(MyLat))*SIN(RADIANS(EVCleanedDataset[[#This Row],[Latitude]]))+COS(RADIANS(MyLat))*COS(RADIANS(EVCleanedDataset[[#This Row],[Latitude]]))*COS(RADIANS(EVCleanedDataset[[#This Row],[Longitude]]-MyLong)))</f>
        <v>268.4044654016314</v>
      </c>
      <c r="J710">
        <f t="shared" si="23"/>
        <v>0</v>
      </c>
      <c r="K710" s="5">
        <f>((1-(EVCleanedDataset[[#This Row],[Distance(km)]]/MAX($I$5:$I$1121)))*0.4 + (1-(EVCleanedDataset[[#This Row],[QueueLength]]/MAX($J$5:$J$1121)))*0.3 + (EVCleanedDataset[[#This Row],[EstimatedBatteryOnArrival]]/100)*0.3 + (ROW()/10000000))*100</f>
        <v>65.305939683041672</v>
      </c>
      <c r="L710" t="str">
        <f>IF(EVCleanedDataset[[#This Row],[Score]]&gt;50,"Yes","No")</f>
        <v>Yes</v>
      </c>
    </row>
    <row r="711" spans="1:12" x14ac:dyDescent="0.3">
      <c r="A711" t="s">
        <v>2616</v>
      </c>
      <c r="B711" t="s">
        <v>150</v>
      </c>
      <c r="C711" t="s">
        <v>1341</v>
      </c>
      <c r="D711">
        <v>12.9778518</v>
      </c>
      <c r="E711">
        <v>77.756671400000002</v>
      </c>
      <c r="F711">
        <f>IF(COUNTIF($C$5:C711,C711)=1,1,0)</f>
        <v>0</v>
      </c>
      <c r="G711" s="2" t="str">
        <f t="shared" si="22"/>
        <v/>
      </c>
      <c r="H711" s="2">
        <f>MAX(0, MyBattery - (EVCleanedDataset[[#This Row],[Distance(km)]]/VehicleRangeKm)*100)</f>
        <v>54.127709024679135</v>
      </c>
      <c r="I711" s="2">
        <f>6371*ACOS(SIN(RADIANS(MyLat))*SIN(RADIANS(EVCleanedDataset[[#This Row],[Latitude]]))+COS(RADIANS(MyLat))*COS(RADIANS(EVCleanedDataset[[#This Row],[Latitude]]))*COS(RADIANS(EVCleanedDataset[[#This Row],[Longitude]]-MyLong)))</f>
        <v>47.616872925962596</v>
      </c>
      <c r="J711">
        <f t="shared" si="23"/>
        <v>7</v>
      </c>
      <c r="K711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62.07806989126405</v>
      </c>
      <c r="L711" t="str">
        <f>IF(EVCleanedDataset[[#This Row],[Score]]&gt;50,"Yes","No")</f>
        <v>Yes</v>
      </c>
    </row>
    <row r="712" spans="1:12" x14ac:dyDescent="0.3">
      <c r="A712" t="s">
        <v>2801</v>
      </c>
      <c r="B712" t="s">
        <v>41</v>
      </c>
      <c r="C712" t="s">
        <v>110</v>
      </c>
      <c r="D712">
        <v>19.274699999999999</v>
      </c>
      <c r="E712">
        <v>72.885599999999997</v>
      </c>
      <c r="F712">
        <f>IF(COUNTIF($C$5:C712,C712)=1,1,0)</f>
        <v>1</v>
      </c>
      <c r="G712" s="2">
        <f t="shared" si="22"/>
        <v>824.81197923639547</v>
      </c>
      <c r="H712" s="2">
        <f>MAX(0, MyBattery - (EVCleanedDataset[[#This Row],[Distance(km)]]/VehicleRangeKm)*100)</f>
        <v>0</v>
      </c>
      <c r="I712" s="2">
        <f>6371*ACOS(SIN(RADIANS(MyLat))*SIN(RADIANS(EVCleanedDataset[[#This Row],[Latitude]]))+COS(RADIANS(MyLat))*COS(RADIANS(EVCleanedDataset[[#This Row],[Latitude]]))*COS(RADIANS(EVCleanedDataset[[#This Row],[Longitude]]-MyLong)))</f>
        <v>824.81197923639547</v>
      </c>
      <c r="J712">
        <f t="shared" si="23"/>
        <v>4</v>
      </c>
      <c r="K71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42.227032437240034</v>
      </c>
      <c r="L712" t="str">
        <f>IF(EVCleanedDataset[[#This Row],[Score]]&gt;50,"Yes","No")</f>
        <v>No</v>
      </c>
    </row>
    <row r="713" spans="1:12" x14ac:dyDescent="0.3">
      <c r="A713" t="s">
        <v>2341</v>
      </c>
      <c r="B713" t="s">
        <v>41</v>
      </c>
      <c r="C713" t="s">
        <v>166</v>
      </c>
      <c r="D713">
        <v>19.277922</v>
      </c>
      <c r="E713">
        <v>72.880256000000003</v>
      </c>
      <c r="F713">
        <f>IF(COUNTIF($C$5:C713,C713)=1,1,0)</f>
        <v>0</v>
      </c>
      <c r="G713" s="2" t="str">
        <f t="shared" si="22"/>
        <v/>
      </c>
      <c r="H713" s="2">
        <f>MAX(0, MyBattery - (EVCleanedDataset[[#This Row],[Distance(km)]]/VehicleRangeKm)*100)</f>
        <v>0</v>
      </c>
      <c r="I713" s="2">
        <f>6371*ACOS(SIN(RADIANS(MyLat))*SIN(RADIANS(EVCleanedDataset[[#This Row],[Latitude]]))+COS(RADIANS(MyLat))*COS(RADIANS(EVCleanedDataset[[#This Row],[Latitude]]))*COS(RADIANS(EVCleanedDataset[[#This Row],[Longitude]]-MyLong)))</f>
        <v>825.43841233227192</v>
      </c>
      <c r="J713">
        <f t="shared" si="23"/>
        <v>1</v>
      </c>
      <c r="K713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52.216070330620433</v>
      </c>
      <c r="L713" t="str">
        <f>IF(EVCleanedDataset[[#This Row],[Score]]&gt;50,"Yes","No")</f>
        <v>Yes</v>
      </c>
    </row>
    <row r="714" spans="1:12" x14ac:dyDescent="0.3">
      <c r="A714" t="s">
        <v>3032</v>
      </c>
      <c r="B714" t="s">
        <v>18</v>
      </c>
      <c r="C714" t="s">
        <v>1259</v>
      </c>
      <c r="D714">
        <v>28.7712124</v>
      </c>
      <c r="E714">
        <v>78.097685400000003</v>
      </c>
      <c r="F714">
        <f>IF(COUNTIF($C$5:C714,C714)=1,1,0)</f>
        <v>0</v>
      </c>
      <c r="G714" s="2" t="str">
        <f t="shared" si="22"/>
        <v/>
      </c>
      <c r="H714" s="2">
        <f>MAX(0, MyBattery - (EVCleanedDataset[[#This Row],[Distance(km)]]/VehicleRangeKm)*100)</f>
        <v>0</v>
      </c>
      <c r="I714" s="2">
        <f>6371*ACOS(SIN(RADIANS(MyLat))*SIN(RADIANS(EVCleanedDataset[[#This Row],[Latitude]]))+COS(RADIANS(MyLat))*COS(RADIANS(EVCleanedDataset[[#This Row],[Latitude]]))*COS(RADIANS(EVCleanedDataset[[#This Row],[Longitude]]-MyLong)))</f>
        <v>1715.8349264985955</v>
      </c>
      <c r="J714">
        <f t="shared" si="23"/>
        <v>8</v>
      </c>
      <c r="K71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13.287265929216479</v>
      </c>
      <c r="L714" t="str">
        <f>IF(EVCleanedDataset[[#This Row],[Score]]&gt;50,"Yes","No")</f>
        <v>No</v>
      </c>
    </row>
    <row r="715" spans="1:12" x14ac:dyDescent="0.3">
      <c r="A715" t="s">
        <v>2299</v>
      </c>
      <c r="B715" t="s">
        <v>386</v>
      </c>
      <c r="C715" t="s">
        <v>3378</v>
      </c>
      <c r="D715">
        <v>8.5615918999999998</v>
      </c>
      <c r="E715">
        <v>76.876393300000004</v>
      </c>
      <c r="F715">
        <f>IF(COUNTIF($C$5:C715,C715)=1,1,0)</f>
        <v>0</v>
      </c>
      <c r="G715" s="2" t="str">
        <f t="shared" si="22"/>
        <v/>
      </c>
      <c r="H715" s="2">
        <f>MAX(0, MyBattery - (EVCleanedDataset[[#This Row],[Distance(km)]]/VehicleRangeKm)*100)</f>
        <v>0</v>
      </c>
      <c r="I715" s="2">
        <f>6371*ACOS(SIN(RADIANS(MyLat))*SIN(RADIANS(EVCleanedDataset[[#This Row],[Latitude]]))+COS(RADIANS(MyLat))*COS(RADIANS(EVCleanedDataset[[#This Row],[Latitude]]))*COS(RADIANS(EVCleanedDataset[[#This Row],[Longitude]]-MyLong)))</f>
        <v>537.21561169631946</v>
      </c>
      <c r="J715">
        <f t="shared" si="23"/>
        <v>5</v>
      </c>
      <c r="K715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43.931039598564951</v>
      </c>
      <c r="L715" t="str">
        <f>IF(EVCleanedDataset[[#This Row],[Score]]&gt;50,"Yes","No")</f>
        <v>No</v>
      </c>
    </row>
    <row r="716" spans="1:12" x14ac:dyDescent="0.3">
      <c r="A716" t="s">
        <v>3086</v>
      </c>
      <c r="B716" t="s">
        <v>463</v>
      </c>
      <c r="C716" t="s">
        <v>1160</v>
      </c>
      <c r="D716">
        <v>22.569797940000001</v>
      </c>
      <c r="E716">
        <v>88.517226829999998</v>
      </c>
      <c r="F716">
        <f>IF(COUNTIF($C$5:C716,C716)=1,1,0)</f>
        <v>0</v>
      </c>
      <c r="G716" s="2" t="str">
        <f t="shared" si="22"/>
        <v/>
      </c>
      <c r="H716" s="2">
        <f>MAX(0, MyBattery - (EVCleanedDataset[[#This Row],[Distance(km)]]/VehicleRangeKm)*100)</f>
        <v>0</v>
      </c>
      <c r="I716" s="2">
        <f>6371*ACOS(SIN(RADIANS(MyLat))*SIN(RADIANS(EVCleanedDataset[[#This Row],[Latitude]]))+COS(RADIANS(MyLat))*COS(RADIANS(EVCleanedDataset[[#This Row],[Latitude]]))*COS(RADIANS(EVCleanedDataset[[#This Row],[Longitude]]-MyLong)))</f>
        <v>1547.8530784714317</v>
      </c>
      <c r="J716">
        <f t="shared" si="23"/>
        <v>2</v>
      </c>
      <c r="K71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36.229523111198283</v>
      </c>
      <c r="L716" t="str">
        <f>IF(EVCleanedDataset[[#This Row],[Score]]&gt;50,"Yes","No")</f>
        <v>No</v>
      </c>
    </row>
    <row r="717" spans="1:12" x14ac:dyDescent="0.3">
      <c r="A717" t="s">
        <v>2911</v>
      </c>
      <c r="B717" t="s">
        <v>105</v>
      </c>
      <c r="C717" t="s">
        <v>105</v>
      </c>
      <c r="D717">
        <v>15.594048727439899</v>
      </c>
      <c r="E717">
        <v>73.734902334123802</v>
      </c>
      <c r="F717">
        <f>IF(COUNTIF($C$5:C717,C717)=1,1,0)</f>
        <v>0</v>
      </c>
      <c r="G717" s="2" t="str">
        <f t="shared" si="22"/>
        <v/>
      </c>
      <c r="H717" s="2">
        <f>MAX(0, MyBattery - (EVCleanedDataset[[#This Row],[Distance(km)]]/VehicleRangeKm)*100)</f>
        <v>0</v>
      </c>
      <c r="I717" s="2">
        <f>6371*ACOS(SIN(RADIANS(MyLat))*SIN(RADIANS(EVCleanedDataset[[#This Row],[Latitude]]))+COS(RADIANS(MyLat))*COS(RADIANS(EVCleanedDataset[[#This Row],[Latitude]]))*COS(RADIANS(EVCleanedDataset[[#This Row],[Longitude]]-MyLong)))</f>
        <v>479.48252308521961</v>
      </c>
      <c r="J717">
        <f t="shared" si="23"/>
        <v>9</v>
      </c>
      <c r="K717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31.608933380388248</v>
      </c>
      <c r="L717" t="str">
        <f>IF(EVCleanedDataset[[#This Row],[Score]]&gt;50,"Yes","No")</f>
        <v>No</v>
      </c>
    </row>
    <row r="718" spans="1:12" x14ac:dyDescent="0.3">
      <c r="A718" t="s">
        <v>2898</v>
      </c>
      <c r="B718" t="s">
        <v>49</v>
      </c>
      <c r="C718" t="s">
        <v>188</v>
      </c>
      <c r="D718">
        <v>11.024978000000001</v>
      </c>
      <c r="E718">
        <v>77.166726499999996</v>
      </c>
      <c r="F718">
        <f>IF(COUNTIF($C$5:C718,C718)=1,1,0)</f>
        <v>0</v>
      </c>
      <c r="G718" s="2" t="str">
        <f t="shared" si="22"/>
        <v/>
      </c>
      <c r="H718" s="2">
        <f>MAX(0, MyBattery - (EVCleanedDataset[[#This Row],[Distance(km)]]/VehicleRangeKm)*100)</f>
        <v>0</v>
      </c>
      <c r="I718" s="2">
        <f>6371*ACOS(SIN(RADIANS(MyLat))*SIN(RADIANS(EVCleanedDataset[[#This Row],[Latitude]]))+COS(RADIANS(MyLat))*COS(RADIANS(EVCleanedDataset[[#This Row],[Latitude]]))*COS(RADIANS(EVCleanedDataset[[#This Row],[Longitude]]-MyLong)))</f>
        <v>261.55540689879115</v>
      </c>
      <c r="J718">
        <f t="shared" si="23"/>
        <v>6</v>
      </c>
      <c r="K718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45.425982374399638</v>
      </c>
      <c r="L718" t="str">
        <f>IF(EVCleanedDataset[[#This Row],[Score]]&gt;50,"Yes","No")</f>
        <v>No</v>
      </c>
    </row>
    <row r="719" spans="1:12" x14ac:dyDescent="0.3">
      <c r="A719" t="s">
        <v>3188</v>
      </c>
      <c r="B719" t="s">
        <v>386</v>
      </c>
      <c r="C719" t="s">
        <v>3378</v>
      </c>
      <c r="D719">
        <v>8.4811589999999999</v>
      </c>
      <c r="E719">
        <v>76.912456000000006</v>
      </c>
      <c r="F719">
        <f>IF(COUNTIF($C$5:C719,C719)=1,1,0)</f>
        <v>0</v>
      </c>
      <c r="G719" s="2" t="str">
        <f t="shared" si="22"/>
        <v/>
      </c>
      <c r="H719" s="2">
        <f>MAX(0, MyBattery - (EVCleanedDataset[[#This Row],[Distance(km)]]/VehicleRangeKm)*100)</f>
        <v>0</v>
      </c>
      <c r="I719" s="2">
        <f>6371*ACOS(SIN(RADIANS(MyLat))*SIN(RADIANS(EVCleanedDataset[[#This Row],[Latitude]]))+COS(RADIANS(MyLat))*COS(RADIANS(EVCleanedDataset[[#This Row],[Latitude]]))*COS(RADIANS(EVCleanedDataset[[#This Row],[Longitude]]-MyLong)))</f>
        <v>545.57466261399361</v>
      </c>
      <c r="J719">
        <f t="shared" si="23"/>
        <v>3</v>
      </c>
      <c r="K719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50.451335741089245</v>
      </c>
      <c r="L719" t="str">
        <f>IF(EVCleanedDataset[[#This Row],[Score]]&gt;50,"Yes","No")</f>
        <v>Yes</v>
      </c>
    </row>
    <row r="720" spans="1:12" x14ac:dyDescent="0.3">
      <c r="A720" t="s">
        <v>3170</v>
      </c>
      <c r="B720" t="s">
        <v>506</v>
      </c>
      <c r="C720" t="s">
        <v>1236</v>
      </c>
      <c r="D720">
        <v>21.160121920000002</v>
      </c>
      <c r="E720">
        <v>81.795153209999995</v>
      </c>
      <c r="F720">
        <f>IF(COUNTIF($C$5:C720,C720)=1,1,0)</f>
        <v>0</v>
      </c>
      <c r="G720" s="2" t="str">
        <f t="shared" si="22"/>
        <v/>
      </c>
      <c r="H720" s="2">
        <f>MAX(0, MyBattery - (EVCleanedDataset[[#This Row],[Distance(km)]]/VehicleRangeKm)*100)</f>
        <v>0</v>
      </c>
      <c r="I720" s="2">
        <f>6371*ACOS(SIN(RADIANS(MyLat))*SIN(RADIANS(EVCleanedDataset[[#This Row],[Latitude]]))+COS(RADIANS(MyLat))*COS(RADIANS(EVCleanedDataset[[#This Row],[Latitude]]))*COS(RADIANS(EVCleanedDataset[[#This Row],[Longitude]]-MyLong)))</f>
        <v>978.96195418781701</v>
      </c>
      <c r="J720">
        <f t="shared" si="23"/>
        <v>0</v>
      </c>
      <c r="K720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52.860476736834109</v>
      </c>
      <c r="L720" t="str">
        <f>IF(EVCleanedDataset[[#This Row],[Score]]&gt;50,"Yes","No")</f>
        <v>Yes</v>
      </c>
    </row>
    <row r="721" spans="1:12" x14ac:dyDescent="0.3">
      <c r="A721" t="s">
        <v>3097</v>
      </c>
      <c r="B721" t="s">
        <v>386</v>
      </c>
      <c r="C721" t="s">
        <v>1657</v>
      </c>
      <c r="D721">
        <v>8.4539716669999994</v>
      </c>
      <c r="E721">
        <v>77.004150339999995</v>
      </c>
      <c r="F721">
        <f>IF(COUNTIF($C$5:C721,C721)=1,1,0)</f>
        <v>1</v>
      </c>
      <c r="G721" s="2">
        <f t="shared" si="22"/>
        <v>547.41985345753642</v>
      </c>
      <c r="H721" s="2">
        <f>MAX(0, MyBattery - (EVCleanedDataset[[#This Row],[Distance(km)]]/VehicleRangeKm)*100)</f>
        <v>0</v>
      </c>
      <c r="I721" s="2">
        <f>6371*ACOS(SIN(RADIANS(MyLat))*SIN(RADIANS(EVCleanedDataset[[#This Row],[Latitude]]))+COS(RADIANS(MyLat))*COS(RADIANS(EVCleanedDataset[[#This Row],[Latitude]]))*COS(RADIANS(EVCleanedDataset[[#This Row],[Longitude]]-MyLong)))</f>
        <v>547.41985345753642</v>
      </c>
      <c r="J721">
        <f t="shared" si="23"/>
        <v>7</v>
      </c>
      <c r="K721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37.085703504425084</v>
      </c>
      <c r="L721" t="str">
        <f>IF(EVCleanedDataset[[#This Row],[Score]]&gt;50,"Yes","No")</f>
        <v>No</v>
      </c>
    </row>
    <row r="722" spans="1:12" x14ac:dyDescent="0.3">
      <c r="A722" t="s">
        <v>1421</v>
      </c>
      <c r="B722" t="s">
        <v>506</v>
      </c>
      <c r="C722" t="s">
        <v>1236</v>
      </c>
      <c r="D722">
        <v>21.319443400000001</v>
      </c>
      <c r="E722">
        <v>81.637296599999999</v>
      </c>
      <c r="F722">
        <f>IF(COUNTIF($C$5:C722,C722)=1,1,0)</f>
        <v>0</v>
      </c>
      <c r="G722" s="2" t="str">
        <f t="shared" si="22"/>
        <v/>
      </c>
      <c r="H722" s="2">
        <f>MAX(0, MyBattery - (EVCleanedDataset[[#This Row],[Distance(km)]]/VehicleRangeKm)*100)</f>
        <v>0</v>
      </c>
      <c r="I722" s="2">
        <f>6371*ACOS(SIN(RADIANS(MyLat))*SIN(RADIANS(EVCleanedDataset[[#This Row],[Latitude]]))+COS(RADIANS(MyLat))*COS(RADIANS(EVCleanedDataset[[#This Row],[Latitude]]))*COS(RADIANS(EVCleanedDataset[[#This Row],[Longitude]]-MyLong)))</f>
        <v>987.13121712066186</v>
      </c>
      <c r="J722">
        <f t="shared" si="23"/>
        <v>4</v>
      </c>
      <c r="K722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39.384077055584683</v>
      </c>
      <c r="L722" t="str">
        <f>IF(EVCleanedDataset[[#This Row],[Score]]&gt;50,"Yes","No")</f>
        <v>No</v>
      </c>
    </row>
    <row r="723" spans="1:12" x14ac:dyDescent="0.3">
      <c r="A723" t="s">
        <v>2035</v>
      </c>
      <c r="B723" t="s">
        <v>386</v>
      </c>
      <c r="C723" t="s">
        <v>2036</v>
      </c>
      <c r="D723">
        <v>10.223043499999999</v>
      </c>
      <c r="E723">
        <v>76.375525499999995</v>
      </c>
      <c r="F723">
        <f>IF(COUNTIF($C$5:C723,C723)=1,1,0)</f>
        <v>1</v>
      </c>
      <c r="G723" s="2">
        <f t="shared" si="22"/>
        <v>369.89405188720235</v>
      </c>
      <c r="H723" s="2">
        <f>MAX(0, MyBattery - (EVCleanedDataset[[#This Row],[Distance(km)]]/VehicleRangeKm)*100)</f>
        <v>0</v>
      </c>
      <c r="I723" s="2">
        <f>6371*ACOS(SIN(RADIANS(MyLat))*SIN(RADIANS(EVCleanedDataset[[#This Row],[Latitude]]))+COS(RADIANS(MyLat))*COS(RADIANS(EVCleanedDataset[[#This Row],[Latitude]]))*COS(RADIANS(EVCleanedDataset[[#This Row],[Longitude]]-MyLong)))</f>
        <v>369.89405188720235</v>
      </c>
      <c r="J723">
        <f t="shared" si="23"/>
        <v>1</v>
      </c>
      <c r="K723" s="5">
        <f>((1-(EVCleanedDataset[[#This Row],[Distance(km)]]/MAX($I$5:$I$1121)))*0.4 + (1-(EVCleanedDataset[[#This Row],[QueueLength]]/MAX($J$5:$J$1121)))*0.3 + (EVCleanedDataset[[#This Row],[EstimatedBatteryOnArrival]]/100)*0.3 + (ROW()/10000000))*100</f>
        <v>60.195125027718824</v>
      </c>
      <c r="L723" t="str">
        <f>IF(EVCleanedDataset[[#This Row],[Score]]&gt;50,"Yes","No")</f>
        <v>Yes</v>
      </c>
    </row>
    <row r="724" spans="1:12" x14ac:dyDescent="0.3">
      <c r="A724" t="s">
        <v>2289</v>
      </c>
      <c r="B724" t="s">
        <v>386</v>
      </c>
      <c r="C724" t="s">
        <v>3378</v>
      </c>
      <c r="D724">
        <v>8.3901979999999998</v>
      </c>
      <c r="E724">
        <v>76.976355999999996</v>
      </c>
      <c r="F724">
        <f>IF(COUNTIF($C$5:C724,C724)=1,1,0)</f>
        <v>0</v>
      </c>
      <c r="G724" s="2" t="str">
        <f t="shared" si="22"/>
        <v/>
      </c>
      <c r="H724" s="2">
        <f>MAX(0, MyBattery - (EVCleanedDataset[[#This Row],[Distance(km)]]/VehicleRangeKm)*100)</f>
        <v>0</v>
      </c>
      <c r="I724" s="2">
        <f>6371*ACOS(SIN(RADIANS(MyLat))*SIN(RADIANS(EVCleanedDataset[[#This Row],[Latitude]]))+COS(RADIANS(MyLat))*COS(RADIANS(EVCleanedDataset[[#This Row],[Latitude]]))*COS(RADIANS(EVCleanedDataset[[#This Row],[Longitude]]-MyLong)))</f>
        <v>554.79886112357519</v>
      </c>
      <c r="J724">
        <f t="shared" si="23"/>
        <v>8</v>
      </c>
      <c r="K724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33.623155309363369</v>
      </c>
      <c r="L724" t="str">
        <f>IF(EVCleanedDataset[[#This Row],[Score]]&gt;50,"Yes","No")</f>
        <v>No</v>
      </c>
    </row>
    <row r="725" spans="1:12" x14ac:dyDescent="0.3">
      <c r="A725" t="s">
        <v>2499</v>
      </c>
      <c r="B725" t="s">
        <v>14</v>
      </c>
      <c r="C725" t="s">
        <v>2500</v>
      </c>
      <c r="D725">
        <v>27.344906900000002</v>
      </c>
      <c r="E725">
        <v>75.602003100000005</v>
      </c>
      <c r="F725">
        <f>IF(COUNTIF($C$5:C725,C725)=1,1,0)</f>
        <v>1</v>
      </c>
      <c r="G725" s="2">
        <f t="shared" si="22"/>
        <v>1569.1970321567226</v>
      </c>
      <c r="H725" s="2">
        <f>MAX(0, MyBattery - (EVCleanedDataset[[#This Row],[Distance(km)]]/VehicleRangeKm)*100)</f>
        <v>0</v>
      </c>
      <c r="I725" s="2">
        <f>6371*ACOS(SIN(RADIANS(MyLat))*SIN(RADIANS(EVCleanedDataset[[#This Row],[Latitude]]))+COS(RADIANS(MyLat))*COS(RADIANS(EVCleanedDataset[[#This Row],[Latitude]]))*COS(RADIANS(EVCleanedDataset[[#This Row],[Longitude]]-MyLong)))</f>
        <v>1569.1970321567226</v>
      </c>
      <c r="J725">
        <f t="shared" si="23"/>
        <v>5</v>
      </c>
      <c r="K725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25.855769300805115</v>
      </c>
      <c r="L725" t="str">
        <f>IF(EVCleanedDataset[[#This Row],[Score]]&gt;50,"Yes","No")</f>
        <v>No</v>
      </c>
    </row>
    <row r="726" spans="1:12" x14ac:dyDescent="0.3">
      <c r="A726" t="s">
        <v>3220</v>
      </c>
      <c r="B726" t="s">
        <v>386</v>
      </c>
      <c r="C726" t="s">
        <v>1435</v>
      </c>
      <c r="D726">
        <v>10.011133299999999</v>
      </c>
      <c r="E726">
        <v>76.312371400000004</v>
      </c>
      <c r="F726">
        <f>IF(COUNTIF($C$5:C726,C726)=1,1,0)</f>
        <v>0</v>
      </c>
      <c r="G726" s="2" t="str">
        <f t="shared" si="22"/>
        <v/>
      </c>
      <c r="H726" s="2">
        <f>MAX(0, MyBattery - (EVCleanedDataset[[#This Row],[Distance(km)]]/VehicleRangeKm)*100)</f>
        <v>0</v>
      </c>
      <c r="I726" s="2">
        <f>6371*ACOS(SIN(RADIANS(MyLat))*SIN(RADIANS(EVCleanedDataset[[#This Row],[Latitude]]))+COS(RADIANS(MyLat))*COS(RADIANS(EVCleanedDataset[[#This Row],[Latitude]]))*COS(RADIANS(EVCleanedDataset[[#This Row],[Longitude]]-MyLong)))</f>
        <v>394.40707958362117</v>
      </c>
      <c r="J726">
        <f t="shared" si="23"/>
        <v>2</v>
      </c>
      <c r="K726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56.432470890245689</v>
      </c>
      <c r="L726" t="str">
        <f>IF(EVCleanedDataset[[#This Row],[Score]]&gt;50,"Yes","No")</f>
        <v>Yes</v>
      </c>
    </row>
    <row r="727" spans="1:12" x14ac:dyDescent="0.3">
      <c r="A727" t="s">
        <v>2886</v>
      </c>
      <c r="B727" t="s">
        <v>49</v>
      </c>
      <c r="C727" t="s">
        <v>1008</v>
      </c>
      <c r="D727">
        <v>12.914903300000001</v>
      </c>
      <c r="E727">
        <v>80.126647199999994</v>
      </c>
      <c r="F727">
        <f>IF(COUNTIF($C$5:C727,C727)=1,1,0)</f>
        <v>0</v>
      </c>
      <c r="G727" s="2" t="str">
        <f t="shared" si="22"/>
        <v/>
      </c>
      <c r="H727" s="2">
        <f>MAX(0, MyBattery - (EVCleanedDataset[[#This Row],[Distance(km)]]/VehicleRangeKm)*100)</f>
        <v>0</v>
      </c>
      <c r="I727" s="2">
        <f>6371*ACOS(SIN(RADIANS(MyLat))*SIN(RADIANS(EVCleanedDataset[[#This Row],[Latitude]]))+COS(RADIANS(MyLat))*COS(RADIANS(EVCleanedDataset[[#This Row],[Latitude]]))*COS(RADIANS(EVCleanedDataset[[#This Row],[Longitude]]-MyLong)))</f>
        <v>284.49531257098931</v>
      </c>
      <c r="J727">
        <f t="shared" si="23"/>
        <v>9</v>
      </c>
      <c r="K727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35.024275131348809</v>
      </c>
      <c r="L727" t="str">
        <f>IF(EVCleanedDataset[[#This Row],[Score]]&gt;50,"Yes","No")</f>
        <v>No</v>
      </c>
    </row>
    <row r="728" spans="1:12" x14ac:dyDescent="0.3">
      <c r="A728" t="s">
        <v>402</v>
      </c>
      <c r="B728" t="s">
        <v>49</v>
      </c>
      <c r="C728" t="s">
        <v>1008</v>
      </c>
      <c r="D728">
        <v>13.037040899999999</v>
      </c>
      <c r="E728">
        <v>80.139879500000006</v>
      </c>
      <c r="F728">
        <f>IF(COUNTIF($C$5:C728,C728)=1,1,0)</f>
        <v>0</v>
      </c>
      <c r="G728" s="2" t="str">
        <f t="shared" si="22"/>
        <v/>
      </c>
      <c r="H728" s="2">
        <f>MAX(0, MyBattery - (EVCleanedDataset[[#This Row],[Distance(km)]]/VehicleRangeKm)*100)</f>
        <v>0</v>
      </c>
      <c r="I728" s="2">
        <f>6371*ACOS(SIN(RADIANS(MyLat))*SIN(RADIANS(EVCleanedDataset[[#This Row],[Latitude]]))+COS(RADIANS(MyLat))*COS(RADIANS(EVCleanedDataset[[#This Row],[Latitude]]))*COS(RADIANS(EVCleanedDataset[[#This Row],[Longitude]]-MyLong)))</f>
        <v>283.86037610725907</v>
      </c>
      <c r="J728">
        <f t="shared" si="23"/>
        <v>6</v>
      </c>
      <c r="K728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45.035406176233849</v>
      </c>
      <c r="L728" t="str">
        <f>IF(EVCleanedDataset[[#This Row],[Score]]&gt;50,"Yes","No")</f>
        <v>No</v>
      </c>
    </row>
    <row r="729" spans="1:12" x14ac:dyDescent="0.3">
      <c r="A729" t="s">
        <v>3067</v>
      </c>
      <c r="B729" t="s">
        <v>49</v>
      </c>
      <c r="C729" t="s">
        <v>1008</v>
      </c>
      <c r="D729">
        <v>13.033017190000001</v>
      </c>
      <c r="E729">
        <v>80.184313239999994</v>
      </c>
      <c r="F729">
        <f>IF(COUNTIF($C$5:C729,C729)=1,1,0)</f>
        <v>0</v>
      </c>
      <c r="G729" s="2" t="str">
        <f t="shared" si="22"/>
        <v/>
      </c>
      <c r="H729" s="2">
        <f>MAX(0, MyBattery - (EVCleanedDataset[[#This Row],[Distance(km)]]/VehicleRangeKm)*100)</f>
        <v>0</v>
      </c>
      <c r="I729" s="2">
        <f>6371*ACOS(SIN(RADIANS(MyLat))*SIN(RADIANS(EVCleanedDataset[[#This Row],[Latitude]]))+COS(RADIANS(MyLat))*COS(RADIANS(EVCleanedDataset[[#This Row],[Latitude]]))*COS(RADIANS(EVCleanedDataset[[#This Row],[Longitude]]-MyLong)))</f>
        <v>288.69168744196423</v>
      </c>
      <c r="J729">
        <f t="shared" si="23"/>
        <v>3</v>
      </c>
      <c r="K72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54.950794748301945</v>
      </c>
      <c r="L729" t="str">
        <f>IF(EVCleanedDataset[[#This Row],[Score]]&gt;50,"Yes","No")</f>
        <v>Yes</v>
      </c>
    </row>
    <row r="730" spans="1:12" x14ac:dyDescent="0.3">
      <c r="A730" t="s">
        <v>872</v>
      </c>
      <c r="B730" t="s">
        <v>49</v>
      </c>
      <c r="C730" t="s">
        <v>1008</v>
      </c>
      <c r="D730">
        <v>13.1221926</v>
      </c>
      <c r="E730">
        <v>80.189001700000006</v>
      </c>
      <c r="F730">
        <f>IF(COUNTIF($C$5:C730,C730)=1,1,0)</f>
        <v>0</v>
      </c>
      <c r="G730" s="2" t="str">
        <f t="shared" si="22"/>
        <v/>
      </c>
      <c r="H730" s="2">
        <f>MAX(0, MyBattery - (EVCleanedDataset[[#This Row],[Distance(km)]]/VehicleRangeKm)*100)</f>
        <v>0</v>
      </c>
      <c r="I730" s="2">
        <f>6371*ACOS(SIN(RADIANS(MyLat))*SIN(RADIANS(EVCleanedDataset[[#This Row],[Latitude]]))+COS(RADIANS(MyLat))*COS(RADIANS(EVCleanedDataset[[#This Row],[Latitude]]))*COS(RADIANS(EVCleanedDataset[[#This Row],[Longitude]]-MyLong)))</f>
        <v>288.10640405541926</v>
      </c>
      <c r="J730">
        <f t="shared" si="23"/>
        <v>0</v>
      </c>
      <c r="K73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64.961056109160936</v>
      </c>
      <c r="L730" t="str">
        <f>IF(EVCleanedDataset[[#This Row],[Score]]&gt;50,"Yes","No")</f>
        <v>Yes</v>
      </c>
    </row>
    <row r="731" spans="1:12" x14ac:dyDescent="0.3">
      <c r="A731" t="s">
        <v>3068</v>
      </c>
      <c r="B731" t="s">
        <v>49</v>
      </c>
      <c r="C731" t="s">
        <v>1008</v>
      </c>
      <c r="D731">
        <v>13.075143840000001</v>
      </c>
      <c r="E731">
        <v>80.21984698</v>
      </c>
      <c r="F731">
        <f>IF(COUNTIF($C$5:C731,C731)=1,1,0)</f>
        <v>0</v>
      </c>
      <c r="G731" s="2" t="str">
        <f t="shared" si="22"/>
        <v/>
      </c>
      <c r="H731" s="2">
        <f>MAX(0, MyBattery - (EVCleanedDataset[[#This Row],[Distance(km)]]/VehicleRangeKm)*100)</f>
        <v>0</v>
      </c>
      <c r="I731" s="2">
        <f>6371*ACOS(SIN(RADIANS(MyLat))*SIN(RADIANS(EVCleanedDataset[[#This Row],[Latitude]]))+COS(RADIANS(MyLat))*COS(RADIANS(EVCleanedDataset[[#This Row],[Latitude]]))*COS(RADIANS(EVCleanedDataset[[#This Row],[Longitude]]-MyLong)))</f>
        <v>291.95965916524574</v>
      </c>
      <c r="J731">
        <f t="shared" si="23"/>
        <v>7</v>
      </c>
      <c r="K73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41.560242207120695</v>
      </c>
      <c r="L731" t="str">
        <f>IF(EVCleanedDataset[[#This Row],[Score]]&gt;50,"Yes","No")</f>
        <v>No</v>
      </c>
    </row>
    <row r="732" spans="1:12" x14ac:dyDescent="0.3">
      <c r="A732" t="s">
        <v>2967</v>
      </c>
      <c r="B732" t="s">
        <v>41</v>
      </c>
      <c r="C732" t="s">
        <v>221</v>
      </c>
      <c r="D732">
        <v>19.993200000000002</v>
      </c>
      <c r="E732">
        <v>73.783133000000007</v>
      </c>
      <c r="F732">
        <f>IF(COUNTIF($C$5:C732,C732)=1,1,0)</f>
        <v>0</v>
      </c>
      <c r="G732" s="2" t="str">
        <f t="shared" si="22"/>
        <v/>
      </c>
      <c r="H732" s="2">
        <f>MAX(0, MyBattery - (EVCleanedDataset[[#This Row],[Distance(km)]]/VehicleRangeKm)*100)</f>
        <v>0</v>
      </c>
      <c r="I732" s="2">
        <f>6371*ACOS(SIN(RADIANS(MyLat))*SIN(RADIANS(EVCleanedDataset[[#This Row],[Latitude]]))+COS(RADIANS(MyLat))*COS(RADIANS(EVCleanedDataset[[#This Row],[Latitude]]))*COS(RADIANS(EVCleanedDataset[[#This Row],[Longitude]]-MyLong)))</f>
        <v>839.94750504683657</v>
      </c>
      <c r="J732">
        <f t="shared" si="23"/>
        <v>4</v>
      </c>
      <c r="K732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41.962130538842516</v>
      </c>
      <c r="L732" t="str">
        <f>IF(EVCleanedDataset[[#This Row],[Score]]&gt;50,"Yes","No")</f>
        <v>No</v>
      </c>
    </row>
    <row r="733" spans="1:12" x14ac:dyDescent="0.3">
      <c r="A733" t="s">
        <v>1215</v>
      </c>
      <c r="B733" t="s">
        <v>49</v>
      </c>
      <c r="C733" t="s">
        <v>1008</v>
      </c>
      <c r="D733">
        <v>13.033655</v>
      </c>
      <c r="E733">
        <v>80.255285000000001</v>
      </c>
      <c r="F733">
        <f>IF(COUNTIF($C$5:C733,C733)=1,1,0)</f>
        <v>0</v>
      </c>
      <c r="G733" s="2" t="str">
        <f t="shared" si="22"/>
        <v/>
      </c>
      <c r="H733" s="2">
        <f>MAX(0, MyBattery - (EVCleanedDataset[[#This Row],[Distance(km)]]/VehicleRangeKm)*100)</f>
        <v>0</v>
      </c>
      <c r="I733" s="2">
        <f>6371*ACOS(SIN(RADIANS(MyLat))*SIN(RADIANS(EVCleanedDataset[[#This Row],[Latitude]]))+COS(RADIANS(MyLat))*COS(RADIANS(EVCleanedDataset[[#This Row],[Latitude]]))*COS(RADIANS(EVCleanedDataset[[#This Row],[Longitude]]-MyLong)))</f>
        <v>296.31057254509091</v>
      </c>
      <c r="J733">
        <f t="shared" si="23"/>
        <v>1</v>
      </c>
      <c r="K73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61.484055049787301</v>
      </c>
      <c r="L733" t="str">
        <f>IF(EVCleanedDataset[[#This Row],[Score]]&gt;50,"Yes","No")</f>
        <v>Yes</v>
      </c>
    </row>
    <row r="734" spans="1:12" x14ac:dyDescent="0.3">
      <c r="A734" t="s">
        <v>2770</v>
      </c>
      <c r="B734" t="s">
        <v>41</v>
      </c>
      <c r="C734" t="s">
        <v>987</v>
      </c>
      <c r="D734">
        <v>21.154062</v>
      </c>
      <c r="E734">
        <v>79.013159000000002</v>
      </c>
      <c r="F734">
        <f>IF(COUNTIF($C$5:C734,C734)=1,1,0)</f>
        <v>0</v>
      </c>
      <c r="G734" s="2" t="str">
        <f t="shared" si="22"/>
        <v/>
      </c>
      <c r="H734" s="2">
        <f>MAX(0, MyBattery - (EVCleanedDataset[[#This Row],[Distance(km)]]/VehicleRangeKm)*100)</f>
        <v>0</v>
      </c>
      <c r="I734" s="2">
        <f>6371*ACOS(SIN(RADIANS(MyLat))*SIN(RADIANS(EVCleanedDataset[[#This Row],[Latitude]]))+COS(RADIANS(MyLat))*COS(RADIANS(EVCleanedDataset[[#This Row],[Latitude]]))*COS(RADIANS(EVCleanedDataset[[#This Row],[Longitude]]-MyLong)))</f>
        <v>881.8760323763164</v>
      </c>
      <c r="J734">
        <f t="shared" si="23"/>
        <v>8</v>
      </c>
      <c r="K734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27.894430284878403</v>
      </c>
      <c r="L734" t="str">
        <f>IF(EVCleanedDataset[[#This Row],[Score]]&gt;50,"Yes","No")</f>
        <v>No</v>
      </c>
    </row>
    <row r="735" spans="1:12" x14ac:dyDescent="0.3">
      <c r="A735" t="s">
        <v>2918</v>
      </c>
      <c r="B735" t="s">
        <v>41</v>
      </c>
      <c r="C735" t="s">
        <v>987</v>
      </c>
      <c r="D735">
        <v>21.139399980533799</v>
      </c>
      <c r="E735">
        <v>79.060476483156194</v>
      </c>
      <c r="F735">
        <f>IF(COUNTIF($C$5:C735,C735)=1,1,0)</f>
        <v>0</v>
      </c>
      <c r="G735" s="2" t="str">
        <f t="shared" si="22"/>
        <v/>
      </c>
      <c r="H735" s="2">
        <f>MAX(0, MyBattery - (EVCleanedDataset[[#This Row],[Distance(km)]]/VehicleRangeKm)*100)</f>
        <v>0</v>
      </c>
      <c r="I735" s="2">
        <f>6371*ACOS(SIN(RADIANS(MyLat))*SIN(RADIANS(EVCleanedDataset[[#This Row],[Latitude]]))+COS(RADIANS(MyLat))*COS(RADIANS(EVCleanedDataset[[#This Row],[Latitude]]))*COS(RADIANS(EVCleanedDataset[[#This Row],[Longitude]]-MyLong)))</f>
        <v>881.17946764383089</v>
      </c>
      <c r="J735">
        <f t="shared" si="23"/>
        <v>5</v>
      </c>
      <c r="K735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37.906640761773055</v>
      </c>
      <c r="L735" t="str">
        <f>IF(EVCleanedDataset[[#This Row],[Score]]&gt;50,"Yes","No")</f>
        <v>No</v>
      </c>
    </row>
    <row r="736" spans="1:12" x14ac:dyDescent="0.3">
      <c r="A736" t="s">
        <v>2846</v>
      </c>
      <c r="B736" t="s">
        <v>41</v>
      </c>
      <c r="C736" t="s">
        <v>267</v>
      </c>
      <c r="D736">
        <v>18.328900000000001</v>
      </c>
      <c r="E736">
        <v>74.779399999999995</v>
      </c>
      <c r="F736">
        <f>IF(COUNTIF($C$5:C736,C736)=1,1,0)</f>
        <v>1</v>
      </c>
      <c r="G736" s="2">
        <f t="shared" si="22"/>
        <v>627.37098733804066</v>
      </c>
      <c r="H736" s="2">
        <f>MAX(0, MyBattery - (EVCleanedDataset[[#This Row],[Distance(km)]]/VehicleRangeKm)*100)</f>
        <v>0</v>
      </c>
      <c r="I736" s="2">
        <f>6371*ACOS(SIN(RADIANS(MyLat))*SIN(RADIANS(EVCleanedDataset[[#This Row],[Latitude]]))+COS(RADIANS(MyLat))*COS(RADIANS(EVCleanedDataset[[#This Row],[Latitude]]))*COS(RADIANS(EVCleanedDataset[[#This Row],[Longitude]]-MyLong)))</f>
        <v>627.37098733804066</v>
      </c>
      <c r="J736">
        <f t="shared" si="23"/>
        <v>2</v>
      </c>
      <c r="K736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52.35215934873203</v>
      </c>
      <c r="L736" t="str">
        <f>IF(EVCleanedDataset[[#This Row],[Score]]&gt;50,"Yes","No")</f>
        <v>Yes</v>
      </c>
    </row>
    <row r="737" spans="1:12" x14ac:dyDescent="0.3">
      <c r="A737" t="s">
        <v>3018</v>
      </c>
      <c r="B737" t="s">
        <v>14</v>
      </c>
      <c r="C737" t="s">
        <v>1396</v>
      </c>
      <c r="D737">
        <v>25.936067999999999</v>
      </c>
      <c r="E737">
        <v>75.458672000000007</v>
      </c>
      <c r="F737">
        <f>IF(COUNTIF($C$5:C737,C737)=1,1,0)</f>
        <v>1</v>
      </c>
      <c r="G737" s="2">
        <f t="shared" si="22"/>
        <v>1416.3420675269508</v>
      </c>
      <c r="H737" s="2">
        <f>MAX(0, MyBattery - (EVCleanedDataset[[#This Row],[Distance(km)]]/VehicleRangeKm)*100)</f>
        <v>0</v>
      </c>
      <c r="I737" s="2">
        <f>6371*ACOS(SIN(RADIANS(MyLat))*SIN(RADIANS(EVCleanedDataset[[#This Row],[Latitude]]))+COS(RADIANS(MyLat))*COS(RADIANS(EVCleanedDataset[[#This Row],[Latitude]]))*COS(RADIANS(EVCleanedDataset[[#This Row],[Longitude]]-MyLong)))</f>
        <v>1416.3420675269508</v>
      </c>
      <c r="J737">
        <f t="shared" si="23"/>
        <v>9</v>
      </c>
      <c r="K737" s="5">
        <f>((1-(EVCleanedDataset[[#This Row],[Distance(km)]]/MAX($I$5:$I$1121)))*0.4 + (1-(EVCleanedDataset[[#This Row],[QueueLength]]/MAX($J$5:$J$1121)))*0.3 + (EVCleanedDataset[[#This Row],[EstimatedBatteryOnArrival]]/100)*0.3 + (ROW()/10000000))*100</f>
        <v>15.199842624727181</v>
      </c>
      <c r="L737" t="str">
        <f>IF(EVCleanedDataset[[#This Row],[Score]]&gt;50,"Yes","No")</f>
        <v>No</v>
      </c>
    </row>
    <row r="738" spans="1:12" x14ac:dyDescent="0.3">
      <c r="A738" t="s">
        <v>3333</v>
      </c>
      <c r="B738" t="s">
        <v>1051</v>
      </c>
      <c r="C738" t="s">
        <v>1052</v>
      </c>
      <c r="D738">
        <v>26.172605999999998</v>
      </c>
      <c r="E738">
        <v>91.7293442</v>
      </c>
      <c r="F738">
        <f>IF(COUNTIF($C$5:C738,C738)=1,1,0)</f>
        <v>1</v>
      </c>
      <c r="G738" s="2">
        <f t="shared" si="22"/>
        <v>2050.6031166283638</v>
      </c>
      <c r="H738" s="2">
        <f>MAX(0, MyBattery - (EVCleanedDataset[[#This Row],[Distance(km)]]/VehicleRangeKm)*100)</f>
        <v>0</v>
      </c>
      <c r="I738" s="2">
        <f>6371*ACOS(SIN(RADIANS(MyLat))*SIN(RADIANS(EVCleanedDataset[[#This Row],[Latitude]]))+COS(RADIANS(MyLat))*COS(RADIANS(EVCleanedDataset[[#This Row],[Latitude]]))*COS(RADIANS(EVCleanedDataset[[#This Row],[Longitude]]-MyLong)))</f>
        <v>2055.411845809459</v>
      </c>
      <c r="J738">
        <f t="shared" si="23"/>
        <v>6</v>
      </c>
      <c r="K738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14.006411871297622</v>
      </c>
      <c r="L738" t="str">
        <f>IF(EVCleanedDataset[[#This Row],[Score]]&gt;50,"Yes","No")</f>
        <v>No</v>
      </c>
    </row>
    <row r="739" spans="1:12" x14ac:dyDescent="0.3">
      <c r="A739" t="s">
        <v>3316</v>
      </c>
      <c r="B739" t="s">
        <v>64</v>
      </c>
      <c r="C739" t="s">
        <v>2578</v>
      </c>
      <c r="D739">
        <v>29.313755</v>
      </c>
      <c r="E739">
        <v>79.195091700000006</v>
      </c>
      <c r="F739">
        <f>IF(COUNTIF($C$5:C739,C739)=1,1,0)</f>
        <v>1</v>
      </c>
      <c r="G739" s="2">
        <f t="shared" si="22"/>
        <v>1783.3914901350913</v>
      </c>
      <c r="H739" s="2">
        <f>MAX(0, MyBattery - (EVCleanedDataset[[#This Row],[Distance(km)]]/VehicleRangeKm)*100)</f>
        <v>0</v>
      </c>
      <c r="I739" s="2">
        <f>6371*ACOS(SIN(RADIANS(MyLat))*SIN(RADIANS(EVCleanedDataset[[#This Row],[Latitude]]))+COS(RADIANS(MyLat))*COS(RADIANS(EVCleanedDataset[[#This Row],[Latitude]]))*COS(RADIANS(EVCleanedDataset[[#This Row],[Longitude]]-MyLong)))</f>
        <v>1783.3914901350913</v>
      </c>
      <c r="J739">
        <f t="shared" si="23"/>
        <v>3</v>
      </c>
      <c r="K739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28.770915262224122</v>
      </c>
      <c r="L739" t="str">
        <f>IF(EVCleanedDataset[[#This Row],[Score]]&gt;50,"Yes","No")</f>
        <v>No</v>
      </c>
    </row>
    <row r="740" spans="1:12" x14ac:dyDescent="0.3">
      <c r="A740" t="s">
        <v>777</v>
      </c>
      <c r="B740" t="s">
        <v>18</v>
      </c>
      <c r="C740" t="s">
        <v>1085</v>
      </c>
      <c r="D740">
        <v>26.799112399999999</v>
      </c>
      <c r="E740">
        <v>80.898258900000002</v>
      </c>
      <c r="F740">
        <f>IF(COUNTIF($C$5:C740,C740)=1,1,0)</f>
        <v>0</v>
      </c>
      <c r="G740" s="2" t="str">
        <f t="shared" si="22"/>
        <v/>
      </c>
      <c r="H740" s="2">
        <f>MAX(0, MyBattery - (EVCleanedDataset[[#This Row],[Distance(km)]]/VehicleRangeKm)*100)</f>
        <v>0</v>
      </c>
      <c r="I740" s="2">
        <f>6371*ACOS(SIN(RADIANS(MyLat))*SIN(RADIANS(EVCleanedDataset[[#This Row],[Latitude]]))+COS(RADIANS(MyLat))*COS(RADIANS(EVCleanedDataset[[#This Row],[Latitude]]))*COS(RADIANS(EVCleanedDataset[[#This Row],[Longitude]]-MyLong)))</f>
        <v>1535.9469442913753</v>
      </c>
      <c r="J740">
        <f t="shared" si="23"/>
        <v>0</v>
      </c>
      <c r="K740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43.104968206806163</v>
      </c>
      <c r="L740" t="str">
        <f>IF(EVCleanedDataset[[#This Row],[Score]]&gt;50,"Yes","No")</f>
        <v>No</v>
      </c>
    </row>
    <row r="741" spans="1:12" x14ac:dyDescent="0.3">
      <c r="A741" t="s">
        <v>3367</v>
      </c>
      <c r="B741" t="s">
        <v>8</v>
      </c>
      <c r="C741" t="s">
        <v>32</v>
      </c>
      <c r="D741">
        <v>29.7379</v>
      </c>
      <c r="E741">
        <v>76.9756</v>
      </c>
      <c r="F741">
        <f>IF(COUNTIF($C$5:C741,C741)=1,1,0)</f>
        <v>1</v>
      </c>
      <c r="G741" s="2">
        <f t="shared" si="22"/>
        <v>1808.1373401268397</v>
      </c>
      <c r="H741" s="2">
        <f>MAX(0, MyBattery - (EVCleanedDataset[[#This Row],[Distance(km)]]/VehicleRangeKm)*100)</f>
        <v>0</v>
      </c>
      <c r="I741" s="2">
        <f>6371*ACOS(SIN(RADIANS(MyLat))*SIN(RADIANS(EVCleanedDataset[[#This Row],[Latitude]]))+COS(RADIANS(MyLat))*COS(RADIANS(EVCleanedDataset[[#This Row],[Latitude]]))*COS(RADIANS(EVCleanedDataset[[#This Row],[Longitude]]-MyLong)))</f>
        <v>1823.2665580411913</v>
      </c>
      <c r="J741">
        <f t="shared" si="23"/>
        <v>7</v>
      </c>
      <c r="K741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14.739181779301733</v>
      </c>
      <c r="L741" t="str">
        <f>IF(EVCleanedDataset[[#This Row],[Score]]&gt;50,"Yes","No")</f>
        <v>No</v>
      </c>
    </row>
    <row r="742" spans="1:12" x14ac:dyDescent="0.3">
      <c r="A742" t="s">
        <v>2809</v>
      </c>
      <c r="B742" t="s">
        <v>18</v>
      </c>
      <c r="C742" t="s">
        <v>140</v>
      </c>
      <c r="D742">
        <v>27.9145</v>
      </c>
      <c r="E742">
        <v>76.314599999999999</v>
      </c>
      <c r="F742">
        <f>IF(COUNTIF($C$5:C742,C742)=1,1,0)</f>
        <v>1</v>
      </c>
      <c r="G742" s="2">
        <f t="shared" si="22"/>
        <v>1624.550232873627</v>
      </c>
      <c r="H742" s="2">
        <f>MAX(0, MyBattery - (EVCleanedDataset[[#This Row],[Distance(km)]]/VehicleRangeKm)*100)</f>
        <v>0</v>
      </c>
      <c r="I742" s="2">
        <f>6371*ACOS(SIN(RADIANS(MyLat))*SIN(RADIANS(EVCleanedDataset[[#This Row],[Latitude]]))+COS(RADIANS(MyLat))*COS(RADIANS(EVCleanedDataset[[#This Row],[Latitude]]))*COS(RADIANS(EVCleanedDataset[[#This Row],[Longitude]]-MyLong)))</f>
        <v>1624.550232873627</v>
      </c>
      <c r="J742">
        <f t="shared" si="23"/>
        <v>4</v>
      </c>
      <c r="K742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28.219749752924272</v>
      </c>
      <c r="L742" t="str">
        <f>IF(EVCleanedDataset[[#This Row],[Score]]&gt;50,"Yes","No")</f>
        <v>No</v>
      </c>
    </row>
    <row r="743" spans="1:12" x14ac:dyDescent="0.3">
      <c r="A743" t="s">
        <v>2058</v>
      </c>
      <c r="B743" t="s">
        <v>49</v>
      </c>
      <c r="C743" t="s">
        <v>2059</v>
      </c>
      <c r="D743">
        <v>11.759223799999999</v>
      </c>
      <c r="E743">
        <v>78.427344099999999</v>
      </c>
      <c r="F743">
        <f>IF(COUNTIF($C$5:C743,C743)=1,1,0)</f>
        <v>1</v>
      </c>
      <c r="G743" s="2">
        <f t="shared" si="22"/>
        <v>201.44719318488396</v>
      </c>
      <c r="H743" s="2">
        <f>MAX(0, MyBattery - (EVCleanedDataset[[#This Row],[Distance(km)]]/VehicleRangeKm)*100)</f>
        <v>2.8509356050386714</v>
      </c>
      <c r="I743" s="2">
        <f>6371*ACOS(SIN(RADIANS(MyLat))*SIN(RADIANS(EVCleanedDataset[[#This Row],[Latitude]]))+COS(RADIANS(MyLat))*COS(RADIANS(EVCleanedDataset[[#This Row],[Latitude]]))*COS(RADIANS(EVCleanedDataset[[#This Row],[Longitude]]-MyLong)))</f>
        <v>201.44719318488396</v>
      </c>
      <c r="J743">
        <f t="shared" si="23"/>
        <v>1</v>
      </c>
      <c r="K743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64.000987650390243</v>
      </c>
      <c r="L743" t="str">
        <f>IF(EVCleanedDataset[[#This Row],[Score]]&gt;50,"Yes","No")</f>
        <v>Yes</v>
      </c>
    </row>
    <row r="744" spans="1:12" x14ac:dyDescent="0.3">
      <c r="A744" t="s">
        <v>2411</v>
      </c>
      <c r="B744" t="s">
        <v>41</v>
      </c>
      <c r="C744" t="s">
        <v>42</v>
      </c>
      <c r="D744">
        <v>18.423342999999999</v>
      </c>
      <c r="E744">
        <v>73.754874999999998</v>
      </c>
      <c r="F744">
        <f>IF(COUNTIF($C$5:C744,C744)=1,1,0)</f>
        <v>0</v>
      </c>
      <c r="G744" s="2" t="str">
        <f t="shared" si="22"/>
        <v/>
      </c>
      <c r="H744" s="2">
        <f>MAX(0, MyBattery - (EVCleanedDataset[[#This Row],[Distance(km)]]/VehicleRangeKm)*100)</f>
        <v>0</v>
      </c>
      <c r="I744" s="2">
        <f>6371*ACOS(SIN(RADIANS(MyLat))*SIN(RADIANS(EVCleanedDataset[[#This Row],[Latitude]]))+COS(RADIANS(MyLat))*COS(RADIANS(EVCleanedDataset[[#This Row],[Latitude]]))*COS(RADIANS(EVCleanedDataset[[#This Row],[Longitude]]-MyLong)))</f>
        <v>694.1705728028229</v>
      </c>
      <c r="J744">
        <f t="shared" si="23"/>
        <v>8</v>
      </c>
      <c r="K744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31.182230645984145</v>
      </c>
      <c r="L744" t="str">
        <f>IF(EVCleanedDataset[[#This Row],[Score]]&gt;50,"Yes","No")</f>
        <v>No</v>
      </c>
    </row>
    <row r="745" spans="1:12" x14ac:dyDescent="0.3">
      <c r="A745" t="s">
        <v>2848</v>
      </c>
      <c r="B745" t="s">
        <v>18</v>
      </c>
      <c r="C745" t="s">
        <v>271</v>
      </c>
      <c r="D745">
        <v>27.832699999999999</v>
      </c>
      <c r="E745">
        <v>77.419399999999996</v>
      </c>
      <c r="F745">
        <f>IF(COUNTIF($C$5:C745,C745)=1,1,0)</f>
        <v>1</v>
      </c>
      <c r="G745" s="2">
        <f t="shared" si="22"/>
        <v>1610.5464341735155</v>
      </c>
      <c r="H745" s="2">
        <f>MAX(0, MyBattery - (EVCleanedDataset[[#This Row],[Distance(km)]]/VehicleRangeKm)*100)</f>
        <v>0</v>
      </c>
      <c r="I745" s="2">
        <f>6371*ACOS(SIN(RADIANS(MyLat))*SIN(RADIANS(EVCleanedDataset[[#This Row],[Latitude]]))+COS(RADIANS(MyLat))*COS(RADIANS(EVCleanedDataset[[#This Row],[Latitude]]))*COS(RADIANS(EVCleanedDataset[[#This Row],[Longitude]]-MyLong)))</f>
        <v>1610.5473934464242</v>
      </c>
      <c r="J745">
        <f t="shared" si="23"/>
        <v>5</v>
      </c>
      <c r="K745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25.131709079216968</v>
      </c>
      <c r="L745" t="str">
        <f>IF(EVCleanedDataset[[#This Row],[Score]]&gt;50,"Yes","No")</f>
        <v>No</v>
      </c>
    </row>
    <row r="746" spans="1:12" x14ac:dyDescent="0.3">
      <c r="A746" t="s">
        <v>581</v>
      </c>
      <c r="B746" t="s">
        <v>115</v>
      </c>
      <c r="C746" t="s">
        <v>1163</v>
      </c>
      <c r="D746">
        <v>17.46377</v>
      </c>
      <c r="E746">
        <v>78.308800000000005</v>
      </c>
      <c r="F746">
        <f>IF(COUNTIF($C$5:C746,C746)=1,1,0)</f>
        <v>0</v>
      </c>
      <c r="G746" s="2" t="str">
        <f t="shared" si="22"/>
        <v/>
      </c>
      <c r="H746" s="2">
        <f>MAX(0, MyBattery - (EVCleanedDataset[[#This Row],[Distance(km)]]/VehicleRangeKm)*100)</f>
        <v>0</v>
      </c>
      <c r="I746" s="2">
        <f>6371*ACOS(SIN(RADIANS(MyLat))*SIN(RADIANS(EVCleanedDataset[[#This Row],[Latitude]]))+COS(RADIANS(MyLat))*COS(RADIANS(EVCleanedDataset[[#This Row],[Latitude]]))*COS(RADIANS(EVCleanedDataset[[#This Row],[Longitude]]-MyLong)))</f>
        <v>464.93539774733017</v>
      </c>
      <c r="J746">
        <f t="shared" si="23"/>
        <v>2</v>
      </c>
      <c r="K746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55.197352654847123</v>
      </c>
      <c r="L746" t="str">
        <f>IF(EVCleanedDataset[[#This Row],[Score]]&gt;50,"Yes","No")</f>
        <v>Yes</v>
      </c>
    </row>
    <row r="747" spans="1:12" x14ac:dyDescent="0.3">
      <c r="A747" t="s">
        <v>577</v>
      </c>
      <c r="B747" t="s">
        <v>115</v>
      </c>
      <c r="C747" t="s">
        <v>1163</v>
      </c>
      <c r="D747">
        <v>17.4453566</v>
      </c>
      <c r="E747">
        <v>78.355601399999998</v>
      </c>
      <c r="F747">
        <f>IF(COUNTIF($C$5:C747,C747)=1,1,0)</f>
        <v>0</v>
      </c>
      <c r="G747" s="2" t="str">
        <f t="shared" si="22"/>
        <v/>
      </c>
      <c r="H747" s="2">
        <f>MAX(0, MyBattery - (EVCleanedDataset[[#This Row],[Distance(km)]]/VehicleRangeKm)*100)</f>
        <v>0</v>
      </c>
      <c r="I747" s="2">
        <f>6371*ACOS(SIN(RADIANS(MyLat))*SIN(RADIANS(EVCleanedDataset[[#This Row],[Latitude]]))+COS(RADIANS(MyLat))*COS(RADIANS(EVCleanedDataset[[#This Row],[Latitude]]))*COS(RADIANS(EVCleanedDataset[[#This Row],[Longitude]]-MyLong)))</f>
        <v>463.84333143930883</v>
      </c>
      <c r="J747">
        <f t="shared" si="23"/>
        <v>9</v>
      </c>
      <c r="K747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31.883157091176905</v>
      </c>
      <c r="L747" t="str">
        <f>IF(EVCleanedDataset[[#This Row],[Score]]&gt;50,"Yes","No")</f>
        <v>No</v>
      </c>
    </row>
    <row r="748" spans="1:12" x14ac:dyDescent="0.3">
      <c r="A748" t="s">
        <v>575</v>
      </c>
      <c r="B748" t="s">
        <v>115</v>
      </c>
      <c r="C748" t="s">
        <v>1163</v>
      </c>
      <c r="D748">
        <v>17.4306503</v>
      </c>
      <c r="E748">
        <v>78.402003500000006</v>
      </c>
      <c r="F748">
        <f>IF(COUNTIF($C$5:C748,C748)=1,1,0)</f>
        <v>0</v>
      </c>
      <c r="G748" s="2" t="str">
        <f t="shared" si="22"/>
        <v/>
      </c>
      <c r="H748" s="2">
        <f>MAX(0, MyBattery - (EVCleanedDataset[[#This Row],[Distance(km)]]/VehicleRangeKm)*100)</f>
        <v>0</v>
      </c>
      <c r="I748" s="2">
        <f>6371*ACOS(SIN(RADIANS(MyLat))*SIN(RADIANS(EVCleanedDataset[[#This Row],[Latitude]]))+COS(RADIANS(MyLat))*COS(RADIANS(EVCleanedDataset[[#This Row],[Latitude]]))*COS(RADIANS(EVCleanedDataset[[#This Row],[Longitude]]-MyLong)))</f>
        <v>463.20741803932555</v>
      </c>
      <c r="J748">
        <f t="shared" si="23"/>
        <v>6</v>
      </c>
      <c r="K748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41.894305247304636</v>
      </c>
      <c r="L748" t="str">
        <f>IF(EVCleanedDataset[[#This Row],[Score]]&gt;50,"Yes","No")</f>
        <v>No</v>
      </c>
    </row>
    <row r="749" spans="1:12" x14ac:dyDescent="0.3">
      <c r="A749" t="s">
        <v>1958</v>
      </c>
      <c r="B749" t="s">
        <v>115</v>
      </c>
      <c r="C749" t="s">
        <v>1163</v>
      </c>
      <c r="D749">
        <v>17.437256999999999</v>
      </c>
      <c r="E749">
        <v>78.452294300000005</v>
      </c>
      <c r="F749">
        <f>IF(COUNTIF($C$5:C749,C749)=1,1,0)</f>
        <v>0</v>
      </c>
      <c r="G749" s="2" t="str">
        <f t="shared" si="22"/>
        <v/>
      </c>
      <c r="H749" s="2">
        <f>MAX(0, MyBattery - (EVCleanedDataset[[#This Row],[Distance(km)]]/VehicleRangeKm)*100)</f>
        <v>0</v>
      </c>
      <c r="I749" s="2">
        <f>6371*ACOS(SIN(RADIANS(MyLat))*SIN(RADIANS(EVCleanedDataset[[#This Row],[Latitude]]))+COS(RADIANS(MyLat))*COS(RADIANS(EVCleanedDataset[[#This Row],[Latitude]]))*COS(RADIANS(EVCleanedDataset[[#This Row],[Longitude]]-MyLong)))</f>
        <v>465.03340423409213</v>
      </c>
      <c r="J749">
        <f t="shared" si="23"/>
        <v>3</v>
      </c>
      <c r="K74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51.862332717411533</v>
      </c>
      <c r="L749" t="str">
        <f>IF(EVCleanedDataset[[#This Row],[Score]]&gt;50,"Yes","No")</f>
        <v>Yes</v>
      </c>
    </row>
    <row r="750" spans="1:12" x14ac:dyDescent="0.3">
      <c r="A750" t="s">
        <v>354</v>
      </c>
      <c r="B750" t="s">
        <v>115</v>
      </c>
      <c r="C750" t="s">
        <v>1163</v>
      </c>
      <c r="D750">
        <v>17.485859000000001</v>
      </c>
      <c r="E750">
        <v>78.390420000000006</v>
      </c>
      <c r="F750">
        <f>IF(COUNTIF($C$5:C750,C750)=1,1,0)</f>
        <v>0</v>
      </c>
      <c r="G750" s="2" t="str">
        <f t="shared" si="22"/>
        <v/>
      </c>
      <c r="H750" s="2">
        <f>MAX(0, MyBattery - (EVCleanedDataset[[#This Row],[Distance(km)]]/VehicleRangeKm)*100)</f>
        <v>0</v>
      </c>
      <c r="I750" s="2">
        <f>6371*ACOS(SIN(RADIANS(MyLat))*SIN(RADIANS(EVCleanedDataset[[#This Row],[Latitude]]))+COS(RADIANS(MyLat))*COS(RADIANS(EVCleanedDataset[[#This Row],[Latitude]]))*COS(RADIANS(EVCleanedDataset[[#This Row],[Longitude]]-MyLong)))</f>
        <v>468.97780614538306</v>
      </c>
      <c r="J750">
        <f t="shared" si="23"/>
        <v>0</v>
      </c>
      <c r="K750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61.793255693424264</v>
      </c>
      <c r="L750" t="str">
        <f>IF(EVCleanedDataset[[#This Row],[Score]]&gt;50,"Yes","No")</f>
        <v>Yes</v>
      </c>
    </row>
    <row r="751" spans="1:12" x14ac:dyDescent="0.3">
      <c r="A751" t="s">
        <v>446</v>
      </c>
      <c r="B751" t="s">
        <v>41</v>
      </c>
      <c r="C751" t="s">
        <v>42</v>
      </c>
      <c r="D751">
        <v>18.560481875967799</v>
      </c>
      <c r="E751">
        <v>73.805040988109297</v>
      </c>
      <c r="F751">
        <f>IF(COUNTIF($C$5:C751,C751)=1,1,0)</f>
        <v>0</v>
      </c>
      <c r="G751" s="2" t="str">
        <f t="shared" si="22"/>
        <v/>
      </c>
      <c r="H751" s="2">
        <f>MAX(0, MyBattery - (EVCleanedDataset[[#This Row],[Distance(km)]]/VehicleRangeKm)*100)</f>
        <v>0</v>
      </c>
      <c r="I751" s="2">
        <f>6371*ACOS(SIN(RADIANS(MyLat))*SIN(RADIANS(EVCleanedDataset[[#This Row],[Latitude]]))+COS(RADIANS(MyLat))*COS(RADIANS(EVCleanedDataset[[#This Row],[Latitude]]))*COS(RADIANS(EVCleanedDataset[[#This Row],[Longitude]]-MyLong)))</f>
        <v>703.48340802341977</v>
      </c>
      <c r="J751">
        <f t="shared" si="23"/>
        <v>7</v>
      </c>
      <c r="K751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34.352517723736817</v>
      </c>
      <c r="L751" t="str">
        <f>IF(EVCleanedDataset[[#This Row],[Score]]&gt;50,"Yes","No")</f>
        <v>No</v>
      </c>
    </row>
    <row r="752" spans="1:12" x14ac:dyDescent="0.3">
      <c r="A752" t="s">
        <v>3030</v>
      </c>
      <c r="B752" t="s">
        <v>41</v>
      </c>
      <c r="C752" t="s">
        <v>1448</v>
      </c>
      <c r="D752">
        <v>18.415983099999998</v>
      </c>
      <c r="E752">
        <v>76.535629900000004</v>
      </c>
      <c r="F752">
        <f>IF(COUNTIF($C$5:C752,C752)=1,1,0)</f>
        <v>1</v>
      </c>
      <c r="G752" s="2">
        <f t="shared" si="22"/>
        <v>573.50018768765631</v>
      </c>
      <c r="H752" s="2">
        <f>MAX(0, MyBattery - (EVCleanedDataset[[#This Row],[Distance(km)]]/VehicleRangeKm)*100)</f>
        <v>0</v>
      </c>
      <c r="I752" s="2">
        <f>6371*ACOS(SIN(RADIANS(MyLat))*SIN(RADIANS(EVCleanedDataset[[#This Row],[Latitude]]))+COS(RADIANS(MyLat))*COS(RADIANS(EVCleanedDataset[[#This Row],[Latitude]]))*COS(RADIANS(EVCleanedDataset[[#This Row],[Longitude]]-MyLong)))</f>
        <v>573.50018768765631</v>
      </c>
      <c r="J752">
        <f t="shared" si="23"/>
        <v>4</v>
      </c>
      <c r="K752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46.629210998728368</v>
      </c>
      <c r="L752" t="str">
        <f>IF(EVCleanedDataset[[#This Row],[Score]]&gt;50,"Yes","No")</f>
        <v>No</v>
      </c>
    </row>
    <row r="753" spans="1:12" x14ac:dyDescent="0.3">
      <c r="A753" t="s">
        <v>2864</v>
      </c>
      <c r="B753" t="s">
        <v>115</v>
      </c>
      <c r="C753" t="s">
        <v>1163</v>
      </c>
      <c r="D753">
        <v>17.441011</v>
      </c>
      <c r="E753">
        <v>78.503157999999999</v>
      </c>
      <c r="F753">
        <f>IF(COUNTIF($C$5:C753,C753)=1,1,0)</f>
        <v>0</v>
      </c>
      <c r="G753" s="2" t="str">
        <f t="shared" si="22"/>
        <v/>
      </c>
      <c r="H753" s="2">
        <f>MAX(0, MyBattery - (EVCleanedDataset[[#This Row],[Distance(km)]]/VehicleRangeKm)*100)</f>
        <v>0</v>
      </c>
      <c r="I753" s="2">
        <f>6371*ACOS(SIN(RADIANS(MyLat))*SIN(RADIANS(EVCleanedDataset[[#This Row],[Latitude]]))+COS(RADIANS(MyLat))*COS(RADIANS(EVCleanedDataset[[#This Row],[Latitude]]))*COS(RADIANS(EVCleanedDataset[[#This Row],[Longitude]]-MyLong)))</f>
        <v>466.62001649172896</v>
      </c>
      <c r="J753">
        <f t="shared" si="23"/>
        <v>1</v>
      </c>
      <c r="K753" s="5">
        <f>((1-(EVCleanedDataset[[#This Row],[Distance(km)]]/MAX($I$5:$I$1121)))*0.4 + (1-(EVCleanedDataset[[#This Row],[QueueLength]]/MAX($J$5:$J$1121)))*0.3 + (EVCleanedDataset[[#This Row],[EstimatedBatteryOnArrival]]/100)*0.3 + (ROW()/10000000))*100</f>
        <v>58.501249538731024</v>
      </c>
      <c r="L753" t="str">
        <f>IF(EVCleanedDataset[[#This Row],[Score]]&gt;50,"Yes","No")</f>
        <v>Yes</v>
      </c>
    </row>
    <row r="754" spans="1:12" x14ac:dyDescent="0.3">
      <c r="A754" t="s">
        <v>2390</v>
      </c>
      <c r="B754" t="s">
        <v>41</v>
      </c>
      <c r="C754" t="s">
        <v>42</v>
      </c>
      <c r="D754">
        <v>18.615469999999998</v>
      </c>
      <c r="E754">
        <v>73.846180000000004</v>
      </c>
      <c r="F754">
        <f>IF(COUNTIF($C$5:C754,C754)=1,1,0)</f>
        <v>0</v>
      </c>
      <c r="G754" s="2" t="str">
        <f t="shared" si="22"/>
        <v/>
      </c>
      <c r="H754" s="2">
        <f>MAX(0, MyBattery - (EVCleanedDataset[[#This Row],[Distance(km)]]/VehicleRangeKm)*100)</f>
        <v>0</v>
      </c>
      <c r="I754" s="2">
        <f>6371*ACOS(SIN(RADIANS(MyLat))*SIN(RADIANS(EVCleanedDataset[[#This Row],[Latitude]]))+COS(RADIANS(MyLat))*COS(RADIANS(EVCleanedDataset[[#This Row],[Latitude]]))*COS(RADIANS(EVCleanedDataset[[#This Row],[Longitude]]-MyLong)))</f>
        <v>706.03064658249741</v>
      </c>
      <c r="J754">
        <f t="shared" si="23"/>
        <v>8</v>
      </c>
      <c r="K754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30.974598974583774</v>
      </c>
      <c r="L754" t="str">
        <f>IF(EVCleanedDataset[[#This Row],[Score]]&gt;50,"Yes","No")</f>
        <v>No</v>
      </c>
    </row>
    <row r="755" spans="1:12" x14ac:dyDescent="0.3">
      <c r="A755" t="s">
        <v>1973</v>
      </c>
      <c r="B755" t="s">
        <v>49</v>
      </c>
      <c r="C755" t="s">
        <v>1974</v>
      </c>
      <c r="D755">
        <v>12.9023796</v>
      </c>
      <c r="E755">
        <v>78.93386744</v>
      </c>
      <c r="F755">
        <f>IF(COUNTIF($C$5:C755,C755)=1,1,0)</f>
        <v>0</v>
      </c>
      <c r="G755" s="2" t="str">
        <f t="shared" si="22"/>
        <v/>
      </c>
      <c r="H755" s="2">
        <f>MAX(0, MyBattery - (EVCleanedDataset[[#This Row],[Distance(km)]]/VehicleRangeKm)*100)</f>
        <v>16.9462097416258</v>
      </c>
      <c r="I755" s="2">
        <f>6371*ACOS(SIN(RADIANS(MyLat))*SIN(RADIANS(EVCleanedDataset[[#This Row],[Latitude]]))+COS(RADIANS(MyLat))*COS(RADIANS(EVCleanedDataset[[#This Row],[Latitude]]))*COS(RADIANS(EVCleanedDataset[[#This Row],[Longitude]]-MyLong)))</f>
        <v>159.16137077512261</v>
      </c>
      <c r="J755">
        <f t="shared" si="23"/>
        <v>5</v>
      </c>
      <c r="K755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55.637001576681499</v>
      </c>
      <c r="L755" t="str">
        <f>IF(EVCleanedDataset[[#This Row],[Score]]&gt;50,"Yes","No")</f>
        <v>Yes</v>
      </c>
    </row>
    <row r="756" spans="1:12" x14ac:dyDescent="0.3">
      <c r="A756" t="s">
        <v>1490</v>
      </c>
      <c r="B756" t="s">
        <v>64</v>
      </c>
      <c r="C756" t="s">
        <v>159</v>
      </c>
      <c r="D756">
        <v>29.927688499999999</v>
      </c>
      <c r="E756">
        <v>78.064867899999996</v>
      </c>
      <c r="F756">
        <f>IF(COUNTIF($C$5:C756,C756)=1,1,0)</f>
        <v>0</v>
      </c>
      <c r="G756" s="2" t="str">
        <f t="shared" si="22"/>
        <v/>
      </c>
      <c r="H756" s="2">
        <f>MAX(0, MyBattery - (EVCleanedDataset[[#This Row],[Distance(km)]]/VehicleRangeKm)*100)</f>
        <v>0</v>
      </c>
      <c r="I756" s="2">
        <f>6371*ACOS(SIN(RADIANS(MyLat))*SIN(RADIANS(EVCleanedDataset[[#This Row],[Latitude]]))+COS(RADIANS(MyLat))*COS(RADIANS(EVCleanedDataset[[#This Row],[Latitude]]))*COS(RADIANS(EVCleanedDataset[[#This Row],[Longitude]]-MyLong)))</f>
        <v>1844.2502807927272</v>
      </c>
      <c r="J756">
        <f t="shared" si="23"/>
        <v>2</v>
      </c>
      <c r="K756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31.038464155680185</v>
      </c>
      <c r="L756" t="str">
        <f>IF(EVCleanedDataset[[#This Row],[Score]]&gt;50,"Yes","No")</f>
        <v>No</v>
      </c>
    </row>
    <row r="757" spans="1:12" x14ac:dyDescent="0.3">
      <c r="A757" t="s">
        <v>2975</v>
      </c>
      <c r="B757" t="s">
        <v>463</v>
      </c>
      <c r="C757" t="s">
        <v>1150</v>
      </c>
      <c r="D757">
        <v>26.323416000000002</v>
      </c>
      <c r="E757">
        <v>89.484913000000006</v>
      </c>
      <c r="F757">
        <f>IF(COUNTIF($C$5:C757,C757)=1,1,0)</f>
        <v>1</v>
      </c>
      <c r="G757" s="2">
        <f t="shared" si="22"/>
        <v>1906.0488912263993</v>
      </c>
      <c r="H757" s="2">
        <f>MAX(0, MyBattery - (EVCleanedDataset[[#This Row],[Distance(km)]]/VehicleRangeKm)*100)</f>
        <v>0</v>
      </c>
      <c r="I757" s="2">
        <f>6371*ACOS(SIN(RADIANS(MyLat))*SIN(RADIANS(EVCleanedDataset[[#This Row],[Latitude]]))+COS(RADIANS(MyLat))*COS(RADIANS(EVCleanedDataset[[#This Row],[Latitude]]))*COS(RADIANS(EVCleanedDataset[[#This Row],[Longitude]]-MyLong)))</f>
        <v>1906.0488912263993</v>
      </c>
      <c r="J757">
        <f t="shared" si="23"/>
        <v>9</v>
      </c>
      <c r="K757" s="5">
        <f>((1-(EVCleanedDataset[[#This Row],[Distance(km)]]/MAX($I$5:$I$1121)))*0.4 + (1-(EVCleanedDataset[[#This Row],[QueueLength]]/MAX($J$5:$J$1121)))*0.3 + (EVCleanedDataset[[#This Row],[EstimatedBatteryOnArrival]]/100)*0.3 + (ROW()/10000000))*100</f>
        <v>6.6227252426387588</v>
      </c>
      <c r="L757" t="str">
        <f>IF(EVCleanedDataset[[#This Row],[Score]]&gt;50,"Yes","No")</f>
        <v>No</v>
      </c>
    </row>
    <row r="758" spans="1:12" x14ac:dyDescent="0.3">
      <c r="A758" t="s">
        <v>2637</v>
      </c>
      <c r="B758" t="s">
        <v>49</v>
      </c>
      <c r="C758" t="s">
        <v>2638</v>
      </c>
      <c r="D758">
        <v>12.9071309</v>
      </c>
      <c r="E758">
        <v>78.962018299999997</v>
      </c>
      <c r="F758">
        <f>IF(COUNTIF($C$5:C758,C758)=1,1,0)</f>
        <v>1</v>
      </c>
      <c r="G758" s="2">
        <f t="shared" si="22"/>
        <v>161.89774581671733</v>
      </c>
      <c r="H758" s="2">
        <f>MAX(0, MyBattery - (EVCleanedDataset[[#This Row],[Distance(km)]]/VehicleRangeKm)*100)</f>
        <v>16.034084727760892</v>
      </c>
      <c r="I758" s="2">
        <f>6371*ACOS(SIN(RADIANS(MyLat))*SIN(RADIANS(EVCleanedDataset[[#This Row],[Latitude]]))+COS(RADIANS(MyLat))*COS(RADIANS(EVCleanedDataset[[#This Row],[Latitude]]))*COS(RADIANS(EVCleanedDataset[[#This Row],[Longitude]]-MyLong)))</f>
        <v>161.89774581671733</v>
      </c>
      <c r="J758">
        <f t="shared" si="23"/>
        <v>6</v>
      </c>
      <c r="K758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51.982132558341874</v>
      </c>
      <c r="L758" t="str">
        <f>IF(EVCleanedDataset[[#This Row],[Score]]&gt;50,"Yes","No")</f>
        <v>Yes</v>
      </c>
    </row>
    <row r="759" spans="1:12" x14ac:dyDescent="0.3">
      <c r="A759" t="s">
        <v>947</v>
      </c>
      <c r="B759" t="s">
        <v>41</v>
      </c>
      <c r="C759" t="s">
        <v>119</v>
      </c>
      <c r="D759">
        <v>18.6509966955593</v>
      </c>
      <c r="E759">
        <v>72.874070920326702</v>
      </c>
      <c r="F759">
        <f>IF(COUNTIF($C$5:C759,C759)=1,1,0)</f>
        <v>0</v>
      </c>
      <c r="G759" s="2" t="str">
        <f t="shared" si="22"/>
        <v/>
      </c>
      <c r="H759" s="2">
        <f>MAX(0, MyBattery - (EVCleanedDataset[[#This Row],[Distance(km)]]/VehicleRangeKm)*100)</f>
        <v>0</v>
      </c>
      <c r="I759" s="2">
        <f>6371*ACOS(SIN(RADIANS(MyLat))*SIN(RADIANS(EVCleanedDataset[[#This Row],[Latitude]]))+COS(RADIANS(MyLat))*COS(RADIANS(EVCleanedDataset[[#This Row],[Latitude]]))*COS(RADIANS(EVCleanedDataset[[#This Row],[Longitude]]-MyLong)))</f>
        <v>771.87644989884757</v>
      </c>
      <c r="J759">
        <f t="shared" si="23"/>
        <v>3</v>
      </c>
      <c r="K759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46.488012632204494</v>
      </c>
      <c r="L759" t="str">
        <f>IF(EVCleanedDataset[[#This Row],[Score]]&gt;50,"Yes","No")</f>
        <v>No</v>
      </c>
    </row>
    <row r="760" spans="1:12" x14ac:dyDescent="0.3">
      <c r="A760" t="s">
        <v>3080</v>
      </c>
      <c r="B760" t="s">
        <v>8</v>
      </c>
      <c r="C760" t="s">
        <v>9</v>
      </c>
      <c r="D760">
        <v>28.420616150000001</v>
      </c>
      <c r="E760">
        <v>77.105372610000003</v>
      </c>
      <c r="F760">
        <f>IF(COUNTIF($C$5:C760,C760)=1,1,0)</f>
        <v>0</v>
      </c>
      <c r="G760" s="2" t="str">
        <f t="shared" si="22"/>
        <v/>
      </c>
      <c r="H760" s="2">
        <f>MAX(0, MyBattery - (EVCleanedDataset[[#This Row],[Distance(km)]]/VehicleRangeKm)*100)</f>
        <v>0</v>
      </c>
      <c r="I760" s="2">
        <f>6371*ACOS(SIN(RADIANS(MyLat))*SIN(RADIANS(EVCleanedDataset[[#This Row],[Latitude]]))+COS(RADIANS(MyLat))*COS(RADIANS(EVCleanedDataset[[#This Row],[Latitude]]))*COS(RADIANS(EVCleanedDataset[[#This Row],[Longitude]]-MyLong)))</f>
        <v>1676.4703448687414</v>
      </c>
      <c r="J760">
        <f t="shared" si="23"/>
        <v>0</v>
      </c>
      <c r="K76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40.643871471635165</v>
      </c>
      <c r="L760" t="str">
        <f>IF(EVCleanedDataset[[#This Row],[Score]]&gt;50,"Yes","No")</f>
        <v>No</v>
      </c>
    </row>
    <row r="761" spans="1:12" x14ac:dyDescent="0.3">
      <c r="A761" t="s">
        <v>542</v>
      </c>
      <c r="B761" t="s">
        <v>49</v>
      </c>
      <c r="C761" t="s">
        <v>2748</v>
      </c>
      <c r="D761">
        <v>10.833099300000001</v>
      </c>
      <c r="E761">
        <v>78.684533700000003</v>
      </c>
      <c r="F761">
        <f>IF(COUNTIF($C$5:C761,C761)=1,1,0)</f>
        <v>0</v>
      </c>
      <c r="G761" s="2" t="str">
        <f t="shared" si="22"/>
        <v/>
      </c>
      <c r="H761" s="2">
        <f>MAX(0, MyBattery - (EVCleanedDataset[[#This Row],[Distance(km)]]/VehicleRangeKm)*100)</f>
        <v>0</v>
      </c>
      <c r="I761" s="2">
        <f>6371*ACOS(SIN(RADIANS(MyLat))*SIN(RADIANS(EVCleanedDataset[[#This Row],[Latitude]]))+COS(RADIANS(MyLat))*COS(RADIANS(EVCleanedDataset[[#This Row],[Latitude]]))*COS(RADIANS(EVCleanedDataset[[#This Row],[Longitude]]-MyLong)))</f>
        <v>306.30235312199198</v>
      </c>
      <c r="J761">
        <f t="shared" si="23"/>
        <v>7</v>
      </c>
      <c r="K761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41.30932692436884</v>
      </c>
      <c r="L761" t="str">
        <f>IF(EVCleanedDataset[[#This Row],[Score]]&gt;50,"Yes","No")</f>
        <v>No</v>
      </c>
    </row>
    <row r="762" spans="1:12" x14ac:dyDescent="0.3">
      <c r="A762" t="s">
        <v>2963</v>
      </c>
      <c r="B762" t="s">
        <v>8</v>
      </c>
      <c r="C762" t="s">
        <v>9</v>
      </c>
      <c r="D762">
        <v>28.444672000000001</v>
      </c>
      <c r="E762">
        <v>77.080820000000003</v>
      </c>
      <c r="F762">
        <f>IF(COUNTIF($C$5:C762,C762)=1,1,0)</f>
        <v>0</v>
      </c>
      <c r="G762" s="2" t="str">
        <f t="shared" si="22"/>
        <v/>
      </c>
      <c r="H762" s="2">
        <f>MAX(0, MyBattery - (EVCleanedDataset[[#This Row],[Distance(km)]]/VehicleRangeKm)*100)</f>
        <v>0</v>
      </c>
      <c r="I762" s="2">
        <f>6371*ACOS(SIN(RADIANS(MyLat))*SIN(RADIANS(EVCleanedDataset[[#This Row],[Latitude]]))+COS(RADIANS(MyLat))*COS(RADIANS(EVCleanedDataset[[#This Row],[Latitude]]))*COS(RADIANS(EVCleanedDataset[[#This Row],[Longitude]]-MyLong)))</f>
        <v>1679.2137083270027</v>
      </c>
      <c r="J762">
        <f t="shared" si="23"/>
        <v>4</v>
      </c>
      <c r="K76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27.26250755387629</v>
      </c>
      <c r="L762" t="str">
        <f>IF(EVCleanedDataset[[#This Row],[Score]]&gt;50,"Yes","No")</f>
        <v>No</v>
      </c>
    </row>
    <row r="763" spans="1:12" x14ac:dyDescent="0.3">
      <c r="A763" t="s">
        <v>3343</v>
      </c>
      <c r="B763" t="s">
        <v>49</v>
      </c>
      <c r="C763" t="s">
        <v>2748</v>
      </c>
      <c r="D763">
        <v>10.824077600000001</v>
      </c>
      <c r="E763">
        <v>78.684925000000007</v>
      </c>
      <c r="F763">
        <f>IF(COUNTIF($C$5:C763,C763)=1,1,0)</f>
        <v>0</v>
      </c>
      <c r="G763" s="2" t="str">
        <f t="shared" si="22"/>
        <v/>
      </c>
      <c r="H763" s="2">
        <f>MAX(0, MyBattery - (EVCleanedDataset[[#This Row],[Distance(km)]]/VehicleRangeKm)*100)</f>
        <v>0</v>
      </c>
      <c r="I763" s="2">
        <f>6371*ACOS(SIN(RADIANS(MyLat))*SIN(RADIANS(EVCleanedDataset[[#This Row],[Latitude]]))+COS(RADIANS(MyLat))*COS(RADIANS(EVCleanedDataset[[#This Row],[Latitude]]))*COS(RADIANS(EVCleanedDataset[[#This Row],[Longitude]]-MyLong)))</f>
        <v>307.23698279838521</v>
      </c>
      <c r="J763">
        <f t="shared" si="23"/>
        <v>1</v>
      </c>
      <c r="K763" s="5">
        <f>((1-(EVCleanedDataset[[#This Row],[Distance(km)]]/MAX($I$5:$I$1121)))*0.4 + (1-(EVCleanedDataset[[#This Row],[QueueLength]]/MAX($J$5:$J$1121)))*0.3 + (EVCleanedDataset[[#This Row],[EstimatedBatteryOnArrival]]/100)*0.3 + (ROW()/10000000))*100</f>
        <v>61.292976690218161</v>
      </c>
      <c r="L763" t="str">
        <f>IF(EVCleanedDataset[[#This Row],[Score]]&gt;50,"Yes","No")</f>
        <v>Yes</v>
      </c>
    </row>
    <row r="764" spans="1:12" x14ac:dyDescent="0.3">
      <c r="A764" t="s">
        <v>2386</v>
      </c>
      <c r="B764" t="s">
        <v>115</v>
      </c>
      <c r="C764" t="s">
        <v>2384</v>
      </c>
      <c r="D764">
        <v>17.152534800000002</v>
      </c>
      <c r="E764">
        <v>79.569918799999996</v>
      </c>
      <c r="F764">
        <f>IF(COUNTIF($C$5:C764,C764)=1,1,0)</f>
        <v>0</v>
      </c>
      <c r="G764" s="2" t="str">
        <f t="shared" si="22"/>
        <v/>
      </c>
      <c r="H764" s="2">
        <f>MAX(0, MyBattery - (EVCleanedDataset[[#This Row],[Distance(km)]]/VehicleRangeKm)*100)</f>
        <v>0</v>
      </c>
      <c r="I764" s="2">
        <f>6371*ACOS(SIN(RADIANS(MyLat))*SIN(RADIANS(EVCleanedDataset[[#This Row],[Latitude]]))+COS(RADIANS(MyLat))*COS(RADIANS(EVCleanedDataset[[#This Row],[Latitude]]))*COS(RADIANS(EVCleanedDataset[[#This Row],[Longitude]]-MyLong)))</f>
        <v>475.79349062037517</v>
      </c>
      <c r="J764">
        <f t="shared" si="23"/>
        <v>8</v>
      </c>
      <c r="K764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35.007350888473646</v>
      </c>
      <c r="L764" t="str">
        <f>IF(EVCleanedDataset[[#This Row],[Score]]&gt;50,"Yes","No")</f>
        <v>No</v>
      </c>
    </row>
    <row r="765" spans="1:12" x14ac:dyDescent="0.3">
      <c r="A765" t="s">
        <v>781</v>
      </c>
      <c r="B765" t="s">
        <v>18</v>
      </c>
      <c r="C765" t="s">
        <v>259</v>
      </c>
      <c r="D765">
        <v>28.4646154</v>
      </c>
      <c r="E765">
        <v>77.508034300000006</v>
      </c>
      <c r="F765">
        <f>IF(COUNTIF($C$5:C765,C765)=1,1,0)</f>
        <v>0</v>
      </c>
      <c r="G765" s="2" t="str">
        <f t="shared" si="22"/>
        <v/>
      </c>
      <c r="H765" s="2">
        <f>MAX(0, MyBattery - (EVCleanedDataset[[#This Row],[Distance(km)]]/VehicleRangeKm)*100)</f>
        <v>0</v>
      </c>
      <c r="I765" s="2">
        <f>6371*ACOS(SIN(RADIANS(MyLat))*SIN(RADIANS(EVCleanedDataset[[#This Row],[Latitude]]))+COS(RADIANS(MyLat))*COS(RADIANS(EVCleanedDataset[[#This Row],[Latitude]]))*COS(RADIANS(EVCleanedDataset[[#This Row],[Longitude]]-MyLong)))</f>
        <v>1680.7693778859602</v>
      </c>
      <c r="J765">
        <f t="shared" si="23"/>
        <v>5</v>
      </c>
      <c r="K76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23.901956343031205</v>
      </c>
      <c r="L765" t="str">
        <f>IF(EVCleanedDataset[[#This Row],[Score]]&gt;50,"Yes","No")</f>
        <v>No</v>
      </c>
    </row>
    <row r="766" spans="1:12" x14ac:dyDescent="0.3">
      <c r="A766" t="s">
        <v>3048</v>
      </c>
      <c r="B766" t="s">
        <v>45</v>
      </c>
      <c r="C766" t="s">
        <v>46</v>
      </c>
      <c r="D766">
        <v>28.52360775</v>
      </c>
      <c r="E766">
        <v>77.083215469999999</v>
      </c>
      <c r="F766">
        <f>IF(COUNTIF($C$5:C766,C766)=1,1,0)</f>
        <v>0</v>
      </c>
      <c r="G766" s="2" t="str">
        <f t="shared" si="22"/>
        <v/>
      </c>
      <c r="H766" s="2">
        <f>MAX(0, MyBattery - (EVCleanedDataset[[#This Row],[Distance(km)]]/VehicleRangeKm)*100)</f>
        <v>0</v>
      </c>
      <c r="I766" s="2">
        <f>6371*ACOS(SIN(RADIANS(MyLat))*SIN(RADIANS(EVCleanedDataset[[#This Row],[Latitude]]))+COS(RADIANS(MyLat))*COS(RADIANS(EVCleanedDataset[[#This Row],[Latitude]]))*COS(RADIANS(EVCleanedDataset[[#This Row],[Longitude]]-MyLong)))</f>
        <v>1687.9801804359972</v>
      </c>
      <c r="J766">
        <f t="shared" si="23"/>
        <v>2</v>
      </c>
      <c r="K76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33.77566762907005</v>
      </c>
      <c r="L766" t="str">
        <f>IF(EVCleanedDataset[[#This Row],[Score]]&gt;50,"Yes","No")</f>
        <v>No</v>
      </c>
    </row>
    <row r="767" spans="1:12" x14ac:dyDescent="0.3">
      <c r="A767" t="s">
        <v>3150</v>
      </c>
      <c r="B767" t="s">
        <v>18</v>
      </c>
      <c r="C767" t="s">
        <v>259</v>
      </c>
      <c r="D767">
        <v>28.49920006</v>
      </c>
      <c r="E767">
        <v>77.412808830000003</v>
      </c>
      <c r="F767">
        <f>IF(COUNTIF($C$5:C767,C767)=1,1,0)</f>
        <v>0</v>
      </c>
      <c r="G767" s="2" t="str">
        <f t="shared" si="22"/>
        <v/>
      </c>
      <c r="H767" s="2">
        <f>MAX(0, MyBattery - (EVCleanedDataset[[#This Row],[Distance(km)]]/VehicleRangeKm)*100)</f>
        <v>0</v>
      </c>
      <c r="I767" s="2">
        <f>6371*ACOS(SIN(RADIANS(MyLat))*SIN(RADIANS(EVCleanedDataset[[#This Row],[Latitude]]))+COS(RADIANS(MyLat))*COS(RADIANS(EVCleanedDataset[[#This Row],[Latitude]]))*COS(RADIANS(EVCleanedDataset[[#This Row],[Longitude]]-MyLong)))</f>
        <v>1684.661619105075</v>
      </c>
      <c r="J767">
        <f t="shared" si="23"/>
        <v>9</v>
      </c>
      <c r="K76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10.500469591137373</v>
      </c>
      <c r="L767" t="str">
        <f>IF(EVCleanedDataset[[#This Row],[Score]]&gt;50,"Yes","No")</f>
        <v>No</v>
      </c>
    </row>
    <row r="768" spans="1:12" x14ac:dyDescent="0.3">
      <c r="A768" t="s">
        <v>3235</v>
      </c>
      <c r="B768" t="s">
        <v>45</v>
      </c>
      <c r="C768" t="s">
        <v>45</v>
      </c>
      <c r="D768">
        <v>28.5279341</v>
      </c>
      <c r="E768">
        <v>77.215634699999995</v>
      </c>
      <c r="F768">
        <f>IF(COUNTIF($C$5:C768,C768)=1,1,0)</f>
        <v>0</v>
      </c>
      <c r="G768" s="2" t="str">
        <f t="shared" si="22"/>
        <v/>
      </c>
      <c r="H768" s="2">
        <f>MAX(0, MyBattery - (EVCleanedDataset[[#This Row],[Distance(km)]]/VehicleRangeKm)*100)</f>
        <v>0</v>
      </c>
      <c r="I768" s="2">
        <f>6371*ACOS(SIN(RADIANS(MyLat))*SIN(RADIANS(EVCleanedDataset[[#This Row],[Latitude]]))+COS(RADIANS(MyLat))*COS(RADIANS(EVCleanedDataset[[#This Row],[Latitude]]))*COS(RADIANS(EVCleanedDataset[[#This Row],[Longitude]]-MyLong)))</f>
        <v>1688.1355209975138</v>
      </c>
      <c r="J768">
        <f t="shared" si="23"/>
        <v>6</v>
      </c>
      <c r="K76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20.439633473330421</v>
      </c>
      <c r="L768" t="str">
        <f>IF(EVCleanedDataset[[#This Row],[Score]]&gt;50,"Yes","No")</f>
        <v>No</v>
      </c>
    </row>
    <row r="769" spans="1:12" x14ac:dyDescent="0.3">
      <c r="A769" t="s">
        <v>794</v>
      </c>
      <c r="B769" t="s">
        <v>18</v>
      </c>
      <c r="C769" t="s">
        <v>259</v>
      </c>
      <c r="D769">
        <v>28.512393599999999</v>
      </c>
      <c r="E769">
        <v>77.374311300000002</v>
      </c>
      <c r="F769">
        <f>IF(COUNTIF($C$5:C769,C769)=1,1,0)</f>
        <v>0</v>
      </c>
      <c r="G769" s="2" t="str">
        <f t="shared" si="22"/>
        <v/>
      </c>
      <c r="H769" s="2">
        <f>MAX(0, MyBattery - (EVCleanedDataset[[#This Row],[Distance(km)]]/VehicleRangeKm)*100)</f>
        <v>0</v>
      </c>
      <c r="I769" s="2">
        <f>6371*ACOS(SIN(RADIANS(MyLat))*SIN(RADIANS(EVCleanedDataset[[#This Row],[Latitude]]))+COS(RADIANS(MyLat))*COS(RADIANS(EVCleanedDataset[[#This Row],[Latitude]]))*COS(RADIANS(EVCleanedDataset[[#This Row],[Longitude]]-MyLong)))</f>
        <v>1686.1637774842225</v>
      </c>
      <c r="J769">
        <f t="shared" si="23"/>
        <v>3</v>
      </c>
      <c r="K76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30.474178973125611</v>
      </c>
      <c r="L769" t="str">
        <f>IF(EVCleanedDataset[[#This Row],[Score]]&gt;50,"Yes","No")</f>
        <v>No</v>
      </c>
    </row>
    <row r="770" spans="1:12" x14ac:dyDescent="0.3">
      <c r="A770" t="s">
        <v>1464</v>
      </c>
      <c r="B770" t="s">
        <v>41</v>
      </c>
      <c r="C770" t="s">
        <v>119</v>
      </c>
      <c r="D770">
        <v>18.924121400000001</v>
      </c>
      <c r="E770">
        <v>72.832815499999995</v>
      </c>
      <c r="F770">
        <f>IF(COUNTIF($C$5:C770,C770)=1,1,0)</f>
        <v>0</v>
      </c>
      <c r="G770" s="2" t="str">
        <f t="shared" si="22"/>
        <v/>
      </c>
      <c r="H770" s="2">
        <f>MAX(0, MyBattery - (EVCleanedDataset[[#This Row],[Distance(km)]]/VehicleRangeKm)*100)</f>
        <v>0</v>
      </c>
      <c r="I770" s="2">
        <f>6371*ACOS(SIN(RADIANS(MyLat))*SIN(RADIANS(EVCleanedDataset[[#This Row],[Latitude]]))+COS(RADIANS(MyLat))*COS(RADIANS(EVCleanedDataset[[#This Row],[Latitude]]))*COS(RADIANS(EVCleanedDataset[[#This Row],[Longitude]]-MyLong)))</f>
        <v>797.84977085539913</v>
      </c>
      <c r="J770">
        <f t="shared" si="23"/>
        <v>0</v>
      </c>
      <c r="K770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56.033194486363669</v>
      </c>
      <c r="L770" t="str">
        <f>IF(EVCleanedDataset[[#This Row],[Score]]&gt;50,"Yes","No")</f>
        <v>Yes</v>
      </c>
    </row>
    <row r="771" spans="1:12" x14ac:dyDescent="0.3">
      <c r="A771" t="s">
        <v>3156</v>
      </c>
      <c r="B771" t="s">
        <v>18</v>
      </c>
      <c r="C771" t="s">
        <v>259</v>
      </c>
      <c r="D771">
        <v>28.587648290000001</v>
      </c>
      <c r="E771">
        <v>77.35208677</v>
      </c>
      <c r="F771">
        <f>IF(COUNTIF($C$5:C771,C771)=1,1,0)</f>
        <v>0</v>
      </c>
      <c r="G771" s="2" t="str">
        <f t="shared" si="22"/>
        <v/>
      </c>
      <c r="H771" s="2">
        <f>MAX(0, MyBattery - (EVCleanedDataset[[#This Row],[Distance(km)]]/VehicleRangeKm)*100)</f>
        <v>0</v>
      </c>
      <c r="I771" s="2">
        <f>6371*ACOS(SIN(RADIANS(MyLat))*SIN(RADIANS(EVCleanedDataset[[#This Row],[Latitude]]))+COS(RADIANS(MyLat))*COS(RADIANS(EVCleanedDataset[[#This Row],[Latitude]]))*COS(RADIANS(EVCleanedDataset[[#This Row],[Longitude]]-MyLong)))</f>
        <v>1694.5556866220113</v>
      </c>
      <c r="J771">
        <f t="shared" si="23"/>
        <v>7</v>
      </c>
      <c r="K77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16.993879597056143</v>
      </c>
      <c r="L771" t="str">
        <f>IF(EVCleanedDataset[[#This Row],[Score]]&gt;50,"Yes","No")</f>
        <v>No</v>
      </c>
    </row>
    <row r="772" spans="1:12" x14ac:dyDescent="0.3">
      <c r="A772" t="s">
        <v>3008</v>
      </c>
      <c r="B772" t="s">
        <v>45</v>
      </c>
      <c r="C772" t="s">
        <v>45</v>
      </c>
      <c r="D772">
        <v>28.619866680000001</v>
      </c>
      <c r="E772">
        <v>77.113982440000001</v>
      </c>
      <c r="F772">
        <f>IF(COUNTIF($C$5:C772,C772)=1,1,0)</f>
        <v>0</v>
      </c>
      <c r="G772" s="2" t="str">
        <f t="shared" si="22"/>
        <v/>
      </c>
      <c r="H772" s="2">
        <f>MAX(0, MyBattery - (EVCleanedDataset[[#This Row],[Distance(km)]]/VehicleRangeKm)*100)</f>
        <v>0</v>
      </c>
      <c r="I772" s="2">
        <f>6371*ACOS(SIN(RADIANS(MyLat))*SIN(RADIANS(EVCleanedDataset[[#This Row],[Latitude]]))+COS(RADIANS(MyLat))*COS(RADIANS(EVCleanedDataset[[#This Row],[Latitude]]))*COS(RADIANS(EVCleanedDataset[[#This Row],[Longitude]]-MyLong)))</f>
        <v>1698.5941122575223</v>
      </c>
      <c r="J772">
        <f t="shared" si="23"/>
        <v>4</v>
      </c>
      <c r="K77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26.92315572788506</v>
      </c>
      <c r="L772" t="str">
        <f>IF(EVCleanedDataset[[#This Row],[Score]]&gt;50,"Yes","No")</f>
        <v>No</v>
      </c>
    </row>
    <row r="773" spans="1:12" x14ac:dyDescent="0.3">
      <c r="A773" t="s">
        <v>3160</v>
      </c>
      <c r="B773" t="s">
        <v>18</v>
      </c>
      <c r="C773" t="s">
        <v>259</v>
      </c>
      <c r="D773">
        <v>28.596169199999999</v>
      </c>
      <c r="E773">
        <v>77.326629999999994</v>
      </c>
      <c r="F773">
        <f>IF(COUNTIF($C$5:C773,C773)=1,1,0)</f>
        <v>0</v>
      </c>
      <c r="G773" s="2" t="str">
        <f t="shared" ref="G773:G836" si="24">IF(F773=1, IF(C773=MyCity, "", _xlfn.MINIFS($I$5:$I$1121,$C$5:$C$1121,C773)), "")</f>
        <v/>
      </c>
      <c r="H773" s="2">
        <f>MAX(0, MyBattery - (EVCleanedDataset[[#This Row],[Distance(km)]]/VehicleRangeKm)*100)</f>
        <v>0</v>
      </c>
      <c r="I773" s="2">
        <f>6371*ACOS(SIN(RADIANS(MyLat))*SIN(RADIANS(EVCleanedDataset[[#This Row],[Latitude]]))+COS(RADIANS(MyLat))*COS(RADIANS(EVCleanedDataset[[#This Row],[Latitude]]))*COS(RADIANS(EVCleanedDataset[[#This Row],[Longitude]]-MyLong)))</f>
        <v>1695.5348992894808</v>
      </c>
      <c r="J773">
        <f t="shared" ref="J773:J836" si="25">MOD(ROW()*7,10)</f>
        <v>1</v>
      </c>
      <c r="K77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36.976748482497442</v>
      </c>
      <c r="L773" t="str">
        <f>IF(EVCleanedDataset[[#This Row],[Score]]&gt;50,"Yes","No")</f>
        <v>No</v>
      </c>
    </row>
    <row r="774" spans="1:12" x14ac:dyDescent="0.3">
      <c r="A774" t="s">
        <v>2749</v>
      </c>
      <c r="B774" t="s">
        <v>18</v>
      </c>
      <c r="C774" t="s">
        <v>259</v>
      </c>
      <c r="D774">
        <v>28.596757499999999</v>
      </c>
      <c r="E774">
        <v>77.328268899999998</v>
      </c>
      <c r="F774">
        <f>IF(COUNTIF($C$5:C774,C774)=1,1,0)</f>
        <v>0</v>
      </c>
      <c r="G774" s="2" t="str">
        <f t="shared" si="24"/>
        <v/>
      </c>
      <c r="H774" s="2">
        <f>MAX(0, MyBattery - (EVCleanedDataset[[#This Row],[Distance(km)]]/VehicleRangeKm)*100)</f>
        <v>0</v>
      </c>
      <c r="I774" s="2">
        <f>6371*ACOS(SIN(RADIANS(MyLat))*SIN(RADIANS(EVCleanedDataset[[#This Row],[Latitude]]))+COS(RADIANS(MyLat))*COS(RADIANS(EVCleanedDataset[[#This Row],[Latitude]]))*COS(RADIANS(EVCleanedDataset[[#This Row],[Longitude]]-MyLong)))</f>
        <v>1695.5981390876843</v>
      </c>
      <c r="J774">
        <f t="shared" si="25"/>
        <v>8</v>
      </c>
      <c r="K77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13.642317490879357</v>
      </c>
      <c r="L774" t="str">
        <f>IF(EVCleanedDataset[[#This Row],[Score]]&gt;50,"Yes","No")</f>
        <v>No</v>
      </c>
    </row>
    <row r="775" spans="1:12" x14ac:dyDescent="0.3">
      <c r="A775" t="s">
        <v>3124</v>
      </c>
      <c r="B775" t="s">
        <v>45</v>
      </c>
      <c r="C775" t="s">
        <v>46</v>
      </c>
      <c r="D775">
        <v>28.617438159999999</v>
      </c>
      <c r="E775">
        <v>77.213623740000003</v>
      </c>
      <c r="F775">
        <f>IF(COUNTIF($C$5:C775,C775)=1,1,0)</f>
        <v>0</v>
      </c>
      <c r="G775" s="2" t="str">
        <f t="shared" si="24"/>
        <v/>
      </c>
      <c r="H775" s="2">
        <f>MAX(0, MyBattery - (EVCleanedDataset[[#This Row],[Distance(km)]]/VehicleRangeKm)*100)</f>
        <v>0</v>
      </c>
      <c r="I775" s="2">
        <f>6371*ACOS(SIN(RADIANS(MyLat))*SIN(RADIANS(EVCleanedDataset[[#This Row],[Latitude]]))+COS(RADIANS(MyLat))*COS(RADIANS(EVCleanedDataset[[#This Row],[Latitude]]))*COS(RADIANS(EVCleanedDataset[[#This Row],[Longitude]]-MyLong)))</f>
        <v>1698.0898490077511</v>
      </c>
      <c r="J775">
        <f t="shared" si="25"/>
        <v>5</v>
      </c>
      <c r="K77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23.598684670779242</v>
      </c>
      <c r="L775" t="str">
        <f>IF(EVCleanedDataset[[#This Row],[Score]]&gt;50,"Yes","No")</f>
        <v>No</v>
      </c>
    </row>
    <row r="776" spans="1:12" x14ac:dyDescent="0.3">
      <c r="A776" t="s">
        <v>3122</v>
      </c>
      <c r="B776" t="s">
        <v>45</v>
      </c>
      <c r="C776" t="s">
        <v>46</v>
      </c>
      <c r="D776">
        <v>28.625765170000001</v>
      </c>
      <c r="E776">
        <v>77.194891080000005</v>
      </c>
      <c r="F776">
        <f>IF(COUNTIF($C$5:C776,C776)=1,1,0)</f>
        <v>0</v>
      </c>
      <c r="G776" s="2" t="str">
        <f t="shared" si="24"/>
        <v/>
      </c>
      <c r="H776" s="2">
        <f>MAX(0, MyBattery - (EVCleanedDataset[[#This Row],[Distance(km)]]/VehicleRangeKm)*100)</f>
        <v>0</v>
      </c>
      <c r="I776" s="2">
        <f>6371*ACOS(SIN(RADIANS(MyLat))*SIN(RADIANS(EVCleanedDataset[[#This Row],[Latitude]]))+COS(RADIANS(MyLat))*COS(RADIANS(EVCleanedDataset[[#This Row],[Latitude]]))*COS(RADIANS(EVCleanedDataset[[#This Row],[Longitude]]-MyLong)))</f>
        <v>1699.0548311691318</v>
      </c>
      <c r="J776">
        <f t="shared" si="25"/>
        <v>2</v>
      </c>
      <c r="K77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33.581792806509334</v>
      </c>
      <c r="L776" t="str">
        <f>IF(EVCleanedDataset[[#This Row],[Score]]&gt;50,"Yes","No")</f>
        <v>No</v>
      </c>
    </row>
    <row r="777" spans="1:12" x14ac:dyDescent="0.3">
      <c r="A777" t="s">
        <v>2770</v>
      </c>
      <c r="B777" t="s">
        <v>41</v>
      </c>
      <c r="C777" t="s">
        <v>1206</v>
      </c>
      <c r="D777">
        <v>19.036390000000001</v>
      </c>
      <c r="E777">
        <v>73.029906999999994</v>
      </c>
      <c r="F777">
        <f>IF(COUNTIF($C$5:C777,C777)=1,1,0)</f>
        <v>0</v>
      </c>
      <c r="G777" s="2" t="str">
        <f t="shared" si="24"/>
        <v/>
      </c>
      <c r="H777" s="2">
        <f>MAX(0, MyBattery - (EVCleanedDataset[[#This Row],[Distance(km)]]/VehicleRangeKm)*100)</f>
        <v>0</v>
      </c>
      <c r="I777" s="2">
        <f>6371*ACOS(SIN(RADIANS(MyLat))*SIN(RADIANS(EVCleanedDataset[[#This Row],[Latitude]]))+COS(RADIANS(MyLat))*COS(RADIANS(EVCleanedDataset[[#This Row],[Latitude]]))*COS(RADIANS(EVCleanedDataset[[#This Row],[Longitude]]-MyLong)))</f>
        <v>794.58373132509041</v>
      </c>
      <c r="J777">
        <f t="shared" si="25"/>
        <v>9</v>
      </c>
      <c r="K777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26.090469851447772</v>
      </c>
      <c r="L777" t="str">
        <f>IF(EVCleanedDataset[[#This Row],[Score]]&gt;50,"Yes","No")</f>
        <v>No</v>
      </c>
    </row>
    <row r="778" spans="1:12" x14ac:dyDescent="0.3">
      <c r="A778" t="s">
        <v>3241</v>
      </c>
      <c r="B778" t="s">
        <v>45</v>
      </c>
      <c r="C778" t="s">
        <v>45</v>
      </c>
      <c r="D778">
        <v>28.62932</v>
      </c>
      <c r="E778">
        <v>77.212620000000001</v>
      </c>
      <c r="F778">
        <f>IF(COUNTIF($C$5:C778,C778)=1,1,0)</f>
        <v>0</v>
      </c>
      <c r="G778" s="2" t="str">
        <f t="shared" si="24"/>
        <v/>
      </c>
      <c r="H778" s="2">
        <f>MAX(0, MyBattery - (EVCleanedDataset[[#This Row],[Distance(km)]]/VehicleRangeKm)*100)</f>
        <v>0</v>
      </c>
      <c r="I778" s="2">
        <f>6371*ACOS(SIN(RADIANS(MyLat))*SIN(RADIANS(EVCleanedDataset[[#This Row],[Latitude]]))+COS(RADIANS(MyLat))*COS(RADIANS(EVCleanedDataset[[#This Row],[Latitude]]))*COS(RADIANS(EVCleanedDataset[[#This Row],[Longitude]]-MyLong)))</f>
        <v>1699.4128087783849</v>
      </c>
      <c r="J778">
        <f t="shared" si="25"/>
        <v>6</v>
      </c>
      <c r="K77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20.242209420520719</v>
      </c>
      <c r="L778" t="str">
        <f>IF(EVCleanedDataset[[#This Row],[Score]]&gt;50,"Yes","No")</f>
        <v>No</v>
      </c>
    </row>
    <row r="779" spans="1:12" x14ac:dyDescent="0.3">
      <c r="A779" t="s">
        <v>712</v>
      </c>
      <c r="B779" t="s">
        <v>14</v>
      </c>
      <c r="C779" t="s">
        <v>214</v>
      </c>
      <c r="D779">
        <v>26.854720199999999</v>
      </c>
      <c r="E779">
        <v>75.773170800000003</v>
      </c>
      <c r="F779">
        <f>IF(COUNTIF($C$5:C779,C779)=1,1,0)</f>
        <v>0</v>
      </c>
      <c r="G779" s="2" t="str">
        <f t="shared" si="24"/>
        <v/>
      </c>
      <c r="H779" s="2">
        <f>MAX(0, MyBattery - (EVCleanedDataset[[#This Row],[Distance(km)]]/VehicleRangeKm)*100)</f>
        <v>0</v>
      </c>
      <c r="I779" s="2">
        <f>6371*ACOS(SIN(RADIANS(MyLat))*SIN(RADIANS(EVCleanedDataset[[#This Row],[Latitude]]))+COS(RADIANS(MyLat))*COS(RADIANS(EVCleanedDataset[[#This Row],[Latitude]]))*COS(RADIANS(EVCleanedDataset[[#This Row],[Longitude]]-MyLong)))</f>
        <v>1512.9400467168336</v>
      </c>
      <c r="J779">
        <f t="shared" si="25"/>
        <v>3</v>
      </c>
      <c r="K779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33.50832882703007</v>
      </c>
      <c r="L779" t="str">
        <f>IF(EVCleanedDataset[[#This Row],[Score]]&gt;50,"Yes","No")</f>
        <v>No</v>
      </c>
    </row>
    <row r="780" spans="1:12" x14ac:dyDescent="0.3">
      <c r="A780" t="s">
        <v>3147</v>
      </c>
      <c r="B780" t="s">
        <v>45</v>
      </c>
      <c r="C780" t="s">
        <v>46</v>
      </c>
      <c r="D780">
        <v>28.633919899999999</v>
      </c>
      <c r="E780">
        <v>77.217401649999999</v>
      </c>
      <c r="F780">
        <f>IF(COUNTIF($C$5:C780,C780)=1,1,0)</f>
        <v>0</v>
      </c>
      <c r="G780" s="2" t="str">
        <f t="shared" si="24"/>
        <v/>
      </c>
      <c r="H780" s="2">
        <f>MAX(0, MyBattery - (EVCleanedDataset[[#This Row],[Distance(km)]]/VehicleRangeKm)*100)</f>
        <v>0</v>
      </c>
      <c r="I780" s="2">
        <f>6371*ACOS(SIN(RADIANS(MyLat))*SIN(RADIANS(EVCleanedDataset[[#This Row],[Latitude]]))+COS(RADIANS(MyLat))*COS(RADIANS(EVCleanedDataset[[#This Row],[Latitude]]))*COS(RADIANS(EVCleanedDataset[[#This Row],[Longitude]]-MyLong)))</f>
        <v>1699.9144892799386</v>
      </c>
      <c r="J780">
        <f t="shared" si="25"/>
        <v>0</v>
      </c>
      <c r="K78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40.233442381668119</v>
      </c>
      <c r="L780" t="str">
        <f>IF(EVCleanedDataset[[#This Row],[Score]]&gt;50,"Yes","No")</f>
        <v>No</v>
      </c>
    </row>
    <row r="781" spans="1:12" x14ac:dyDescent="0.3">
      <c r="A781" t="s">
        <v>3349</v>
      </c>
      <c r="B781" t="s">
        <v>45</v>
      </c>
      <c r="C781" t="s">
        <v>45</v>
      </c>
      <c r="D781">
        <v>28.660779999999999</v>
      </c>
      <c r="E781">
        <v>77.153599999999997</v>
      </c>
      <c r="F781">
        <f>IF(COUNTIF($C$5:C781,C781)=1,1,0)</f>
        <v>0</v>
      </c>
      <c r="G781" s="2" t="str">
        <f t="shared" si="24"/>
        <v/>
      </c>
      <c r="H781" s="2">
        <f>MAX(0, MyBattery - (EVCleanedDataset[[#This Row],[Distance(km)]]/VehicleRangeKm)*100)</f>
        <v>0</v>
      </c>
      <c r="I781" s="2">
        <f>6371*ACOS(SIN(RADIANS(MyLat))*SIN(RADIANS(EVCleanedDataset[[#This Row],[Latitude]]))+COS(RADIANS(MyLat))*COS(RADIANS(EVCleanedDataset[[#This Row],[Latitude]]))*COS(RADIANS(EVCleanedDataset[[#This Row],[Longitude]]-MyLong)))</f>
        <v>1703.0414480885747</v>
      </c>
      <c r="J781">
        <f t="shared" si="25"/>
        <v>7</v>
      </c>
      <c r="K78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16.845349711163269</v>
      </c>
      <c r="L781" t="str">
        <f>IF(EVCleanedDataset[[#This Row],[Score]]&gt;50,"Yes","No")</f>
        <v>No</v>
      </c>
    </row>
    <row r="782" spans="1:12" x14ac:dyDescent="0.3">
      <c r="A782" t="s">
        <v>2345</v>
      </c>
      <c r="B782" t="s">
        <v>41</v>
      </c>
      <c r="C782" t="s">
        <v>119</v>
      </c>
      <c r="D782">
        <v>19.01296</v>
      </c>
      <c r="E782">
        <v>72.826520000000002</v>
      </c>
      <c r="F782">
        <f>IF(COUNTIF($C$5:C782,C782)=1,1,0)</f>
        <v>0</v>
      </c>
      <c r="G782" s="2" t="str">
        <f t="shared" si="24"/>
        <v/>
      </c>
      <c r="H782" s="2">
        <f>MAX(0, MyBattery - (EVCleanedDataset[[#This Row],[Distance(km)]]/VehicleRangeKm)*100)</f>
        <v>0</v>
      </c>
      <c r="I782" s="2">
        <f>6371*ACOS(SIN(RADIANS(MyLat))*SIN(RADIANS(EVCleanedDataset[[#This Row],[Latitude]]))+COS(RADIANS(MyLat))*COS(RADIANS(EVCleanedDataset[[#This Row],[Latitude]]))*COS(RADIANS(EVCleanedDataset[[#This Row],[Longitude]]-MyLong)))</f>
        <v>805.89260200678041</v>
      </c>
      <c r="J782">
        <f t="shared" si="25"/>
        <v>4</v>
      </c>
      <c r="K782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42.55910928419501</v>
      </c>
      <c r="L782" t="str">
        <f>IF(EVCleanedDataset[[#This Row],[Score]]&gt;50,"Yes","No")</f>
        <v>No</v>
      </c>
    </row>
    <row r="783" spans="1:12" x14ac:dyDescent="0.3">
      <c r="A783" t="s">
        <v>680</v>
      </c>
      <c r="B783" t="s">
        <v>14</v>
      </c>
      <c r="C783" t="s">
        <v>214</v>
      </c>
      <c r="D783">
        <v>26.8898540600064</v>
      </c>
      <c r="E783">
        <v>75.808977542244904</v>
      </c>
      <c r="F783">
        <f>IF(COUNTIF($C$5:C783,C783)=1,1,0)</f>
        <v>0</v>
      </c>
      <c r="G783" s="2" t="str">
        <f t="shared" si="24"/>
        <v/>
      </c>
      <c r="H783" s="2">
        <f>MAX(0, MyBattery - (EVCleanedDataset[[#This Row],[Distance(km)]]/VehicleRangeKm)*100)</f>
        <v>0</v>
      </c>
      <c r="I783" s="2">
        <f>6371*ACOS(SIN(RADIANS(MyLat))*SIN(RADIANS(EVCleanedDataset[[#This Row],[Latitude]]))+COS(RADIANS(MyLat))*COS(RADIANS(EVCleanedDataset[[#This Row],[Latitude]]))*COS(RADIANS(EVCleanedDataset[[#This Row],[Longitude]]-MyLong)))</f>
        <v>1516.3684788379326</v>
      </c>
      <c r="J783">
        <f t="shared" si="25"/>
        <v>1</v>
      </c>
      <c r="K783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40.11498578843949</v>
      </c>
      <c r="L783" t="str">
        <f>IF(EVCleanedDataset[[#This Row],[Score]]&gt;50,"Yes","No")</f>
        <v>No</v>
      </c>
    </row>
    <row r="784" spans="1:12" x14ac:dyDescent="0.3">
      <c r="A784" t="s">
        <v>156</v>
      </c>
      <c r="B784" t="s">
        <v>41</v>
      </c>
      <c r="C784" t="s">
        <v>119</v>
      </c>
      <c r="D784">
        <v>19.0246</v>
      </c>
      <c r="E784">
        <v>72.840199999999996</v>
      </c>
      <c r="F784">
        <f>IF(COUNTIF($C$5:C784,C784)=1,1,0)</f>
        <v>0</v>
      </c>
      <c r="G784" s="2" t="str">
        <f t="shared" si="24"/>
        <v/>
      </c>
      <c r="H784" s="2">
        <f>MAX(0, MyBattery - (EVCleanedDataset[[#This Row],[Distance(km)]]/VehicleRangeKm)*100)</f>
        <v>0</v>
      </c>
      <c r="I784" s="2">
        <f>6371*ACOS(SIN(RADIANS(MyLat))*SIN(RADIANS(EVCleanedDataset[[#This Row],[Latitude]]))+COS(RADIANS(MyLat))*COS(RADIANS(EVCleanedDataset[[#This Row],[Latitude]]))*COS(RADIANS(EVCleanedDataset[[#This Row],[Longitude]]-MyLong)))</f>
        <v>805.98559433092635</v>
      </c>
      <c r="J784">
        <f t="shared" si="25"/>
        <v>8</v>
      </c>
      <c r="K78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29.224167170865783</v>
      </c>
      <c r="L784" t="str">
        <f>IF(EVCleanedDataset[[#This Row],[Score]]&gt;50,"Yes","No")</f>
        <v>No</v>
      </c>
    </row>
    <row r="785" spans="1:12" x14ac:dyDescent="0.3">
      <c r="A785" t="s">
        <v>1473</v>
      </c>
      <c r="B785" t="s">
        <v>14</v>
      </c>
      <c r="C785" t="s">
        <v>214</v>
      </c>
      <c r="D785">
        <v>26.892351399999999</v>
      </c>
      <c r="E785">
        <v>75.825707300000005</v>
      </c>
      <c r="F785">
        <f>IF(COUNTIF($C$5:C785,C785)=1,1,0)</f>
        <v>0</v>
      </c>
      <c r="G785" s="2" t="str">
        <f t="shared" si="24"/>
        <v/>
      </c>
      <c r="H785" s="2">
        <f>MAX(0, MyBattery - (EVCleanedDataset[[#This Row],[Distance(km)]]/VehicleRangeKm)*100)</f>
        <v>0</v>
      </c>
      <c r="I785" s="2">
        <f>6371*ACOS(SIN(RADIANS(MyLat))*SIN(RADIANS(EVCleanedDataset[[#This Row],[Latitude]]))+COS(RADIANS(MyLat))*COS(RADIANS(EVCleanedDataset[[#This Row],[Latitude]]))*COS(RADIANS(EVCleanedDataset[[#This Row],[Longitude]]-MyLong)))</f>
        <v>1516.4385071207791</v>
      </c>
      <c r="J785">
        <f t="shared" si="25"/>
        <v>5</v>
      </c>
      <c r="K785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26.780445895093862</v>
      </c>
      <c r="L785" t="str">
        <f>IF(EVCleanedDataset[[#This Row],[Score]]&gt;50,"Yes","No")</f>
        <v>No</v>
      </c>
    </row>
    <row r="786" spans="1:12" x14ac:dyDescent="0.3">
      <c r="A786" t="s">
        <v>2365</v>
      </c>
      <c r="B786" t="s">
        <v>41</v>
      </c>
      <c r="C786" t="s">
        <v>119</v>
      </c>
      <c r="D786">
        <v>19.034402</v>
      </c>
      <c r="E786">
        <v>72.85284</v>
      </c>
      <c r="F786">
        <f>IF(COUNTIF($C$5:C786,C786)=1,1,0)</f>
        <v>0</v>
      </c>
      <c r="G786" s="2" t="str">
        <f t="shared" si="24"/>
        <v/>
      </c>
      <c r="H786" s="2">
        <f>MAX(0, MyBattery - (EVCleanedDataset[[#This Row],[Distance(km)]]/VehicleRangeKm)*100)</f>
        <v>0</v>
      </c>
      <c r="I786" s="2">
        <f>6371*ACOS(SIN(RADIANS(MyLat))*SIN(RADIANS(EVCleanedDataset[[#This Row],[Latitude]]))+COS(RADIANS(MyLat))*COS(RADIANS(EVCleanedDataset[[#This Row],[Latitude]]))*COS(RADIANS(EVCleanedDataset[[#This Row],[Longitude]]-MyLong)))</f>
        <v>805.99348223047116</v>
      </c>
      <c r="J786">
        <f t="shared" si="25"/>
        <v>2</v>
      </c>
      <c r="K78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49.224049012656423</v>
      </c>
      <c r="L786" t="str">
        <f>IF(EVCleanedDataset[[#This Row],[Score]]&gt;50,"Yes","No")</f>
        <v>No</v>
      </c>
    </row>
    <row r="787" spans="1:12" x14ac:dyDescent="0.3">
      <c r="A787" t="s">
        <v>2802</v>
      </c>
      <c r="B787" t="s">
        <v>45</v>
      </c>
      <c r="C787" t="s">
        <v>46</v>
      </c>
      <c r="D787">
        <v>28.696200000000001</v>
      </c>
      <c r="E787">
        <v>77.155000000000001</v>
      </c>
      <c r="F787">
        <f>IF(COUNTIF($C$5:C787,C787)=1,1,0)</f>
        <v>0</v>
      </c>
      <c r="G787" s="2" t="str">
        <f t="shared" si="24"/>
        <v/>
      </c>
      <c r="H787" s="2">
        <f>MAX(0, MyBattery - (EVCleanedDataset[[#This Row],[Distance(km)]]/VehicleRangeKm)*100)</f>
        <v>0</v>
      </c>
      <c r="I787" s="2">
        <f>6371*ACOS(SIN(RADIANS(MyLat))*SIN(RADIANS(EVCleanedDataset[[#This Row],[Latitude]]))+COS(RADIANS(MyLat))*COS(RADIANS(EVCleanedDataset[[#This Row],[Latitude]]))*COS(RADIANS(EVCleanedDataset[[#This Row],[Longitude]]-MyLong)))</f>
        <v>1706.9754186489015</v>
      </c>
      <c r="J787">
        <f t="shared" si="25"/>
        <v>9</v>
      </c>
      <c r="K78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10.109838727801957</v>
      </c>
      <c r="L787" t="str">
        <f>IF(EVCleanedDataset[[#This Row],[Score]]&gt;50,"Yes","No")</f>
        <v>No</v>
      </c>
    </row>
    <row r="788" spans="1:12" x14ac:dyDescent="0.3">
      <c r="A788" t="s">
        <v>943</v>
      </c>
      <c r="B788" t="s">
        <v>502</v>
      </c>
      <c r="C788" t="s">
        <v>1346</v>
      </c>
      <c r="D788">
        <v>13.648073</v>
      </c>
      <c r="E788">
        <v>79.446494000000001</v>
      </c>
      <c r="F788">
        <f>IF(COUNTIF($C$5:C788,C788)=1,1,0)</f>
        <v>0</v>
      </c>
      <c r="G788" s="2" t="str">
        <f t="shared" si="24"/>
        <v/>
      </c>
      <c r="H788" s="2">
        <f>MAX(0, MyBattery - (EVCleanedDataset[[#This Row],[Distance(km)]]/VehicleRangeKm)*100)</f>
        <v>0.3117740466015988</v>
      </c>
      <c r="I788" s="2">
        <f>6371*ACOS(SIN(RADIANS(MyLat))*SIN(RADIANS(EVCleanedDataset[[#This Row],[Latitude]]))+COS(RADIANS(MyLat))*COS(RADIANS(EVCleanedDataset[[#This Row],[Latitude]]))*COS(RADIANS(EVCleanedDataset[[#This Row],[Longitude]]-MyLong)))</f>
        <v>209.06467786019519</v>
      </c>
      <c r="J788">
        <f t="shared" si="25"/>
        <v>6</v>
      </c>
      <c r="K788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46.439600679797053</v>
      </c>
      <c r="L788" t="str">
        <f>IF(EVCleanedDataset[[#This Row],[Score]]&gt;50,"Yes","No")</f>
        <v>No</v>
      </c>
    </row>
    <row r="789" spans="1:12" x14ac:dyDescent="0.3">
      <c r="A789" t="s">
        <v>698</v>
      </c>
      <c r="B789" t="s">
        <v>45</v>
      </c>
      <c r="C789" t="s">
        <v>45</v>
      </c>
      <c r="D789">
        <v>28.6990084</v>
      </c>
      <c r="E789">
        <v>77.183327399999996</v>
      </c>
      <c r="F789">
        <f>IF(COUNTIF($C$5:C789,C789)=1,1,0)</f>
        <v>0</v>
      </c>
      <c r="G789" s="2" t="str">
        <f t="shared" si="24"/>
        <v/>
      </c>
      <c r="H789" s="2">
        <f>MAX(0, MyBattery - (EVCleanedDataset[[#This Row],[Distance(km)]]/VehicleRangeKm)*100)</f>
        <v>0</v>
      </c>
      <c r="I789" s="2">
        <f>6371*ACOS(SIN(RADIANS(MyLat))*SIN(RADIANS(EVCleanedDataset[[#This Row],[Latitude]]))+COS(RADIANS(MyLat))*COS(RADIANS(EVCleanedDataset[[#This Row],[Latitude]]))*COS(RADIANS(EVCleanedDataset[[#This Row],[Longitude]]-MyLong)))</f>
        <v>1707.2223334619348</v>
      </c>
      <c r="J789">
        <f t="shared" si="25"/>
        <v>3</v>
      </c>
      <c r="K78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30.105533963238283</v>
      </c>
      <c r="L789" t="str">
        <f>IF(EVCleanedDataset[[#This Row],[Score]]&gt;50,"Yes","No")</f>
        <v>No</v>
      </c>
    </row>
    <row r="790" spans="1:12" x14ac:dyDescent="0.3">
      <c r="A790" t="s">
        <v>2984</v>
      </c>
      <c r="B790" t="s">
        <v>68</v>
      </c>
      <c r="C790" t="s">
        <v>1199</v>
      </c>
      <c r="D790">
        <v>22.924743700000001</v>
      </c>
      <c r="E790">
        <v>72.543495500000006</v>
      </c>
      <c r="F790">
        <f>IF(COUNTIF($C$5:C790,C790)=1,1,0)</f>
        <v>1</v>
      </c>
      <c r="G790" s="2">
        <f t="shared" si="24"/>
        <v>1187.9932282886755</v>
      </c>
      <c r="H790" s="2">
        <f>MAX(0, MyBattery - (EVCleanedDataset[[#This Row],[Distance(km)]]/VehicleRangeKm)*100)</f>
        <v>0</v>
      </c>
      <c r="I790" s="2">
        <f>6371*ACOS(SIN(RADIANS(MyLat))*SIN(RADIANS(EVCleanedDataset[[#This Row],[Latitude]]))+COS(RADIANS(MyLat))*COS(RADIANS(EVCleanedDataset[[#This Row],[Latitude]]))*COS(RADIANS(EVCleanedDataset[[#This Row],[Longitude]]-MyLong)))</f>
        <v>1187.9932282886755</v>
      </c>
      <c r="J790">
        <f t="shared" si="25"/>
        <v>0</v>
      </c>
      <c r="K790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49.199950276477963</v>
      </c>
      <c r="L790" t="str">
        <f>IF(EVCleanedDataset[[#This Row],[Score]]&gt;50,"Yes","No")</f>
        <v>No</v>
      </c>
    </row>
    <row r="791" spans="1:12" x14ac:dyDescent="0.3">
      <c r="A791" t="s">
        <v>2770</v>
      </c>
      <c r="B791" t="s">
        <v>2745</v>
      </c>
      <c r="C791" t="s">
        <v>490</v>
      </c>
      <c r="D791">
        <v>32.706411699999997</v>
      </c>
      <c r="E791">
        <v>74.8792033</v>
      </c>
      <c r="F791">
        <f>IF(COUNTIF($C$5:C791,C791)=1,1,0)</f>
        <v>1</v>
      </c>
      <c r="G791" s="2">
        <f t="shared" si="24"/>
        <v>2169.117797262189</v>
      </c>
      <c r="H791" s="2">
        <f>MAX(0, MyBattery - (EVCleanedDataset[[#This Row],[Distance(km)]]/VehicleRangeKm)*100)</f>
        <v>0</v>
      </c>
      <c r="I791" s="2">
        <f>6371*ACOS(SIN(RADIANS(MyLat))*SIN(RADIANS(EVCleanedDataset[[#This Row],[Latitude]]))+COS(RADIANS(MyLat))*COS(RADIANS(EVCleanedDataset[[#This Row],[Latitude]]))*COS(RADIANS(EVCleanedDataset[[#This Row],[Longitude]]-MyLong)))</f>
        <v>2169.3036292663542</v>
      </c>
      <c r="J791">
        <f t="shared" si="25"/>
        <v>7</v>
      </c>
      <c r="K791" s="5">
        <f>((1-(EVCleanedDataset[[#This Row],[Distance(km)]]/MAX($I$5:$I$1121)))*0.4 + (1-(EVCleanedDataset[[#This Row],[QueueLength]]/MAX($J$5:$J$1121)))*0.3 + (EVCleanedDataset[[#This Row],[EstimatedBatteryOnArrival]]/100)*0.3 + (ROW()/10000000))*100</f>
        <v>8.6787701435509188</v>
      </c>
      <c r="L791" t="str">
        <f>IF(EVCleanedDataset[[#This Row],[Score]]&gt;50,"Yes","No")</f>
        <v>No</v>
      </c>
    </row>
    <row r="792" spans="1:12" x14ac:dyDescent="0.3">
      <c r="A792" t="s">
        <v>2796</v>
      </c>
      <c r="B792" t="s">
        <v>68</v>
      </c>
      <c r="C792" t="s">
        <v>69</v>
      </c>
      <c r="D792">
        <v>22.998899999999999</v>
      </c>
      <c r="E792">
        <v>72.559399999999997</v>
      </c>
      <c r="F792">
        <f>IF(COUNTIF($C$5:C792,C792)=1,1,0)</f>
        <v>0</v>
      </c>
      <c r="G792" s="2" t="str">
        <f t="shared" si="24"/>
        <v/>
      </c>
      <c r="H792" s="2">
        <f>MAX(0, MyBattery - (EVCleanedDataset[[#This Row],[Distance(km)]]/VehicleRangeKm)*100)</f>
        <v>0</v>
      </c>
      <c r="I792" s="2">
        <f>6371*ACOS(SIN(RADIANS(MyLat))*SIN(RADIANS(EVCleanedDataset[[#This Row],[Latitude]]))+COS(RADIANS(MyLat))*COS(RADIANS(EVCleanedDataset[[#This Row],[Latitude]]))*COS(RADIANS(EVCleanedDataset[[#This Row],[Longitude]]-MyLong)))</f>
        <v>1194.5957141673059</v>
      </c>
      <c r="J792">
        <f t="shared" si="25"/>
        <v>4</v>
      </c>
      <c r="K792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35.750993022841556</v>
      </c>
      <c r="L792" t="str">
        <f>IF(EVCleanedDataset[[#This Row],[Score]]&gt;50,"Yes","No")</f>
        <v>No</v>
      </c>
    </row>
    <row r="793" spans="1:12" x14ac:dyDescent="0.3">
      <c r="A793" t="s">
        <v>3386</v>
      </c>
      <c r="B793" t="s">
        <v>502</v>
      </c>
      <c r="C793" t="s">
        <v>1346</v>
      </c>
      <c r="D793">
        <v>13.29360934</v>
      </c>
      <c r="E793">
        <v>79.581709470000007</v>
      </c>
      <c r="F793">
        <f>IF(COUNTIF($C$5:C793,C793)=1,1,0)</f>
        <v>0</v>
      </c>
      <c r="G793" s="2" t="str">
        <f t="shared" si="24"/>
        <v/>
      </c>
      <c r="H793" s="2">
        <f>MAX(0, MyBattery - (EVCleanedDataset[[#This Row],[Distance(km)]]/VehicleRangeKm)*100)</f>
        <v>0</v>
      </c>
      <c r="I793" s="2">
        <f>6371*ACOS(SIN(RADIANS(MyLat))*SIN(RADIANS(EVCleanedDataset[[#This Row],[Latitude]]))+COS(RADIANS(MyLat))*COS(RADIANS(EVCleanedDataset[[#This Row],[Latitude]]))*COS(RADIANS(EVCleanedDataset[[#This Row],[Longitude]]-MyLong)))</f>
        <v>221.27418447023669</v>
      </c>
      <c r="J793">
        <f t="shared" si="25"/>
        <v>1</v>
      </c>
      <c r="K793" s="5">
        <f>((1-(EVCleanedDataset[[#This Row],[Distance(km)]]/MAX($I$5:$I$1121)))*0.4 + (1-(EVCleanedDataset[[#This Row],[QueueLength]]/MAX($J$5:$J$1121)))*0.3 + (EVCleanedDataset[[#This Row],[EstimatedBatteryOnArrival]]/100)*0.3 + (ROW()/10000000))*100</f>
        <v>62.798933072015927</v>
      </c>
      <c r="L793" t="str">
        <f>IF(EVCleanedDataset[[#This Row],[Score]]&gt;50,"Yes","No")</f>
        <v>Yes</v>
      </c>
    </row>
    <row r="794" spans="1:12" x14ac:dyDescent="0.3">
      <c r="A794" t="s">
        <v>957</v>
      </c>
      <c r="B794" t="s">
        <v>41</v>
      </c>
      <c r="C794" t="s">
        <v>119</v>
      </c>
      <c r="D794">
        <v>19.1981177009338</v>
      </c>
      <c r="E794">
        <v>72.9674150562047</v>
      </c>
      <c r="F794">
        <f>IF(COUNTIF($C$5:C794,C794)=1,1,0)</f>
        <v>0</v>
      </c>
      <c r="G794" s="2" t="str">
        <f t="shared" si="24"/>
        <v/>
      </c>
      <c r="H794" s="2">
        <f>MAX(0, MyBattery - (EVCleanedDataset[[#This Row],[Distance(km)]]/VehicleRangeKm)*100)</f>
        <v>0</v>
      </c>
      <c r="I794" s="2">
        <f>6371*ACOS(SIN(RADIANS(MyLat))*SIN(RADIANS(EVCleanedDataset[[#This Row],[Latitude]]))+COS(RADIANS(MyLat))*COS(RADIANS(EVCleanedDataset[[#This Row],[Latitude]]))*COS(RADIANS(EVCleanedDataset[[#This Row],[Longitude]]-MyLong)))</f>
        <v>812.82410131960444</v>
      </c>
      <c r="J794">
        <f t="shared" si="25"/>
        <v>8</v>
      </c>
      <c r="K79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29.104489291483983</v>
      </c>
      <c r="L794" t="str">
        <f>IF(EVCleanedDataset[[#This Row],[Score]]&gt;50,"Yes","No")</f>
        <v>No</v>
      </c>
    </row>
    <row r="795" spans="1:12" x14ac:dyDescent="0.3">
      <c r="A795" t="s">
        <v>1159</v>
      </c>
      <c r="B795" t="s">
        <v>463</v>
      </c>
      <c r="C795" t="s">
        <v>1160</v>
      </c>
      <c r="D795">
        <v>22.547449</v>
      </c>
      <c r="E795">
        <v>88.349602000000004</v>
      </c>
      <c r="F795">
        <f>IF(COUNTIF($C$5:C795,C795)=1,1,0)</f>
        <v>0</v>
      </c>
      <c r="G795" s="2" t="str">
        <f t="shared" si="24"/>
        <v/>
      </c>
      <c r="H795" s="2">
        <f>MAX(0, MyBattery - (EVCleanedDataset[[#This Row],[Distance(km)]]/VehicleRangeKm)*100)</f>
        <v>0</v>
      </c>
      <c r="I795" s="2">
        <f>6371*ACOS(SIN(RADIANS(MyLat))*SIN(RADIANS(EVCleanedDataset[[#This Row],[Latitude]]))+COS(RADIANS(MyLat))*COS(RADIANS(EVCleanedDataset[[#This Row],[Latitude]]))*COS(RADIANS(EVCleanedDataset[[#This Row],[Longitude]]-MyLong)))</f>
        <v>1533.04040058899</v>
      </c>
      <c r="J795">
        <f t="shared" si="25"/>
        <v>5</v>
      </c>
      <c r="K795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26.489760260650964</v>
      </c>
      <c r="L795" t="str">
        <f>IF(EVCleanedDataset[[#This Row],[Score]]&gt;50,"Yes","No")</f>
        <v>No</v>
      </c>
    </row>
    <row r="796" spans="1:12" x14ac:dyDescent="0.3">
      <c r="A796" t="s">
        <v>2204</v>
      </c>
      <c r="B796" t="s">
        <v>68</v>
      </c>
      <c r="C796" t="s">
        <v>69</v>
      </c>
      <c r="D796">
        <v>23.039752199999999</v>
      </c>
      <c r="E796">
        <v>72.531812400000007</v>
      </c>
      <c r="F796">
        <f>IF(COUNTIF($C$5:C796,C796)=1,1,0)</f>
        <v>0</v>
      </c>
      <c r="G796" s="2" t="str">
        <f t="shared" si="24"/>
        <v/>
      </c>
      <c r="H796" s="2">
        <f>MAX(0, MyBattery - (EVCleanedDataset[[#This Row],[Distance(km)]]/VehicleRangeKm)*100)</f>
        <v>0</v>
      </c>
      <c r="I796" s="2">
        <f>6371*ACOS(SIN(RADIANS(MyLat))*SIN(RADIANS(EVCleanedDataset[[#This Row],[Latitude]]))+COS(RADIANS(MyLat))*COS(RADIANS(EVCleanedDataset[[#This Row],[Latitude]]))*COS(RADIANS(EVCleanedDataset[[#This Row],[Longitude]]-MyLong)))</f>
        <v>1199.9245192086178</v>
      </c>
      <c r="J796">
        <f t="shared" si="25"/>
        <v>2</v>
      </c>
      <c r="K796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42.324364555312386</v>
      </c>
      <c r="L796" t="str">
        <f>IF(EVCleanedDataset[[#This Row],[Score]]&gt;50,"Yes","No")</f>
        <v>No</v>
      </c>
    </row>
    <row r="797" spans="1:12" x14ac:dyDescent="0.3">
      <c r="A797" t="s">
        <v>3347</v>
      </c>
      <c r="B797" t="s">
        <v>463</v>
      </c>
      <c r="C797" t="s">
        <v>1160</v>
      </c>
      <c r="D797">
        <v>22.531074</v>
      </c>
      <c r="E797">
        <v>88.385611999999995</v>
      </c>
      <c r="F797">
        <f>IF(COUNTIF($C$5:C797,C797)=1,1,0)</f>
        <v>0</v>
      </c>
      <c r="G797" s="2" t="str">
        <f t="shared" si="24"/>
        <v/>
      </c>
      <c r="H797" s="2">
        <f>MAX(0, MyBattery - (EVCleanedDataset[[#This Row],[Distance(km)]]/VehicleRangeKm)*100)</f>
        <v>0</v>
      </c>
      <c r="I797" s="2">
        <f>6371*ACOS(SIN(RADIANS(MyLat))*SIN(RADIANS(EVCleanedDataset[[#This Row],[Latitude]]))+COS(RADIANS(MyLat))*COS(RADIANS(EVCleanedDataset[[#This Row],[Latitude]]))*COS(RADIANS(EVCleanedDataset[[#This Row],[Longitude]]-MyLong)))</f>
        <v>1534.7071226415908</v>
      </c>
      <c r="J797">
        <f t="shared" si="25"/>
        <v>9</v>
      </c>
      <c r="K79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13.127253942166044</v>
      </c>
      <c r="L797" t="str">
        <f>IF(EVCleanedDataset[[#This Row],[Score]]&gt;50,"Yes","No")</f>
        <v>No</v>
      </c>
    </row>
    <row r="798" spans="1:12" x14ac:dyDescent="0.3">
      <c r="A798" t="s">
        <v>1057</v>
      </c>
      <c r="B798" t="s">
        <v>41</v>
      </c>
      <c r="C798" t="s">
        <v>2410</v>
      </c>
      <c r="D798">
        <v>20.909443</v>
      </c>
      <c r="E798">
        <v>77.752244700000006</v>
      </c>
      <c r="F798">
        <f>IF(COUNTIF($C$5:C798,C798)=1,1,0)</f>
        <v>1</v>
      </c>
      <c r="G798" s="2">
        <f t="shared" si="24"/>
        <v>840.97882010619878</v>
      </c>
      <c r="H798" s="2">
        <f>MAX(0, MyBattery - (EVCleanedDataset[[#This Row],[Distance(km)]]/VehicleRangeKm)*100)</f>
        <v>0</v>
      </c>
      <c r="I798" s="2">
        <f>6371*ACOS(SIN(RADIANS(MyLat))*SIN(RADIANS(EVCleanedDataset[[#This Row],[Latitude]]))+COS(RADIANS(MyLat))*COS(RADIANS(EVCleanedDataset[[#This Row],[Latitude]]))*COS(RADIANS(EVCleanedDataset[[#This Row],[Longitude]]-MyLong)))</f>
        <v>840.97882010619878</v>
      </c>
      <c r="J798">
        <f t="shared" si="25"/>
        <v>6</v>
      </c>
      <c r="K79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35.278060173332008</v>
      </c>
      <c r="L798" t="str">
        <f>IF(EVCleanedDataset[[#This Row],[Score]]&gt;50,"Yes","No")</f>
        <v>No</v>
      </c>
    </row>
    <row r="799" spans="1:12" x14ac:dyDescent="0.3">
      <c r="A799" t="s">
        <v>2770</v>
      </c>
      <c r="B799" t="s">
        <v>68</v>
      </c>
      <c r="C799" t="s">
        <v>69</v>
      </c>
      <c r="D799">
        <v>23.076996000000001</v>
      </c>
      <c r="E799">
        <v>72.589664499999998</v>
      </c>
      <c r="F799">
        <f>IF(COUNTIF($C$5:C799,C799)=1,1,0)</f>
        <v>0</v>
      </c>
      <c r="G799" s="2" t="str">
        <f t="shared" si="24"/>
        <v/>
      </c>
      <c r="H799" s="2">
        <f>MAX(0, MyBattery - (EVCleanedDataset[[#This Row],[Distance(km)]]/VehicleRangeKm)*100)</f>
        <v>0</v>
      </c>
      <c r="I799" s="2">
        <f>6371*ACOS(SIN(RADIANS(MyLat))*SIN(RADIANS(EVCleanedDataset[[#This Row],[Latitude]]))+COS(RADIANS(MyLat))*COS(RADIANS(EVCleanedDataset[[#This Row],[Latitude]]))*COS(RADIANS(EVCleanedDataset[[#This Row],[Longitude]]-MyLong)))</f>
        <v>1200.9542312100261</v>
      </c>
      <c r="J799">
        <f t="shared" si="25"/>
        <v>3</v>
      </c>
      <c r="K799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38.973025601030372</v>
      </c>
      <c r="L799" t="str">
        <f>IF(EVCleanedDataset[[#This Row],[Score]]&gt;50,"Yes","No")</f>
        <v>No</v>
      </c>
    </row>
    <row r="800" spans="1:12" x14ac:dyDescent="0.3">
      <c r="A800" t="s">
        <v>3089</v>
      </c>
      <c r="B800" t="s">
        <v>463</v>
      </c>
      <c r="C800" t="s">
        <v>1160</v>
      </c>
      <c r="D800">
        <v>22.57885907</v>
      </c>
      <c r="E800">
        <v>88.453007130000003</v>
      </c>
      <c r="F800">
        <f>IF(COUNTIF($C$5:C800,C800)=1,1,0)</f>
        <v>0</v>
      </c>
      <c r="G800" s="2" t="str">
        <f t="shared" si="24"/>
        <v/>
      </c>
      <c r="H800" s="2">
        <f>MAX(0, MyBattery - (EVCleanedDataset[[#This Row],[Distance(km)]]/VehicleRangeKm)*100)</f>
        <v>0</v>
      </c>
      <c r="I800" s="2">
        <f>6371*ACOS(SIN(RADIANS(MyLat))*SIN(RADIANS(EVCleanedDataset[[#This Row],[Latitude]]))+COS(RADIANS(MyLat))*COS(RADIANS(EVCleanedDataset[[#This Row],[Latitude]]))*COS(RADIANS(EVCleanedDataset[[#This Row],[Longitude]]-MyLong)))</f>
        <v>1543.4251888883955</v>
      </c>
      <c r="J800">
        <f t="shared" si="25"/>
        <v>0</v>
      </c>
      <c r="K800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42.974585189487833</v>
      </c>
      <c r="L800" t="str">
        <f>IF(EVCleanedDataset[[#This Row],[Score]]&gt;50,"Yes","No")</f>
        <v>No</v>
      </c>
    </row>
    <row r="801" spans="1:12" x14ac:dyDescent="0.3">
      <c r="A801" t="s">
        <v>3090</v>
      </c>
      <c r="B801" t="s">
        <v>463</v>
      </c>
      <c r="C801" t="s">
        <v>1160</v>
      </c>
      <c r="D801">
        <v>22.585582309999999</v>
      </c>
      <c r="E801">
        <v>88.456438000000006</v>
      </c>
      <c r="F801">
        <f>IF(COUNTIF($C$5:C801,C801)=1,1,0)</f>
        <v>0</v>
      </c>
      <c r="G801" s="2" t="str">
        <f t="shared" si="24"/>
        <v/>
      </c>
      <c r="H801" s="2">
        <f>MAX(0, MyBattery - (EVCleanedDataset[[#This Row],[Distance(km)]]/VehicleRangeKm)*100)</f>
        <v>0</v>
      </c>
      <c r="I801" s="2">
        <f>6371*ACOS(SIN(RADIANS(MyLat))*SIN(RADIANS(EVCleanedDataset[[#This Row],[Latitude]]))+COS(RADIANS(MyLat))*COS(RADIANS(EVCleanedDataset[[#This Row],[Latitude]]))*COS(RADIANS(EVCleanedDataset[[#This Row],[Longitude]]-MyLong)))</f>
        <v>1544.1745303976697</v>
      </c>
      <c r="J801">
        <f t="shared" si="25"/>
        <v>7</v>
      </c>
      <c r="K801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19.628136982982301</v>
      </c>
      <c r="L801" t="str">
        <f>IF(EVCleanedDataset[[#This Row],[Score]]&gt;50,"Yes","No")</f>
        <v>No</v>
      </c>
    </row>
    <row r="802" spans="1:12" x14ac:dyDescent="0.3">
      <c r="A802" t="s">
        <v>870</v>
      </c>
      <c r="B802" t="s">
        <v>502</v>
      </c>
      <c r="C802" t="s">
        <v>1250</v>
      </c>
      <c r="D802">
        <v>16.500726400000001</v>
      </c>
      <c r="E802">
        <v>80.657429199999996</v>
      </c>
      <c r="F802">
        <f>IF(COUNTIF($C$5:C802,C802)=1,1,0)</f>
        <v>0</v>
      </c>
      <c r="G802" s="2" t="str">
        <f t="shared" si="24"/>
        <v/>
      </c>
      <c r="H802" s="2">
        <f>MAX(0, MyBattery - (EVCleanedDataset[[#This Row],[Distance(km)]]/VehicleRangeKm)*100)</f>
        <v>0</v>
      </c>
      <c r="I802" s="2">
        <f>6371*ACOS(SIN(RADIANS(MyLat))*SIN(RADIANS(EVCleanedDataset[[#This Row],[Latitude]]))+COS(RADIANS(MyLat))*COS(RADIANS(EVCleanedDataset[[#This Row],[Latitude]]))*COS(RADIANS(EVCleanedDataset[[#This Row],[Longitude]]-MyLong)))</f>
        <v>484.91604950149269</v>
      </c>
      <c r="J802">
        <f t="shared" si="25"/>
        <v>4</v>
      </c>
      <c r="K80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48.181280696086382</v>
      </c>
      <c r="L802" t="str">
        <f>IF(EVCleanedDataset[[#This Row],[Score]]&gt;50,"Yes","No")</f>
        <v>No</v>
      </c>
    </row>
    <row r="803" spans="1:12" x14ac:dyDescent="0.3">
      <c r="A803" t="s">
        <v>3091</v>
      </c>
      <c r="B803" t="s">
        <v>463</v>
      </c>
      <c r="C803" t="s">
        <v>1160</v>
      </c>
      <c r="D803">
        <v>22.60315379</v>
      </c>
      <c r="E803">
        <v>88.467153530000004</v>
      </c>
      <c r="F803">
        <f>IF(COUNTIF($C$5:C803,C803)=1,1,0)</f>
        <v>0</v>
      </c>
      <c r="G803" s="2" t="str">
        <f t="shared" si="24"/>
        <v/>
      </c>
      <c r="H803" s="2">
        <f>MAX(0, MyBattery - (EVCleanedDataset[[#This Row],[Distance(km)]]/VehicleRangeKm)*100)</f>
        <v>0</v>
      </c>
      <c r="I803" s="2">
        <f>6371*ACOS(SIN(RADIANS(MyLat))*SIN(RADIANS(EVCleanedDataset[[#This Row],[Latitude]]))+COS(RADIANS(MyLat))*COS(RADIANS(EVCleanedDataset[[#This Row],[Latitude]]))*COS(RADIANS(EVCleanedDataset[[#This Row],[Longitude]]-MyLong)))</f>
        <v>1546.2710294740602</v>
      </c>
      <c r="J803">
        <f t="shared" si="25"/>
        <v>1</v>
      </c>
      <c r="K803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39.591436363421366</v>
      </c>
      <c r="L803" t="str">
        <f>IF(EVCleanedDataset[[#This Row],[Score]]&gt;50,"Yes","No")</f>
        <v>No</v>
      </c>
    </row>
    <row r="804" spans="1:12" x14ac:dyDescent="0.3">
      <c r="A804" t="s">
        <v>3351</v>
      </c>
      <c r="B804" t="s">
        <v>506</v>
      </c>
      <c r="C804" t="s">
        <v>1236</v>
      </c>
      <c r="D804">
        <v>21.256789699999999</v>
      </c>
      <c r="E804">
        <v>81.559444499999998</v>
      </c>
      <c r="F804">
        <f>IF(COUNTIF($C$5:C804,C804)=1,1,0)</f>
        <v>0</v>
      </c>
      <c r="G804" s="2" t="str">
        <f t="shared" si="24"/>
        <v/>
      </c>
      <c r="H804" s="2">
        <f>MAX(0, MyBattery - (EVCleanedDataset[[#This Row],[Distance(km)]]/VehicleRangeKm)*100)</f>
        <v>0</v>
      </c>
      <c r="I804" s="2">
        <f>6371*ACOS(SIN(RADIANS(MyLat))*SIN(RADIANS(EVCleanedDataset[[#This Row],[Latitude]]))+COS(RADIANS(MyLat))*COS(RADIANS(EVCleanedDataset[[#This Row],[Latitude]]))*COS(RADIANS(EVCleanedDataset[[#This Row],[Longitude]]-MyLong)))</f>
        <v>977.28587707738598</v>
      </c>
      <c r="J804">
        <f t="shared" si="25"/>
        <v>8</v>
      </c>
      <c r="K804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26.224006911112426</v>
      </c>
      <c r="L804" t="str">
        <f>IF(EVCleanedDataset[[#This Row],[Score]]&gt;50,"Yes","No")</f>
        <v>No</v>
      </c>
    </row>
    <row r="805" spans="1:12" x14ac:dyDescent="0.3">
      <c r="A805" t="s">
        <v>3266</v>
      </c>
      <c r="B805" t="s">
        <v>511</v>
      </c>
      <c r="C805" t="s">
        <v>984</v>
      </c>
      <c r="D805">
        <v>23.182403999999998</v>
      </c>
      <c r="E805">
        <v>77.432496</v>
      </c>
      <c r="F805">
        <f>IF(COUNTIF($C$5:C805,C805)=1,1,0)</f>
        <v>0</v>
      </c>
      <c r="G805" s="2" t="str">
        <f t="shared" si="24"/>
        <v/>
      </c>
      <c r="H805" s="2">
        <f>MAX(0, MyBattery - (EVCleanedDataset[[#This Row],[Distance(km)]]/VehicleRangeKm)*100)</f>
        <v>0</v>
      </c>
      <c r="I805" s="2">
        <f>6371*ACOS(SIN(RADIANS(MyLat))*SIN(RADIANS(EVCleanedDataset[[#This Row],[Latitude]]))+COS(RADIANS(MyLat))*COS(RADIANS(EVCleanedDataset[[#This Row],[Latitude]]))*COS(RADIANS(EVCleanedDataset[[#This Row],[Longitude]]-MyLong)))</f>
        <v>1093.4675439922296</v>
      </c>
      <c r="J805">
        <f t="shared" si="25"/>
        <v>5</v>
      </c>
      <c r="K805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34.189070729271393</v>
      </c>
      <c r="L805" t="str">
        <f>IF(EVCleanedDataset[[#This Row],[Score]]&gt;50,"Yes","No")</f>
        <v>No</v>
      </c>
    </row>
    <row r="806" spans="1:12" x14ac:dyDescent="0.3">
      <c r="A806" t="s">
        <v>2819</v>
      </c>
      <c r="B806" t="s">
        <v>45</v>
      </c>
      <c r="C806" t="s">
        <v>46</v>
      </c>
      <c r="D806">
        <v>32.986699999999999</v>
      </c>
      <c r="E806">
        <v>74.9238</v>
      </c>
      <c r="F806">
        <f>IF(COUNTIF($C$5:C806,C806)=1,1,0)</f>
        <v>0</v>
      </c>
      <c r="G806" s="2" t="str">
        <f t="shared" si="24"/>
        <v/>
      </c>
      <c r="H806" s="2">
        <f>MAX(0, MyBattery - (EVCleanedDataset[[#This Row],[Distance(km)]]/VehicleRangeKm)*100)</f>
        <v>0</v>
      </c>
      <c r="I806" s="2">
        <f>6371*ACOS(SIN(RADIANS(MyLat))*SIN(RADIANS(EVCleanedDataset[[#This Row],[Latitude]]))+COS(RADIANS(MyLat))*COS(RADIANS(EVCleanedDataset[[#This Row],[Latitude]]))*COS(RADIANS(EVCleanedDataset[[#This Row],[Longitude]]-MyLong)))</f>
        <v>2199.6383839903456</v>
      </c>
      <c r="J806">
        <f t="shared" si="25"/>
        <v>2</v>
      </c>
      <c r="K806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24.814267240255518</v>
      </c>
      <c r="L806" t="str">
        <f>IF(EVCleanedDataset[[#This Row],[Score]]&gt;50,"Yes","No")</f>
        <v>No</v>
      </c>
    </row>
    <row r="807" spans="1:12" x14ac:dyDescent="0.3">
      <c r="A807" t="s">
        <v>2821</v>
      </c>
      <c r="B807" t="s">
        <v>45</v>
      </c>
      <c r="C807" t="s">
        <v>46</v>
      </c>
      <c r="D807">
        <v>32.989199999999997</v>
      </c>
      <c r="E807">
        <v>74.928899999999999</v>
      </c>
      <c r="F807">
        <f>IF(COUNTIF($C$5:C807,C807)=1,1,0)</f>
        <v>0</v>
      </c>
      <c r="G807" s="2" t="str">
        <f t="shared" si="24"/>
        <v/>
      </c>
      <c r="H807" s="2">
        <f>MAX(0, MyBattery - (EVCleanedDataset[[#This Row],[Distance(km)]]/VehicleRangeKm)*100)</f>
        <v>0</v>
      </c>
      <c r="I807" s="2">
        <f>6371*ACOS(SIN(RADIANS(MyLat))*SIN(RADIANS(EVCleanedDataset[[#This Row],[Latitude]]))+COS(RADIANS(MyLat))*COS(RADIANS(EVCleanedDataset[[#This Row],[Latitude]]))*COS(RADIANS(EVCleanedDataset[[#This Row],[Longitude]]-MyLong)))</f>
        <v>2199.8516795765836</v>
      </c>
      <c r="J807">
        <f t="shared" si="25"/>
        <v>9</v>
      </c>
      <c r="K807" s="5">
        <f>((1-(EVCleanedDataset[[#This Row],[Distance(km)]]/MAX($I$5:$I$1121)))*0.4 + (1-(EVCleanedDataset[[#This Row],[QueueLength]]/MAX($J$5:$J$1121)))*0.3 + (EVCleanedDataset[[#This Row],[EstimatedBatteryOnArrival]]/100)*0.3 + (ROW()/10000000))*100</f>
        <v>1.4772079901433655</v>
      </c>
      <c r="L807" t="str">
        <f>IF(EVCleanedDataset[[#This Row],[Score]]&gt;50,"Yes","No")</f>
        <v>No</v>
      </c>
    </row>
    <row r="808" spans="1:12" x14ac:dyDescent="0.3">
      <c r="A808" t="s">
        <v>3224</v>
      </c>
      <c r="B808" t="s">
        <v>49</v>
      </c>
      <c r="C808" t="s">
        <v>2768</v>
      </c>
      <c r="D808">
        <v>12.433949999999999</v>
      </c>
      <c r="E808">
        <v>79.832350000000005</v>
      </c>
      <c r="F808">
        <f>IF(COUNTIF($C$5:C808,C808)=1,1,0)</f>
        <v>0</v>
      </c>
      <c r="G808" s="2" t="str">
        <f t="shared" si="24"/>
        <v/>
      </c>
      <c r="H808" s="2">
        <f>MAX(0, MyBattery - (EVCleanedDataset[[#This Row],[Distance(km)]]/VehicleRangeKm)*100)</f>
        <v>0</v>
      </c>
      <c r="I808" s="2">
        <f>6371*ACOS(SIN(RADIANS(MyLat))*SIN(RADIANS(EVCleanedDataset[[#This Row],[Latitude]]))+COS(RADIANS(MyLat))*COS(RADIANS(EVCleanedDataset[[#This Row],[Latitude]]))*COS(RADIANS(EVCleanedDataset[[#This Row],[Longitude]]-MyLong)))</f>
        <v>268.75005620182526</v>
      </c>
      <c r="J808">
        <f t="shared" si="25"/>
        <v>6</v>
      </c>
      <c r="K808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45.300866587936305</v>
      </c>
      <c r="L808" t="str">
        <f>IF(EVCleanedDataset[[#This Row],[Score]]&gt;50,"Yes","No")</f>
        <v>No</v>
      </c>
    </row>
    <row r="809" spans="1:12" x14ac:dyDescent="0.3">
      <c r="A809" t="s">
        <v>798</v>
      </c>
      <c r="B809" t="s">
        <v>506</v>
      </c>
      <c r="C809" t="s">
        <v>1236</v>
      </c>
      <c r="D809">
        <v>21.239993999999999</v>
      </c>
      <c r="E809">
        <v>81.684089799999995</v>
      </c>
      <c r="F809">
        <f>IF(COUNTIF($C$5:C809,C809)=1,1,0)</f>
        <v>0</v>
      </c>
      <c r="G809" s="2" t="str">
        <f t="shared" si="24"/>
        <v/>
      </c>
      <c r="H809" s="2">
        <f>MAX(0, MyBattery - (EVCleanedDataset[[#This Row],[Distance(km)]]/VehicleRangeKm)*100)</f>
        <v>0</v>
      </c>
      <c r="I809" s="2">
        <f>6371*ACOS(SIN(RADIANS(MyLat))*SIN(RADIANS(EVCleanedDataset[[#This Row],[Latitude]]))+COS(RADIANS(MyLat))*COS(RADIANS(EVCleanedDataset[[#This Row],[Latitude]]))*COS(RADIANS(EVCleanedDataset[[#This Row],[Longitude]]-MyLong)))</f>
        <v>981.46685934172604</v>
      </c>
      <c r="J809">
        <f t="shared" si="25"/>
        <v>3</v>
      </c>
      <c r="K809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42.81749279945501</v>
      </c>
      <c r="L809" t="str">
        <f>IF(EVCleanedDataset[[#This Row],[Score]]&gt;50,"Yes","No")</f>
        <v>No</v>
      </c>
    </row>
    <row r="810" spans="1:12" x14ac:dyDescent="0.3">
      <c r="A810" t="s">
        <v>3234</v>
      </c>
      <c r="B810" t="s">
        <v>506</v>
      </c>
      <c r="C810" t="s">
        <v>1236</v>
      </c>
      <c r="D810">
        <v>21.237817199999999</v>
      </c>
      <c r="E810">
        <v>81.689614800000001</v>
      </c>
      <c r="F810">
        <f>IF(COUNTIF($C$5:C810,C810)=1,1,0)</f>
        <v>0</v>
      </c>
      <c r="G810" s="2" t="str">
        <f t="shared" si="24"/>
        <v/>
      </c>
      <c r="H810" s="2">
        <f>MAX(0, MyBattery - (EVCleanedDataset[[#This Row],[Distance(km)]]/VehicleRangeKm)*100)</f>
        <v>0</v>
      </c>
      <c r="I810" s="2">
        <f>6371*ACOS(SIN(RADIANS(MyLat))*SIN(RADIANS(EVCleanedDataset[[#This Row],[Latitude]]))+COS(RADIANS(MyLat))*COS(RADIANS(EVCleanedDataset[[#This Row],[Latitude]]))*COS(RADIANS(EVCleanedDataset[[#This Row],[Longitude]]-MyLong)))</f>
        <v>981.51450818134447</v>
      </c>
      <c r="J810">
        <f t="shared" si="25"/>
        <v>0</v>
      </c>
      <c r="K810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52.816668220068898</v>
      </c>
      <c r="L810" t="str">
        <f>IF(EVCleanedDataset[[#This Row],[Score]]&gt;50,"Yes","No")</f>
        <v>Yes</v>
      </c>
    </row>
    <row r="811" spans="1:12" x14ac:dyDescent="0.3">
      <c r="A811" t="s">
        <v>2657</v>
      </c>
      <c r="B811" t="s">
        <v>41</v>
      </c>
      <c r="C811" t="s">
        <v>2660</v>
      </c>
      <c r="D811">
        <v>19.627517829999999</v>
      </c>
      <c r="E811">
        <v>73.44803503</v>
      </c>
      <c r="F811">
        <f>IF(COUNTIF($C$5:C811,C811)=1,1,0)</f>
        <v>1</v>
      </c>
      <c r="G811" s="2">
        <f t="shared" si="24"/>
        <v>822.95489001406895</v>
      </c>
      <c r="H811" s="2">
        <f>MAX(0, MyBattery - (EVCleanedDataset[[#This Row],[Distance(km)]]/VehicleRangeKm)*100)</f>
        <v>0</v>
      </c>
      <c r="I811" s="2">
        <f>6371*ACOS(SIN(RADIANS(MyLat))*SIN(RADIANS(EVCleanedDataset[[#This Row],[Latitude]]))+COS(RADIANS(MyLat))*COS(RADIANS(EVCleanedDataset[[#This Row],[Latitude]]))*COS(RADIANS(EVCleanedDataset[[#This Row],[Longitude]]-MyLong)))</f>
        <v>822.95489001406895</v>
      </c>
      <c r="J811">
        <f t="shared" si="25"/>
        <v>7</v>
      </c>
      <c r="K811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32.260549743162414</v>
      </c>
      <c r="L811" t="str">
        <f>IF(EVCleanedDataset[[#This Row],[Score]]&gt;50,"Yes","No")</f>
        <v>No</v>
      </c>
    </row>
    <row r="812" spans="1:12" x14ac:dyDescent="0.3">
      <c r="A812" t="s">
        <v>2223</v>
      </c>
      <c r="B812" t="s">
        <v>405</v>
      </c>
      <c r="C812" t="s">
        <v>1064</v>
      </c>
      <c r="D812">
        <v>22.787788330000001</v>
      </c>
      <c r="E812">
        <v>86.184428330000003</v>
      </c>
      <c r="F812">
        <f>IF(COUNTIF($C$5:C812,C812)=1,1,0)</f>
        <v>0</v>
      </c>
      <c r="G812" s="2" t="str">
        <f t="shared" si="24"/>
        <v/>
      </c>
      <c r="H812" s="2">
        <f>MAX(0, MyBattery - (EVCleanedDataset[[#This Row],[Distance(km)]]/VehicleRangeKm)*100)</f>
        <v>0</v>
      </c>
      <c r="I812" s="2">
        <f>6371*ACOS(SIN(RADIANS(MyLat))*SIN(RADIANS(EVCleanedDataset[[#This Row],[Latitude]]))+COS(RADIANS(MyLat))*COS(RADIANS(EVCleanedDataset[[#This Row],[Latitude]]))*COS(RADIANS(EVCleanedDataset[[#This Row],[Longitude]]-MyLong)))</f>
        <v>1390.8304809869996</v>
      </c>
      <c r="J812">
        <f t="shared" si="25"/>
        <v>4</v>
      </c>
      <c r="K812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32.314100062410091</v>
      </c>
      <c r="L812" t="str">
        <f>IF(EVCleanedDataset[[#This Row],[Score]]&gt;50,"Yes","No")</f>
        <v>No</v>
      </c>
    </row>
    <row r="813" spans="1:12" x14ac:dyDescent="0.3">
      <c r="A813" t="s">
        <v>1266</v>
      </c>
      <c r="B813" t="s">
        <v>41</v>
      </c>
      <c r="C813" t="s">
        <v>1267</v>
      </c>
      <c r="D813">
        <v>17.933525800000002</v>
      </c>
      <c r="E813">
        <v>73.815857399999999</v>
      </c>
      <c r="F813">
        <f>IF(COUNTIF($C$5:C813,C813)=1,1,0)</f>
        <v>1</v>
      </c>
      <c r="G813" s="2">
        <f t="shared" si="24"/>
        <v>646.95815158297387</v>
      </c>
      <c r="H813" s="2">
        <f>MAX(0, MyBattery - (EVCleanedDataset[[#This Row],[Distance(km)]]/VehicleRangeKm)*100)</f>
        <v>0</v>
      </c>
      <c r="I813" s="2">
        <f>6371*ACOS(SIN(RADIANS(MyLat))*SIN(RADIANS(EVCleanedDataset[[#This Row],[Latitude]]))+COS(RADIANS(MyLat))*COS(RADIANS(EVCleanedDataset[[#This Row],[Latitude]]))*COS(RADIANS(EVCleanedDataset[[#This Row],[Longitude]]-MyLong)))</f>
        <v>646.95815158297387</v>
      </c>
      <c r="J813">
        <f t="shared" si="25"/>
        <v>1</v>
      </c>
      <c r="K813" s="5">
        <f>((1-(EVCleanedDataset[[#This Row],[Distance(km)]]/MAX($I$5:$I$1121)))*0.4 + (1-(EVCleanedDataset[[#This Row],[QueueLength]]/MAX($J$5:$J$1121)))*0.3 + (EVCleanedDataset[[#This Row],[EstimatedBatteryOnArrival]]/100)*0.3 + (ROW()/10000000))*100</f>
        <v>55.343189405947399</v>
      </c>
      <c r="L813" t="str">
        <f>IF(EVCleanedDataset[[#This Row],[Score]]&gt;50,"Yes","No")</f>
        <v>Yes</v>
      </c>
    </row>
    <row r="814" spans="1:12" x14ac:dyDescent="0.3">
      <c r="A814" t="s">
        <v>2843</v>
      </c>
      <c r="B814" t="s">
        <v>14</v>
      </c>
      <c r="C814" t="s">
        <v>262</v>
      </c>
      <c r="D814">
        <v>27.486999999999998</v>
      </c>
      <c r="E814">
        <v>76.052300000000002</v>
      </c>
      <c r="F814">
        <f>IF(COUNTIF($C$5:C814,C814)=1,1,0)</f>
        <v>1</v>
      </c>
      <c r="G814" s="2">
        <f t="shared" si="24"/>
        <v>1579.6064849349998</v>
      </c>
      <c r="H814" s="2">
        <f>MAX(0, MyBattery - (EVCleanedDataset[[#This Row],[Distance(km)]]/VehicleRangeKm)*100)</f>
        <v>0</v>
      </c>
      <c r="I814" s="2">
        <f>6371*ACOS(SIN(RADIANS(MyLat))*SIN(RADIANS(EVCleanedDataset[[#This Row],[Latitude]]))+COS(RADIANS(MyLat))*COS(RADIANS(EVCleanedDataset[[#This Row],[Latitude]]))*COS(RADIANS(EVCleanedDataset[[#This Row],[Longitude]]-MyLong)))</f>
        <v>1579.6064849349998</v>
      </c>
      <c r="J814">
        <f t="shared" si="25"/>
        <v>8</v>
      </c>
      <c r="K814" s="5">
        <f>((1-(EVCleanedDataset[[#This Row],[Distance(km)]]/MAX($I$5:$I$1121)))*0.4 + (1-(EVCleanedDataset[[#This Row],[QueueLength]]/MAX($J$5:$J$1121)))*0.3 + (EVCleanedDataset[[#This Row],[EstimatedBatteryOnArrival]]/100)*0.3 + (ROW()/10000000))*100</f>
        <v>15.674335559472203</v>
      </c>
      <c r="L814" t="str">
        <f>IF(EVCleanedDataset[[#This Row],[Score]]&gt;50,"Yes","No")</f>
        <v>No</v>
      </c>
    </row>
    <row r="815" spans="1:12" x14ac:dyDescent="0.3">
      <c r="A815" t="s">
        <v>1066</v>
      </c>
      <c r="B815" t="s">
        <v>405</v>
      </c>
      <c r="C815" t="s">
        <v>1064</v>
      </c>
      <c r="D815">
        <v>22.802610999999999</v>
      </c>
      <c r="E815">
        <v>86.203632999999996</v>
      </c>
      <c r="F815">
        <f>IF(COUNTIF($C$5:C815,C815)=1,1,0)</f>
        <v>0</v>
      </c>
      <c r="G815" s="2" t="str">
        <f t="shared" si="24"/>
        <v/>
      </c>
      <c r="H815" s="2">
        <f>MAX(0, MyBattery - (EVCleanedDataset[[#This Row],[Distance(km)]]/VehicleRangeKm)*100)</f>
        <v>0</v>
      </c>
      <c r="I815" s="2">
        <f>6371*ACOS(SIN(RADIANS(MyLat))*SIN(RADIANS(EVCleanedDataset[[#This Row],[Latitude]]))+COS(RADIANS(MyLat))*COS(RADIANS(EVCleanedDataset[[#This Row],[Latitude]]))*COS(RADIANS(EVCleanedDataset[[#This Row],[Longitude]]-MyLong)))</f>
        <v>1393.3756718967668</v>
      </c>
      <c r="J815">
        <f t="shared" si="25"/>
        <v>5</v>
      </c>
      <c r="K815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28.936217178262741</v>
      </c>
      <c r="L815" t="str">
        <f>IF(EVCleanedDataset[[#This Row],[Score]]&gt;50,"Yes","No")</f>
        <v>No</v>
      </c>
    </row>
    <row r="816" spans="1:12" x14ac:dyDescent="0.3">
      <c r="A816" t="s">
        <v>2962</v>
      </c>
      <c r="B816" t="s">
        <v>41</v>
      </c>
      <c r="C816" t="s">
        <v>1095</v>
      </c>
      <c r="D816">
        <v>17.925644380000001</v>
      </c>
      <c r="E816">
        <v>73.655520139999993</v>
      </c>
      <c r="F816">
        <f>IF(COUNTIF($C$5:C816,C816)=1,1,0)</f>
        <v>0</v>
      </c>
      <c r="G816" s="2" t="str">
        <f t="shared" si="24"/>
        <v/>
      </c>
      <c r="H816" s="2">
        <f>MAX(0, MyBattery - (EVCleanedDataset[[#This Row],[Distance(km)]]/VehicleRangeKm)*100)</f>
        <v>0</v>
      </c>
      <c r="I816" s="2">
        <f>6371*ACOS(SIN(RADIANS(MyLat))*SIN(RADIANS(EVCleanedDataset[[#This Row],[Latitude]]))+COS(RADIANS(MyLat))*COS(RADIANS(EVCleanedDataset[[#This Row],[Latitude]]))*COS(RADIANS(EVCleanedDataset[[#This Row],[Longitude]]-MyLong)))</f>
        <v>656.99115922267481</v>
      </c>
      <c r="J816">
        <f t="shared" si="25"/>
        <v>2</v>
      </c>
      <c r="K816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51.834155846572848</v>
      </c>
      <c r="L816" t="str">
        <f>IF(EVCleanedDataset[[#This Row],[Score]]&gt;50,"Yes","No")</f>
        <v>Yes</v>
      </c>
    </row>
    <row r="817" spans="1:12" x14ac:dyDescent="0.3">
      <c r="A817" t="s">
        <v>2862</v>
      </c>
      <c r="B817" t="s">
        <v>49</v>
      </c>
      <c r="C817" t="s">
        <v>1008</v>
      </c>
      <c r="D817">
        <v>13.006066799999999</v>
      </c>
      <c r="E817">
        <v>80.199983500000002</v>
      </c>
      <c r="F817">
        <f>IF(COUNTIF($C$5:C817,C817)=1,1,0)</f>
        <v>0</v>
      </c>
      <c r="G817" s="2" t="str">
        <f t="shared" si="24"/>
        <v/>
      </c>
      <c r="H817" s="2">
        <f>MAX(0, MyBattery - (EVCleanedDataset[[#This Row],[Distance(km)]]/VehicleRangeKm)*100)</f>
        <v>0</v>
      </c>
      <c r="I817" s="2">
        <f>6371*ACOS(SIN(RADIANS(MyLat))*SIN(RADIANS(EVCleanedDataset[[#This Row],[Latitude]]))+COS(RADIANS(MyLat))*COS(RADIANS(EVCleanedDataset[[#This Row],[Latitude]]))*COS(RADIANS(EVCleanedDataset[[#This Row],[Longitude]]-MyLong)))</f>
        <v>290.76922528425501</v>
      </c>
      <c r="J817">
        <f t="shared" si="25"/>
        <v>9</v>
      </c>
      <c r="K817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34.915286238719808</v>
      </c>
      <c r="L817" t="str">
        <f>IF(EVCleanedDataset[[#This Row],[Score]]&gt;50,"Yes","No")</f>
        <v>No</v>
      </c>
    </row>
    <row r="818" spans="1:12" x14ac:dyDescent="0.3">
      <c r="A818" t="s">
        <v>3069</v>
      </c>
      <c r="B818" t="s">
        <v>49</v>
      </c>
      <c r="C818" t="s">
        <v>1008</v>
      </c>
      <c r="D818">
        <v>13.00444547</v>
      </c>
      <c r="E818">
        <v>80.201612569999995</v>
      </c>
      <c r="F818">
        <f>IF(COUNTIF($C$5:C818,C818)=1,1,0)</f>
        <v>0</v>
      </c>
      <c r="G818" s="2" t="str">
        <f t="shared" si="24"/>
        <v/>
      </c>
      <c r="H818" s="2">
        <f>MAX(0, MyBattery - (EVCleanedDataset[[#This Row],[Distance(km)]]/VehicleRangeKm)*100)</f>
        <v>0</v>
      </c>
      <c r="I818" s="2">
        <f>6371*ACOS(SIN(RADIANS(MyLat))*SIN(RADIANS(EVCleanedDataset[[#This Row],[Latitude]]))+COS(RADIANS(MyLat))*COS(RADIANS(EVCleanedDataset[[#This Row],[Latitude]]))*COS(RADIANS(EVCleanedDataset[[#This Row],[Longitude]]-MyLong)))</f>
        <v>290.96870798836358</v>
      </c>
      <c r="J818">
        <f t="shared" si="25"/>
        <v>6</v>
      </c>
      <c r="K818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44.911802257458831</v>
      </c>
      <c r="L818" t="str">
        <f>IF(EVCleanedDataset[[#This Row],[Score]]&gt;50,"Yes","No")</f>
        <v>No</v>
      </c>
    </row>
    <row r="819" spans="1:12" x14ac:dyDescent="0.3">
      <c r="A819" t="s">
        <v>3073</v>
      </c>
      <c r="B819" t="s">
        <v>49</v>
      </c>
      <c r="C819" t="s">
        <v>1008</v>
      </c>
      <c r="D819">
        <v>13.0853</v>
      </c>
      <c r="E819">
        <v>80.201599999999999</v>
      </c>
      <c r="F819">
        <f>IF(COUNTIF($C$5:C819,C819)=1,1,0)</f>
        <v>0</v>
      </c>
      <c r="G819" s="2" t="str">
        <f t="shared" si="24"/>
        <v/>
      </c>
      <c r="H819" s="2">
        <f>MAX(0, MyBattery - (EVCleanedDataset[[#This Row],[Distance(km)]]/VehicleRangeKm)*100)</f>
        <v>0</v>
      </c>
      <c r="I819" s="2">
        <f>6371*ACOS(SIN(RADIANS(MyLat))*SIN(RADIANS(EVCleanedDataset[[#This Row],[Latitude]]))+COS(RADIANS(MyLat))*COS(RADIANS(EVCleanedDataset[[#This Row],[Latitude]]))*COS(RADIANS(EVCleanedDataset[[#This Row],[Longitude]]-MyLong)))</f>
        <v>289.8728695054964</v>
      </c>
      <c r="J819">
        <f t="shared" si="25"/>
        <v>3</v>
      </c>
      <c r="K819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54.931006097552896</v>
      </c>
      <c r="L819" t="str">
        <f>IF(EVCleanedDataset[[#This Row],[Score]]&gt;50,"Yes","No")</f>
        <v>Yes</v>
      </c>
    </row>
    <row r="820" spans="1:12" x14ac:dyDescent="0.3">
      <c r="A820" t="s">
        <v>1210</v>
      </c>
      <c r="B820" t="s">
        <v>49</v>
      </c>
      <c r="C820" t="s">
        <v>1211</v>
      </c>
      <c r="D820">
        <v>12.61860448</v>
      </c>
      <c r="E820">
        <v>80.194005970000006</v>
      </c>
      <c r="F820">
        <f>IF(COUNTIF($C$5:C820,C820)=1,1,0)</f>
        <v>0</v>
      </c>
      <c r="G820" s="2" t="str">
        <f t="shared" si="24"/>
        <v/>
      </c>
      <c r="H820" s="2">
        <f>MAX(0, MyBattery - (EVCleanedDataset[[#This Row],[Distance(km)]]/VehicleRangeKm)*100)</f>
        <v>0</v>
      </c>
      <c r="I820" s="2">
        <f>6371*ACOS(SIN(RADIANS(MyLat))*SIN(RADIANS(EVCleanedDataset[[#This Row],[Latitude]]))+COS(RADIANS(MyLat))*COS(RADIANS(EVCleanedDataset[[#This Row],[Latitude]]))*COS(RADIANS(EVCleanedDataset[[#This Row],[Longitude]]-MyLong)))</f>
        <v>299.0757179864089</v>
      </c>
      <c r="J820">
        <f t="shared" si="25"/>
        <v>0</v>
      </c>
      <c r="K820" s="5">
        <f>((1-(EVCleanedDataset[[#This Row],[Distance(km)]]/MAX($I$5:$I$1121)))*0.4 + (1-(EVCleanedDataset[[#This Row],[QueueLength]]/MAX($J$5:$J$1121)))*0.3 + (EVCleanedDataset[[#This Row],[EstimatedBatteryOnArrival]]/100)*0.3 + (ROW()/10000000))*100</f>
        <v>64.769826282708692</v>
      </c>
      <c r="L820" t="str">
        <f>IF(EVCleanedDataset[[#This Row],[Score]]&gt;50,"Yes","No")</f>
        <v>Yes</v>
      </c>
    </row>
    <row r="821" spans="1:12" x14ac:dyDescent="0.3">
      <c r="A821" t="s">
        <v>2969</v>
      </c>
      <c r="B821" t="s">
        <v>14</v>
      </c>
      <c r="C821" t="s">
        <v>3387</v>
      </c>
      <c r="D821">
        <v>31.431348</v>
      </c>
      <c r="E821">
        <v>75.620356999999998</v>
      </c>
      <c r="F821">
        <f>IF(COUNTIF($C$5:C821,C821)=1,1,0)</f>
        <v>1</v>
      </c>
      <c r="G821" s="2">
        <f t="shared" si="24"/>
        <v>2020.1693383128693</v>
      </c>
      <c r="H821" s="2">
        <f>MAX(0, MyBattery - (EVCleanedDataset[[#This Row],[Distance(km)]]/VehicleRangeKm)*100)</f>
        <v>0</v>
      </c>
      <c r="I821" s="2">
        <f>6371*ACOS(SIN(RADIANS(MyLat))*SIN(RADIANS(EVCleanedDataset[[#This Row],[Latitude]]))+COS(RADIANS(MyLat))*COS(RADIANS(EVCleanedDataset[[#This Row],[Latitude]]))*COS(RADIANS(EVCleanedDataset[[#This Row],[Longitude]]-MyLong)))</f>
        <v>2020.1693383128693</v>
      </c>
      <c r="J821">
        <f t="shared" si="25"/>
        <v>7</v>
      </c>
      <c r="K821" s="5">
        <f>((1-(EVCleanedDataset[[#This Row],[Distance(km)]]/MAX($I$5:$I$1121)))*0.4 + (1-(EVCleanedDataset[[#This Row],[QueueLength]]/MAX($J$5:$J$1121)))*0.3 + (EVCleanedDataset[[#This Row],[EstimatedBatteryOnArrival]]/100)*0.3 + (ROW()/10000000))*100</f>
        <v>11.29118842362176</v>
      </c>
      <c r="L821" t="str">
        <f>IF(EVCleanedDataset[[#This Row],[Score]]&gt;50,"Yes","No")</f>
        <v>No</v>
      </c>
    </row>
    <row r="822" spans="1:12" x14ac:dyDescent="0.3">
      <c r="A822" t="s">
        <v>2893</v>
      </c>
      <c r="B822" t="s">
        <v>41</v>
      </c>
      <c r="C822" t="s">
        <v>221</v>
      </c>
      <c r="D822">
        <v>19.978230702647402</v>
      </c>
      <c r="E822">
        <v>73.746852805904496</v>
      </c>
      <c r="F822">
        <f>IF(COUNTIF($C$5:C822,C822)=1,1,0)</f>
        <v>0</v>
      </c>
      <c r="G822" s="2" t="str">
        <f t="shared" si="24"/>
        <v/>
      </c>
      <c r="H822" s="2">
        <f>MAX(0, MyBattery - (EVCleanedDataset[[#This Row],[Distance(km)]]/VehicleRangeKm)*100)</f>
        <v>0</v>
      </c>
      <c r="I822" s="2">
        <f>6371*ACOS(SIN(RADIANS(MyLat))*SIN(RADIANS(EVCleanedDataset[[#This Row],[Latitude]]))+COS(RADIANS(MyLat))*COS(RADIANS(EVCleanedDataset[[#This Row],[Latitude]]))*COS(RADIANS(EVCleanedDataset[[#This Row],[Longitude]]-MyLong)))</f>
        <v>840.3394369188909</v>
      </c>
      <c r="J822">
        <f t="shared" si="25"/>
        <v>4</v>
      </c>
      <c r="K822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41.956165770176696</v>
      </c>
      <c r="L822" t="str">
        <f>IF(EVCleanedDataset[[#This Row],[Score]]&gt;50,"Yes","No")</f>
        <v>No</v>
      </c>
    </row>
    <row r="823" spans="1:12" x14ac:dyDescent="0.3">
      <c r="A823" t="s">
        <v>1466</v>
      </c>
      <c r="B823" t="s">
        <v>68</v>
      </c>
      <c r="C823" t="s">
        <v>1467</v>
      </c>
      <c r="D823">
        <v>21.716411399999998</v>
      </c>
      <c r="E823">
        <v>72.656297899999998</v>
      </c>
      <c r="F823">
        <f>IF(COUNTIF($C$5:C823,C823)=1,1,0)</f>
        <v>1</v>
      </c>
      <c r="G823" s="2">
        <f t="shared" si="24"/>
        <v>1064.3641294224901</v>
      </c>
      <c r="H823" s="2">
        <f>MAX(0, MyBattery - (EVCleanedDataset[[#This Row],[Distance(km)]]/VehicleRangeKm)*100)</f>
        <v>0</v>
      </c>
      <c r="I823" s="2">
        <f>6371*ACOS(SIN(RADIANS(MyLat))*SIN(RADIANS(EVCleanedDataset[[#This Row],[Latitude]]))+COS(RADIANS(MyLat))*COS(RADIANS(EVCleanedDataset[[#This Row],[Latitude]]))*COS(RADIANS(EVCleanedDataset[[#This Row],[Longitude]]-MyLong)))</f>
        <v>1064.3641294224901</v>
      </c>
      <c r="J823">
        <f t="shared" si="25"/>
        <v>1</v>
      </c>
      <c r="K823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48.032336452374068</v>
      </c>
      <c r="L823" t="str">
        <f>IF(EVCleanedDataset[[#This Row],[Score]]&gt;50,"Yes","No")</f>
        <v>No</v>
      </c>
    </row>
    <row r="824" spans="1:12" x14ac:dyDescent="0.3">
      <c r="A824" t="s">
        <v>3076</v>
      </c>
      <c r="B824" t="s">
        <v>49</v>
      </c>
      <c r="C824" t="s">
        <v>1008</v>
      </c>
      <c r="D824">
        <v>13.088248999999999</v>
      </c>
      <c r="E824">
        <v>80.285359</v>
      </c>
      <c r="F824">
        <f>IF(COUNTIF($C$5:C824,C824)=1,1,0)</f>
        <v>0</v>
      </c>
      <c r="G824" s="2" t="str">
        <f t="shared" si="24"/>
        <v/>
      </c>
      <c r="H824" s="2">
        <f>MAX(0, MyBattery - (EVCleanedDataset[[#This Row],[Distance(km)]]/VehicleRangeKm)*100)</f>
        <v>0</v>
      </c>
      <c r="I824" s="2">
        <f>6371*ACOS(SIN(RADIANS(MyLat))*SIN(RADIANS(EVCleanedDataset[[#This Row],[Latitude]]))+COS(RADIANS(MyLat))*COS(RADIANS(EVCleanedDataset[[#This Row],[Latitude]]))*COS(RADIANS(EVCleanedDataset[[#This Row],[Longitude]]-MyLong)))</f>
        <v>298.86066193186298</v>
      </c>
      <c r="J824">
        <f t="shared" si="25"/>
        <v>8</v>
      </c>
      <c r="K824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38.106966367791252</v>
      </c>
      <c r="L824" t="str">
        <f>IF(EVCleanedDataset[[#This Row],[Score]]&gt;50,"Yes","No")</f>
        <v>No</v>
      </c>
    </row>
    <row r="825" spans="1:12" x14ac:dyDescent="0.3">
      <c r="A825" t="s">
        <v>3096</v>
      </c>
      <c r="B825" t="s">
        <v>41</v>
      </c>
      <c r="C825" t="s">
        <v>987</v>
      </c>
      <c r="D825">
        <v>21.087012699999999</v>
      </c>
      <c r="E825">
        <v>79.063622699999996</v>
      </c>
      <c r="F825">
        <f>IF(COUNTIF($C$5:C825,C825)=1,1,0)</f>
        <v>0</v>
      </c>
      <c r="G825" s="2" t="str">
        <f t="shared" si="24"/>
        <v/>
      </c>
      <c r="H825" s="2">
        <f>MAX(0, MyBattery - (EVCleanedDataset[[#This Row],[Distance(km)]]/VehicleRangeKm)*100)</f>
        <v>0</v>
      </c>
      <c r="I825" s="2">
        <f>6371*ACOS(SIN(RADIANS(MyLat))*SIN(RADIANS(EVCleanedDataset[[#This Row],[Latitude]]))+COS(RADIANS(MyLat))*COS(RADIANS(EVCleanedDataset[[#This Row],[Latitude]]))*COS(RADIANS(EVCleanedDataset[[#This Row],[Longitude]]-MyLong)))</f>
        <v>875.52001215967641</v>
      </c>
      <c r="J825">
        <f t="shared" si="25"/>
        <v>5</v>
      </c>
      <c r="K825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38.006667307592203</v>
      </c>
      <c r="L825" t="str">
        <f>IF(EVCleanedDataset[[#This Row],[Score]]&gt;50,"Yes","No")</f>
        <v>No</v>
      </c>
    </row>
    <row r="826" spans="1:12" x14ac:dyDescent="0.3">
      <c r="A826" t="s">
        <v>161</v>
      </c>
      <c r="B826" t="s">
        <v>41</v>
      </c>
      <c r="C826" t="s">
        <v>162</v>
      </c>
      <c r="D826">
        <v>18.0855</v>
      </c>
      <c r="E826">
        <v>73.430899999999994</v>
      </c>
      <c r="F826">
        <f>IF(COUNTIF($C$5:C826,C826)=1,1,0)</f>
        <v>1</v>
      </c>
      <c r="G826" s="2">
        <f t="shared" si="24"/>
        <v>685.88889711873742</v>
      </c>
      <c r="H826" s="2">
        <f>MAX(0, MyBattery - (EVCleanedDataset[[#This Row],[Distance(km)]]/VehicleRangeKm)*100)</f>
        <v>0</v>
      </c>
      <c r="I826" s="2">
        <f>6371*ACOS(SIN(RADIANS(MyLat))*SIN(RADIANS(EVCleanedDataset[[#This Row],[Latitude]]))+COS(RADIANS(MyLat))*COS(RADIANS(EVCleanedDataset[[#This Row],[Latitude]]))*COS(RADIANS(EVCleanedDataset[[#This Row],[Longitude]]-MyLong)))</f>
        <v>685.88889711873742</v>
      </c>
      <c r="J826">
        <f t="shared" si="25"/>
        <v>2</v>
      </c>
      <c r="K826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51.328105926736214</v>
      </c>
      <c r="L826" t="str">
        <f>IF(EVCleanedDataset[[#This Row],[Score]]&gt;50,"Yes","No")</f>
        <v>Yes</v>
      </c>
    </row>
    <row r="827" spans="1:12" x14ac:dyDescent="0.3">
      <c r="A827" t="s">
        <v>1276</v>
      </c>
      <c r="B827" t="s">
        <v>506</v>
      </c>
      <c r="C827" t="s">
        <v>1277</v>
      </c>
      <c r="D827">
        <v>19.065780199999999</v>
      </c>
      <c r="E827">
        <v>81.963595600000005</v>
      </c>
      <c r="F827">
        <f>IF(COUNTIF($C$5:C827,C827)=1,1,0)</f>
        <v>1</v>
      </c>
      <c r="G827" s="2">
        <f t="shared" si="24"/>
        <v>791.94514478330439</v>
      </c>
      <c r="H827" s="2">
        <f>MAX(0, MyBattery - (EVCleanedDataset[[#This Row],[Distance(km)]]/VehicleRangeKm)*100)</f>
        <v>0</v>
      </c>
      <c r="I827" s="2">
        <f>6371*ACOS(SIN(RADIANS(MyLat))*SIN(RADIANS(EVCleanedDataset[[#This Row],[Latitude]]))+COS(RADIANS(MyLat))*COS(RADIANS(EVCleanedDataset[[#This Row],[Latitude]]))*COS(RADIANS(EVCleanedDataset[[#This Row],[Longitude]]-MyLong)))</f>
        <v>791.94514478330439</v>
      </c>
      <c r="J827">
        <f t="shared" si="25"/>
        <v>9</v>
      </c>
      <c r="K827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26.137185246279387</v>
      </c>
      <c r="L827" t="str">
        <f>IF(EVCleanedDataset[[#This Row],[Score]]&gt;50,"Yes","No")</f>
        <v>No</v>
      </c>
    </row>
    <row r="828" spans="1:12" x14ac:dyDescent="0.3">
      <c r="A828" t="s">
        <v>1203</v>
      </c>
      <c r="B828" t="s">
        <v>463</v>
      </c>
      <c r="C828" t="s">
        <v>1157</v>
      </c>
      <c r="D828">
        <v>26.729623</v>
      </c>
      <c r="E828">
        <v>88.373902999999999</v>
      </c>
      <c r="F828">
        <f>IF(COUNTIF($C$5:C828,C828)=1,1,0)</f>
        <v>0</v>
      </c>
      <c r="G828" s="2" t="str">
        <f t="shared" si="24"/>
        <v/>
      </c>
      <c r="H828" s="2">
        <f>MAX(0, MyBattery - (EVCleanedDataset[[#This Row],[Distance(km)]]/VehicleRangeKm)*100)</f>
        <v>0</v>
      </c>
      <c r="I828" s="2">
        <f>6371*ACOS(SIN(RADIANS(MyLat))*SIN(RADIANS(EVCleanedDataset[[#This Row],[Latitude]]))+COS(RADIANS(MyLat))*COS(RADIANS(EVCleanedDataset[[#This Row],[Latitude]]))*COS(RADIANS(EVCleanedDataset[[#This Row],[Longitude]]-MyLong)))</f>
        <v>1867.213621717857</v>
      </c>
      <c r="J828">
        <f t="shared" si="25"/>
        <v>6</v>
      </c>
      <c r="K828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17.303643105942186</v>
      </c>
      <c r="L828" t="str">
        <f>IF(EVCleanedDataset[[#This Row],[Score]]&gt;50,"Yes","No")</f>
        <v>No</v>
      </c>
    </row>
    <row r="829" spans="1:12" x14ac:dyDescent="0.3">
      <c r="A829" t="s">
        <v>3361</v>
      </c>
      <c r="B829" t="s">
        <v>68</v>
      </c>
      <c r="C829" t="s">
        <v>2761</v>
      </c>
      <c r="D829">
        <v>22.0242</v>
      </c>
      <c r="E829">
        <v>73.117500000000007</v>
      </c>
      <c r="F829">
        <f>IF(COUNTIF($C$5:C829,C829)=1,1,0)</f>
        <v>1</v>
      </c>
      <c r="G829" s="2">
        <f t="shared" si="24"/>
        <v>1072.0091498020688</v>
      </c>
      <c r="H829" s="2">
        <f>MAX(0, MyBattery - (EVCleanedDataset[[#This Row],[Distance(km)]]/VehicleRangeKm)*100)</f>
        <v>0</v>
      </c>
      <c r="I829" s="2">
        <f>6371*ACOS(SIN(RADIANS(MyLat))*SIN(RADIANS(EVCleanedDataset[[#This Row],[Latitude]]))+COS(RADIANS(MyLat))*COS(RADIANS(EVCleanedDataset[[#This Row],[Latitude]]))*COS(RADIANS(EVCleanedDataset[[#This Row],[Longitude]]-MyLong)))</f>
        <v>1072.0091498020688</v>
      </c>
      <c r="J829">
        <f t="shared" si="25"/>
        <v>3</v>
      </c>
      <c r="K829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41.231825655695886</v>
      </c>
      <c r="L829" t="str">
        <f>IF(EVCleanedDataset[[#This Row],[Score]]&gt;50,"Yes","No")</f>
        <v>No</v>
      </c>
    </row>
    <row r="830" spans="1:12" x14ac:dyDescent="0.3">
      <c r="A830" t="s">
        <v>868</v>
      </c>
      <c r="B830" t="s">
        <v>1051</v>
      </c>
      <c r="C830" t="s">
        <v>1052</v>
      </c>
      <c r="D830">
        <v>26.170766</v>
      </c>
      <c r="E830">
        <v>91.760817599999996</v>
      </c>
      <c r="F830">
        <f>IF(COUNTIF($C$5:C830,C830)=1,1,0)</f>
        <v>0</v>
      </c>
      <c r="G830" s="2" t="str">
        <f t="shared" si="24"/>
        <v/>
      </c>
      <c r="H830" s="2">
        <f>MAX(0, MyBattery - (EVCleanedDataset[[#This Row],[Distance(km)]]/VehicleRangeKm)*100)</f>
        <v>0</v>
      </c>
      <c r="I830" s="2">
        <f>6371*ACOS(SIN(RADIANS(MyLat))*SIN(RADIANS(EVCleanedDataset[[#This Row],[Latitude]]))+COS(RADIANS(MyLat))*COS(RADIANS(EVCleanedDataset[[#This Row],[Latitude]]))*COS(RADIANS(EVCleanedDataset[[#This Row],[Longitude]]-MyLong)))</f>
        <v>2057.6416480738003</v>
      </c>
      <c r="J830">
        <f t="shared" si="25"/>
        <v>0</v>
      </c>
      <c r="K830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33.968276418534941</v>
      </c>
      <c r="L830" t="str">
        <f>IF(EVCleanedDataset[[#This Row],[Score]]&gt;50,"Yes","No")</f>
        <v>No</v>
      </c>
    </row>
    <row r="831" spans="1:12" x14ac:dyDescent="0.3">
      <c r="A831" t="s">
        <v>2959</v>
      </c>
      <c r="B831" t="s">
        <v>18</v>
      </c>
      <c r="C831" t="s">
        <v>1085</v>
      </c>
      <c r="D831">
        <v>26.900894000000001</v>
      </c>
      <c r="E831">
        <v>80.964230999999998</v>
      </c>
      <c r="F831">
        <f>IF(COUNTIF($C$5:C831,C831)=1,1,0)</f>
        <v>0</v>
      </c>
      <c r="G831" s="2" t="str">
        <f t="shared" si="24"/>
        <v/>
      </c>
      <c r="H831" s="2">
        <f>MAX(0, MyBattery - (EVCleanedDataset[[#This Row],[Distance(km)]]/VehicleRangeKm)*100)</f>
        <v>0</v>
      </c>
      <c r="I831" s="2">
        <f>6371*ACOS(SIN(RADIANS(MyLat))*SIN(RADIANS(EVCleanedDataset[[#This Row],[Latitude]]))+COS(RADIANS(MyLat))*COS(RADIANS(EVCleanedDataset[[#This Row],[Latitude]]))*COS(RADIANS(EVCleanedDataset[[#This Row],[Longitude]]-MyLong)))</f>
        <v>1548.5055713236604</v>
      </c>
      <c r="J831">
        <f t="shared" si="25"/>
        <v>7</v>
      </c>
      <c r="K831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19.552577895832151</v>
      </c>
      <c r="L831" t="str">
        <f>IF(EVCleanedDataset[[#This Row],[Score]]&gt;50,"Yes","No")</f>
        <v>No</v>
      </c>
    </row>
    <row r="832" spans="1:12" x14ac:dyDescent="0.3">
      <c r="A832" t="s">
        <v>377</v>
      </c>
      <c r="B832" t="s">
        <v>115</v>
      </c>
      <c r="C832" t="s">
        <v>1163</v>
      </c>
      <c r="D832">
        <v>17.413978400000001</v>
      </c>
      <c r="E832">
        <v>78.327549200000007</v>
      </c>
      <c r="F832">
        <f>IF(COUNTIF($C$5:C832,C832)=1,1,0)</f>
        <v>0</v>
      </c>
      <c r="G832" s="2" t="str">
        <f t="shared" si="24"/>
        <v/>
      </c>
      <c r="H832" s="2">
        <f>MAX(0, MyBattery - (EVCleanedDataset[[#This Row],[Distance(km)]]/VehicleRangeKm)*100)</f>
        <v>0</v>
      </c>
      <c r="I832" s="2">
        <f>6371*ACOS(SIN(RADIANS(MyLat))*SIN(RADIANS(EVCleanedDataset[[#This Row],[Latitude]]))+COS(RADIANS(MyLat))*COS(RADIANS(EVCleanedDataset[[#This Row],[Latitude]]))*COS(RADIANS(EVCleanedDataset[[#This Row],[Longitude]]-MyLong)))</f>
        <v>459.85577439515799</v>
      </c>
      <c r="J832">
        <f t="shared" si="25"/>
        <v>4</v>
      </c>
      <c r="K832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48.620516653003747</v>
      </c>
      <c r="L832" t="str">
        <f>IF(EVCleanedDataset[[#This Row],[Score]]&gt;50,"Yes","No")</f>
        <v>No</v>
      </c>
    </row>
    <row r="833" spans="1:12" x14ac:dyDescent="0.3">
      <c r="A833" t="s">
        <v>2618</v>
      </c>
      <c r="B833" t="s">
        <v>41</v>
      </c>
      <c r="C833" t="s">
        <v>42</v>
      </c>
      <c r="D833">
        <v>18.51848416</v>
      </c>
      <c r="E833">
        <v>73.941376860000005</v>
      </c>
      <c r="F833">
        <f>IF(COUNTIF($C$5:C833,C833)=1,1,0)</f>
        <v>0</v>
      </c>
      <c r="G833" s="2" t="str">
        <f t="shared" si="24"/>
        <v/>
      </c>
      <c r="H833" s="2">
        <f>MAX(0, MyBattery - (EVCleanedDataset[[#This Row],[Distance(km)]]/VehicleRangeKm)*100)</f>
        <v>0</v>
      </c>
      <c r="I833" s="2">
        <f>6371*ACOS(SIN(RADIANS(MyLat))*SIN(RADIANS(EVCleanedDataset[[#This Row],[Latitude]]))+COS(RADIANS(MyLat))*COS(RADIANS(EVCleanedDataset[[#This Row],[Latitude]]))*COS(RADIANS(EVCleanedDataset[[#This Row],[Longitude]]-MyLong)))</f>
        <v>691.46333169773641</v>
      </c>
      <c r="J833">
        <f t="shared" si="25"/>
        <v>1</v>
      </c>
      <c r="K833" s="5">
        <f>((1-(EVCleanedDataset[[#This Row],[Distance(km)]]/MAX($I$5:$I$1121)))*0.4 + (1-(EVCleanedDataset[[#This Row],[QueueLength]]/MAX($J$5:$J$1121)))*0.3 + (EVCleanedDataset[[#This Row],[EstimatedBatteryOnArrival]]/100)*0.3 + (ROW()/10000000))*100</f>
        <v>54.563871873176375</v>
      </c>
      <c r="L833" t="str">
        <f>IF(EVCleanedDataset[[#This Row],[Score]]&gt;50,"Yes","No")</f>
        <v>Yes</v>
      </c>
    </row>
    <row r="834" spans="1:12" x14ac:dyDescent="0.3">
      <c r="A834" t="s">
        <v>2868</v>
      </c>
      <c r="B834" t="s">
        <v>41</v>
      </c>
      <c r="C834" t="s">
        <v>42</v>
      </c>
      <c r="D834">
        <v>18.525182000000001</v>
      </c>
      <c r="E834">
        <v>73.875860900000006</v>
      </c>
      <c r="F834">
        <f>IF(COUNTIF($C$5:C834,C834)=1,1,0)</f>
        <v>0</v>
      </c>
      <c r="G834" s="2" t="str">
        <f t="shared" si="24"/>
        <v/>
      </c>
      <c r="H834" s="2">
        <f>MAX(0, MyBattery - (EVCleanedDataset[[#This Row],[Distance(km)]]/VehicleRangeKm)*100)</f>
        <v>0</v>
      </c>
      <c r="I834" s="2">
        <f>6371*ACOS(SIN(RADIANS(MyLat))*SIN(RADIANS(EVCleanedDataset[[#This Row],[Latitude]]))+COS(RADIANS(MyLat))*COS(RADIANS(EVCleanedDataset[[#This Row],[Latitude]]))*COS(RADIANS(EVCleanedDataset[[#This Row],[Longitude]]-MyLong)))</f>
        <v>695.99145746750628</v>
      </c>
      <c r="J834">
        <f t="shared" si="25"/>
        <v>8</v>
      </c>
      <c r="K834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31.151237470456834</v>
      </c>
      <c r="L834" t="str">
        <f>IF(EVCleanedDataset[[#This Row],[Score]]&gt;50,"Yes","No")</f>
        <v>No</v>
      </c>
    </row>
    <row r="835" spans="1:12" x14ac:dyDescent="0.3">
      <c r="A835" t="s">
        <v>3171</v>
      </c>
      <c r="B835" t="s">
        <v>115</v>
      </c>
      <c r="C835" t="s">
        <v>1163</v>
      </c>
      <c r="D835">
        <v>17.41406061</v>
      </c>
      <c r="E835">
        <v>78.457780470000003</v>
      </c>
      <c r="F835">
        <f>IF(COUNTIF($C$5:C835,C835)=1,1,0)</f>
        <v>0</v>
      </c>
      <c r="G835" s="2" t="str">
        <f t="shared" si="24"/>
        <v/>
      </c>
      <c r="H835" s="2">
        <f>MAX(0, MyBattery - (EVCleanedDataset[[#This Row],[Distance(km)]]/VehicleRangeKm)*100)</f>
        <v>0</v>
      </c>
      <c r="I835" s="2">
        <f>6371*ACOS(SIN(RADIANS(MyLat))*SIN(RADIANS(EVCleanedDataset[[#This Row],[Latitude]]))+COS(RADIANS(MyLat))*COS(RADIANS(EVCleanedDataset[[#This Row],[Latitude]]))*COS(RADIANS(EVCleanedDataset[[#This Row],[Longitude]]-MyLong)))</f>
        <v>462.63861889781191</v>
      </c>
      <c r="J835">
        <f t="shared" si="25"/>
        <v>5</v>
      </c>
      <c r="K835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45.238471216499498</v>
      </c>
      <c r="L835" t="str">
        <f>IF(EVCleanedDataset[[#This Row],[Score]]&gt;50,"Yes","No")</f>
        <v>No</v>
      </c>
    </row>
    <row r="836" spans="1:12" x14ac:dyDescent="0.3">
      <c r="A836" t="s">
        <v>2867</v>
      </c>
      <c r="B836" t="s">
        <v>41</v>
      </c>
      <c r="C836" t="s">
        <v>42</v>
      </c>
      <c r="D836">
        <v>18.523156700000001</v>
      </c>
      <c r="E836">
        <v>73.847692899999998</v>
      </c>
      <c r="F836">
        <f>IF(COUNTIF($C$5:C836,C836)=1,1,0)</f>
        <v>0</v>
      </c>
      <c r="G836" s="2" t="str">
        <f t="shared" si="24"/>
        <v/>
      </c>
      <c r="H836" s="2">
        <f>MAX(0, MyBattery - (EVCleanedDataset[[#This Row],[Distance(km)]]/VehicleRangeKm)*100)</f>
        <v>0</v>
      </c>
      <c r="I836" s="2">
        <f>6371*ACOS(SIN(RADIANS(MyLat))*SIN(RADIANS(EVCleanedDataset[[#This Row],[Latitude]]))+COS(RADIANS(MyLat))*COS(RADIANS(EVCleanedDataset[[#This Row],[Latitude]]))*COS(RADIANS(EVCleanedDataset[[#This Row],[Longitude]]-MyLong)))</f>
        <v>697.50397110826168</v>
      </c>
      <c r="J836">
        <f t="shared" si="25"/>
        <v>2</v>
      </c>
      <c r="K836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51.12476547787341</v>
      </c>
      <c r="L836" t="str">
        <f>IF(EVCleanedDataset[[#This Row],[Score]]&gt;50,"Yes","No")</f>
        <v>Yes</v>
      </c>
    </row>
    <row r="837" spans="1:12" x14ac:dyDescent="0.3">
      <c r="A837" t="s">
        <v>2779</v>
      </c>
      <c r="B837" t="s">
        <v>41</v>
      </c>
      <c r="C837" t="s">
        <v>42</v>
      </c>
      <c r="D837">
        <v>18.538</v>
      </c>
      <c r="E837">
        <v>73.848500000000001</v>
      </c>
      <c r="F837">
        <f>IF(COUNTIF($C$5:C837,C837)=1,1,0)</f>
        <v>0</v>
      </c>
      <c r="G837" s="2" t="str">
        <f t="shared" ref="G837:G900" si="26">IF(F837=1, IF(C837=MyCity, "", _xlfn.MINIFS($I$5:$I$1121,$C$5:$C$1121,C837)), "")</f>
        <v/>
      </c>
      <c r="H837" s="2">
        <f>MAX(0, MyBattery - (EVCleanedDataset[[#This Row],[Distance(km)]]/VehicleRangeKm)*100)</f>
        <v>0</v>
      </c>
      <c r="I837" s="2">
        <f>6371*ACOS(SIN(RADIANS(MyLat))*SIN(RADIANS(EVCleanedDataset[[#This Row],[Latitude]]))+COS(RADIANS(MyLat))*COS(RADIANS(EVCleanedDataset[[#This Row],[Latitude]]))*COS(RADIANS(EVCleanedDataset[[#This Row],[Longitude]]-MyLong)))</f>
        <v>698.80852736165855</v>
      </c>
      <c r="J837">
        <f t="shared" ref="J837:J900" si="27">MOD(ROW()*7,10)</f>
        <v>9</v>
      </c>
      <c r="K837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27.768592569066247</v>
      </c>
      <c r="L837" t="str">
        <f>IF(EVCleanedDataset[[#This Row],[Score]]&gt;50,"Yes","No")</f>
        <v>No</v>
      </c>
    </row>
    <row r="838" spans="1:12" x14ac:dyDescent="0.3">
      <c r="A838" t="s">
        <v>1497</v>
      </c>
      <c r="B838" t="s">
        <v>115</v>
      </c>
      <c r="C838" t="s">
        <v>1498</v>
      </c>
      <c r="D838">
        <v>19.656025100000001</v>
      </c>
      <c r="E838">
        <v>78.529510000000002</v>
      </c>
      <c r="F838">
        <f>IF(COUNTIF($C$5:C838,C838)=1,1,0)</f>
        <v>1</v>
      </c>
      <c r="G838" s="2">
        <f t="shared" si="26"/>
        <v>709.21605550762422</v>
      </c>
      <c r="H838" s="2">
        <f>MAX(0, MyBattery - (EVCleanedDataset[[#This Row],[Distance(km)]]/VehicleRangeKm)*100)</f>
        <v>0</v>
      </c>
      <c r="I838" s="2">
        <f>6371*ACOS(SIN(RADIANS(MyLat))*SIN(RADIANS(EVCleanedDataset[[#This Row],[Latitude]]))+COS(RADIANS(MyLat))*COS(RADIANS(EVCleanedDataset[[#This Row],[Latitude]]))*COS(RADIANS(EVCleanedDataset[[#This Row],[Longitude]]-MyLong)))</f>
        <v>709.21605550762422</v>
      </c>
      <c r="J838">
        <f t="shared" si="27"/>
        <v>6</v>
      </c>
      <c r="K838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37.586312538070572</v>
      </c>
      <c r="L838" t="str">
        <f>IF(EVCleanedDataset[[#This Row],[Score]]&gt;50,"Yes","No")</f>
        <v>No</v>
      </c>
    </row>
    <row r="839" spans="1:12" x14ac:dyDescent="0.3">
      <c r="A839" t="s">
        <v>2314</v>
      </c>
      <c r="B839" t="s">
        <v>115</v>
      </c>
      <c r="C839" t="s">
        <v>1163</v>
      </c>
      <c r="D839">
        <v>17.364899999999999</v>
      </c>
      <c r="E839">
        <v>78.557469999999995</v>
      </c>
      <c r="F839">
        <f>IF(COUNTIF($C$5:C839,C839)=1,1,0)</f>
        <v>0</v>
      </c>
      <c r="G839" s="2" t="str">
        <f t="shared" si="26"/>
        <v/>
      </c>
      <c r="H839" s="2">
        <f>MAX(0, MyBattery - (EVCleanedDataset[[#This Row],[Distance(km)]]/VehicleRangeKm)*100)</f>
        <v>0</v>
      </c>
      <c r="I839" s="2">
        <f>6371*ACOS(SIN(RADIANS(MyLat))*SIN(RADIANS(EVCleanedDataset[[#This Row],[Latitude]]))+COS(RADIANS(MyLat))*COS(RADIANS(EVCleanedDataset[[#This Row],[Latitude]]))*COS(RADIANS(EVCleanedDataset[[#This Row],[Longitude]]-MyLong)))</f>
        <v>459.72579586911974</v>
      </c>
      <c r="J839">
        <f t="shared" si="27"/>
        <v>3</v>
      </c>
      <c r="K839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51.956196587390465</v>
      </c>
      <c r="L839" t="str">
        <f>IF(EVCleanedDataset[[#This Row],[Score]]&gt;50,"Yes","No")</f>
        <v>Yes</v>
      </c>
    </row>
    <row r="840" spans="1:12" x14ac:dyDescent="0.3">
      <c r="A840" t="s">
        <v>2866</v>
      </c>
      <c r="B840" t="s">
        <v>41</v>
      </c>
      <c r="C840" t="s">
        <v>42</v>
      </c>
      <c r="D840">
        <v>18.588767799999999</v>
      </c>
      <c r="E840">
        <v>73.782523100000006</v>
      </c>
      <c r="F840">
        <f>IF(COUNTIF($C$5:C840,C840)=1,1,0)</f>
        <v>0</v>
      </c>
      <c r="G840" s="2" t="str">
        <f t="shared" si="26"/>
        <v/>
      </c>
      <c r="H840" s="2">
        <f>MAX(0, MyBattery - (EVCleanedDataset[[#This Row],[Distance(km)]]/VehicleRangeKm)*100)</f>
        <v>0</v>
      </c>
      <c r="I840" s="2">
        <f>6371*ACOS(SIN(RADIANS(MyLat))*SIN(RADIANS(EVCleanedDataset[[#This Row],[Latitude]]))+COS(RADIANS(MyLat))*COS(RADIANS(EVCleanedDataset[[#This Row],[Latitude]]))*COS(RADIANS(EVCleanedDataset[[#This Row],[Longitude]]-MyLong)))</f>
        <v>707.42142436065001</v>
      </c>
      <c r="J840">
        <f t="shared" si="27"/>
        <v>0</v>
      </c>
      <c r="K840" s="5">
        <f>((1-(EVCleanedDataset[[#This Row],[Distance(km)]]/MAX($I$5:$I$1121)))*0.4 + (1-(EVCleanedDataset[[#This Row],[QueueLength]]/MAX($J$5:$J$1121)))*0.3 + (EVCleanedDataset[[#This Row],[EstimatedBatteryOnArrival]]/100)*0.3 + (ROW()/10000000))*100</f>
        <v>57.617765877747338</v>
      </c>
      <c r="L840" t="str">
        <f>IF(EVCleanedDataset[[#This Row],[Score]]&gt;50,"Yes","No")</f>
        <v>Yes</v>
      </c>
    </row>
    <row r="841" spans="1:12" x14ac:dyDescent="0.3">
      <c r="A841" t="s">
        <v>2215</v>
      </c>
      <c r="B841" t="s">
        <v>115</v>
      </c>
      <c r="C841" t="s">
        <v>1163</v>
      </c>
      <c r="D841">
        <v>17.499345000000002</v>
      </c>
      <c r="E841">
        <v>78.541865999999999</v>
      </c>
      <c r="F841">
        <f>IF(COUNTIF($C$5:C841,C841)=1,1,0)</f>
        <v>0</v>
      </c>
      <c r="G841" s="2" t="str">
        <f t="shared" si="26"/>
        <v/>
      </c>
      <c r="H841" s="2">
        <f>MAX(0, MyBattery - (EVCleanedDataset[[#This Row],[Distance(km)]]/VehicleRangeKm)*100)</f>
        <v>0</v>
      </c>
      <c r="I841" s="2">
        <f>6371*ACOS(SIN(RADIANS(MyLat))*SIN(RADIANS(EVCleanedDataset[[#This Row],[Latitude]]))+COS(RADIANS(MyLat))*COS(RADIANS(EVCleanedDataset[[#This Row],[Latitude]]))*COS(RADIANS(EVCleanedDataset[[#This Row],[Longitude]]-MyLong)))</f>
        <v>473.86860287795156</v>
      </c>
      <c r="J841">
        <f t="shared" si="27"/>
        <v>7</v>
      </c>
      <c r="K841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38.375169032981006</v>
      </c>
      <c r="L841" t="str">
        <f>IF(EVCleanedDataset[[#This Row],[Score]]&gt;50,"Yes","No")</f>
        <v>No</v>
      </c>
    </row>
    <row r="842" spans="1:12" x14ac:dyDescent="0.3">
      <c r="A842" t="s">
        <v>1379</v>
      </c>
      <c r="B842" t="s">
        <v>313</v>
      </c>
      <c r="C842" t="s">
        <v>1380</v>
      </c>
      <c r="D842">
        <v>20.9187324</v>
      </c>
      <c r="E842">
        <v>86.216982700000003</v>
      </c>
      <c r="F842">
        <f>IF(COUNTIF($C$5:C842,C842)=1,1,0)</f>
        <v>1</v>
      </c>
      <c r="G842" s="2">
        <f t="shared" si="26"/>
        <v>1247.9310015140688</v>
      </c>
      <c r="H842" s="2">
        <f>MAX(0, MyBattery - (EVCleanedDataset[[#This Row],[Distance(km)]]/VehicleRangeKm)*100)</f>
        <v>0</v>
      </c>
      <c r="I842" s="2">
        <f>6371*ACOS(SIN(RADIANS(MyLat))*SIN(RADIANS(EVCleanedDataset[[#This Row],[Latitude]]))+COS(RADIANS(MyLat))*COS(RADIANS(EVCleanedDataset[[#This Row],[Latitude]]))*COS(RADIANS(EVCleanedDataset[[#This Row],[Longitude]]-MyLong)))</f>
        <v>1247.9310015140688</v>
      </c>
      <c r="J842">
        <f t="shared" si="27"/>
        <v>4</v>
      </c>
      <c r="K842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34.817314316116324</v>
      </c>
      <c r="L842" t="str">
        <f>IF(EVCleanedDataset[[#This Row],[Score]]&gt;50,"Yes","No")</f>
        <v>No</v>
      </c>
    </row>
    <row r="843" spans="1:12" x14ac:dyDescent="0.3">
      <c r="A843" t="s">
        <v>2847</v>
      </c>
      <c r="B843" t="s">
        <v>14</v>
      </c>
      <c r="C843" t="s">
        <v>269</v>
      </c>
      <c r="D843">
        <v>28.1967</v>
      </c>
      <c r="E843">
        <v>76.812799999999996</v>
      </c>
      <c r="F843">
        <f>IF(COUNTIF($C$5:C843,C843)=1,1,0)</f>
        <v>1</v>
      </c>
      <c r="G843" s="2">
        <f t="shared" si="26"/>
        <v>1652.6803534902524</v>
      </c>
      <c r="H843" s="2">
        <f>MAX(0, MyBattery - (EVCleanedDataset[[#This Row],[Distance(km)]]/VehicleRangeKm)*100)</f>
        <v>0</v>
      </c>
      <c r="I843" s="2">
        <f>6371*ACOS(SIN(RADIANS(MyLat))*SIN(RADIANS(EVCleanedDataset[[#This Row],[Latitude]]))+COS(RADIANS(MyLat))*COS(RADIANS(EVCleanedDataset[[#This Row],[Latitude]]))*COS(RADIANS(EVCleanedDataset[[#This Row],[Longitude]]-MyLong)))</f>
        <v>1652.6803534902524</v>
      </c>
      <c r="J843">
        <f t="shared" si="27"/>
        <v>1</v>
      </c>
      <c r="K84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37.728054810194486</v>
      </c>
      <c r="L843" t="str">
        <f>IF(EVCleanedDataset[[#This Row],[Score]]&gt;50,"Yes","No")</f>
        <v>No</v>
      </c>
    </row>
    <row r="844" spans="1:12" x14ac:dyDescent="0.3">
      <c r="A844" t="s">
        <v>3023</v>
      </c>
      <c r="B844" t="s">
        <v>14</v>
      </c>
      <c r="C844" t="s">
        <v>214</v>
      </c>
      <c r="D844">
        <v>20.923831499999999</v>
      </c>
      <c r="E844">
        <v>86.249428399999999</v>
      </c>
      <c r="F844">
        <f>IF(COUNTIF($C$5:C844,C844)=1,1,0)</f>
        <v>0</v>
      </c>
      <c r="G844" s="2" t="str">
        <f t="shared" si="26"/>
        <v/>
      </c>
      <c r="H844" s="2">
        <f>MAX(0, MyBattery - (EVCleanedDataset[[#This Row],[Distance(km)]]/VehicleRangeKm)*100)</f>
        <v>0</v>
      </c>
      <c r="I844" s="2">
        <f>6371*ACOS(SIN(RADIANS(MyLat))*SIN(RADIANS(EVCleanedDataset[[#This Row],[Latitude]]))+COS(RADIANS(MyLat))*COS(RADIANS(EVCleanedDataset[[#This Row],[Latitude]]))*COS(RADIANS(EVCleanedDataset[[#This Row],[Longitude]]-MyLong)))</f>
        <v>1250.8469481584066</v>
      </c>
      <c r="J844">
        <f t="shared" si="27"/>
        <v>8</v>
      </c>
      <c r="K844" s="5">
        <f>((1-(EVCleanedDataset[[#This Row],[Distance(km)]]/MAX($I$5:$I$1121)))*0.4 + (1-(EVCleanedDataset[[#This Row],[QueueLength]]/MAX($J$5:$J$1121)))*0.3 + (EVCleanedDataset[[#This Row],[EstimatedBatteryOnArrival]]/100)*0.3 + (ROW()/10000000))*100</f>
        <v>21.432927567777714</v>
      </c>
      <c r="L844" t="str">
        <f>IF(EVCleanedDataset[[#This Row],[Score]]&gt;50,"Yes","No")</f>
        <v>No</v>
      </c>
    </row>
    <row r="845" spans="1:12" x14ac:dyDescent="0.3">
      <c r="A845" t="s">
        <v>3043</v>
      </c>
      <c r="B845" t="s">
        <v>8</v>
      </c>
      <c r="C845" t="s">
        <v>9</v>
      </c>
      <c r="D845">
        <v>28.255471790000001</v>
      </c>
      <c r="E845">
        <v>77.050440210000005</v>
      </c>
      <c r="F845">
        <f>IF(COUNTIF($C$5:C845,C845)=1,1,0)</f>
        <v>0</v>
      </c>
      <c r="G845" s="2" t="str">
        <f t="shared" si="26"/>
        <v/>
      </c>
      <c r="H845" s="2">
        <f>MAX(0, MyBattery - (EVCleanedDataset[[#This Row],[Distance(km)]]/VehicleRangeKm)*100)</f>
        <v>0</v>
      </c>
      <c r="I845" s="2">
        <f>6371*ACOS(SIN(RADIANS(MyLat))*SIN(RADIANS(EVCleanedDataset[[#This Row],[Latitude]]))+COS(RADIANS(MyLat))*COS(RADIANS(EVCleanedDataset[[#This Row],[Latitude]]))*COS(RADIANS(EVCleanedDataset[[#This Row],[Longitude]]-MyLong)))</f>
        <v>1658.2776949700151</v>
      </c>
      <c r="J845">
        <f t="shared" si="27"/>
        <v>5</v>
      </c>
      <c r="K845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24.296702870812808</v>
      </c>
      <c r="L845" t="str">
        <f>IF(EVCleanedDataset[[#This Row],[Score]]&gt;50,"Yes","No")</f>
        <v>No</v>
      </c>
    </row>
    <row r="846" spans="1:12" x14ac:dyDescent="0.3">
      <c r="A846" t="s">
        <v>2844</v>
      </c>
      <c r="B846" t="s">
        <v>8</v>
      </c>
      <c r="C846" t="s">
        <v>3383</v>
      </c>
      <c r="D846">
        <v>30.2059</v>
      </c>
      <c r="E846">
        <v>76.857500000000002</v>
      </c>
      <c r="F846">
        <f>IF(COUNTIF($C$5:C846,C846)=1,1,0)</f>
        <v>1</v>
      </c>
      <c r="G846" s="2">
        <f t="shared" si="26"/>
        <v>1875.6893080192319</v>
      </c>
      <c r="H846" s="2">
        <f>MAX(0, MyBattery - (EVCleanedDataset[[#This Row],[Distance(km)]]/VehicleRangeKm)*100)</f>
        <v>0</v>
      </c>
      <c r="I846" s="2">
        <f>6371*ACOS(SIN(RADIANS(MyLat))*SIN(RADIANS(EVCleanedDataset[[#This Row],[Latitude]]))+COS(RADIANS(MyLat))*COS(RADIANS(EVCleanedDataset[[#This Row],[Latitude]]))*COS(RADIANS(EVCleanedDataset[[#This Row],[Longitude]]-MyLong)))</f>
        <v>1875.6893080192319</v>
      </c>
      <c r="J846">
        <f t="shared" si="27"/>
        <v>2</v>
      </c>
      <c r="K846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30.488703022006963</v>
      </c>
      <c r="L846" t="str">
        <f>IF(EVCleanedDataset[[#This Row],[Score]]&gt;50,"Yes","No")</f>
        <v>No</v>
      </c>
    </row>
    <row r="847" spans="1:12" x14ac:dyDescent="0.3">
      <c r="A847" t="s">
        <v>2497</v>
      </c>
      <c r="B847" t="s">
        <v>14</v>
      </c>
      <c r="C847" t="s">
        <v>2474</v>
      </c>
      <c r="D847">
        <v>24.574439999999999</v>
      </c>
      <c r="E847">
        <v>73.723510000000005</v>
      </c>
      <c r="F847">
        <f>IF(COUNTIF($C$5:C847,C847)=1,1,0)</f>
        <v>0</v>
      </c>
      <c r="G847" s="2" t="str">
        <f t="shared" si="26"/>
        <v/>
      </c>
      <c r="H847" s="2">
        <f>MAX(0, MyBattery - (EVCleanedDataset[[#This Row],[Distance(km)]]/VehicleRangeKm)*100)</f>
        <v>0</v>
      </c>
      <c r="I847" s="2">
        <f>6371*ACOS(SIN(RADIANS(MyLat))*SIN(RADIANS(EVCleanedDataset[[#This Row],[Latitude]]))+COS(RADIANS(MyLat))*COS(RADIANS(EVCleanedDataset[[#This Row],[Latitude]]))*COS(RADIANS(EVCleanedDataset[[#This Row],[Longitude]]-MyLong)))</f>
        <v>1310.7877634531781</v>
      </c>
      <c r="J847">
        <f t="shared" si="27"/>
        <v>9</v>
      </c>
      <c r="K847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17.049748324935024</v>
      </c>
      <c r="L847" t="str">
        <f>IF(EVCleanedDataset[[#This Row],[Score]]&gt;50,"Yes","No")</f>
        <v>No</v>
      </c>
    </row>
    <row r="848" spans="1:12" x14ac:dyDescent="0.3">
      <c r="A848" t="s">
        <v>2972</v>
      </c>
      <c r="B848" t="s">
        <v>511</v>
      </c>
      <c r="C848" t="s">
        <v>1136</v>
      </c>
      <c r="D848">
        <v>22.684835100000001</v>
      </c>
      <c r="E848">
        <v>75.855824900000002</v>
      </c>
      <c r="F848">
        <f>IF(COUNTIF($C$5:C848,C848)=1,1,0)</f>
        <v>0</v>
      </c>
      <c r="G848" s="2" t="str">
        <f t="shared" si="26"/>
        <v/>
      </c>
      <c r="H848" s="2">
        <f>MAX(0, MyBattery - (EVCleanedDataset[[#This Row],[Distance(km)]]/VehicleRangeKm)*100)</f>
        <v>0</v>
      </c>
      <c r="I848" s="2">
        <f>6371*ACOS(SIN(RADIANS(MyLat))*SIN(RADIANS(EVCleanedDataset[[#This Row],[Latitude]]))+COS(RADIANS(MyLat))*COS(RADIANS(EVCleanedDataset[[#This Row],[Latitude]]))*COS(RADIANS(EVCleanedDataset[[#This Row],[Longitude]]-MyLong)))</f>
        <v>1053.1612167950477</v>
      </c>
      <c r="J848">
        <f t="shared" si="27"/>
        <v>6</v>
      </c>
      <c r="K848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31.562141142157923</v>
      </c>
      <c r="L848" t="str">
        <f>IF(EVCleanedDataset[[#This Row],[Score]]&gt;50,"Yes","No")</f>
        <v>No</v>
      </c>
    </row>
    <row r="849" spans="1:12" x14ac:dyDescent="0.3">
      <c r="A849" t="s">
        <v>1033</v>
      </c>
      <c r="B849" t="s">
        <v>115</v>
      </c>
      <c r="C849" t="s">
        <v>1034</v>
      </c>
      <c r="D849">
        <v>16.991031</v>
      </c>
      <c r="E849">
        <v>79.440470000000005</v>
      </c>
      <c r="F849">
        <f>IF(COUNTIF($C$5:C849,C849)=1,1,0)</f>
        <v>1</v>
      </c>
      <c r="G849" s="2">
        <f t="shared" si="26"/>
        <v>453.52543853324852</v>
      </c>
      <c r="H849" s="2">
        <f>MAX(0, MyBattery - (EVCleanedDataset[[#This Row],[Distance(km)]]/VehicleRangeKm)*100)</f>
        <v>0</v>
      </c>
      <c r="I849" s="2">
        <f>6371*ACOS(SIN(RADIANS(MyLat))*SIN(RADIANS(EVCleanedDataset[[#This Row],[Latitude]]))+COS(RADIANS(MyLat))*COS(RADIANS(EVCleanedDataset[[#This Row],[Latitude]]))*COS(RADIANS(EVCleanedDataset[[#This Row],[Longitude]]-MyLong)))</f>
        <v>453.52543853324852</v>
      </c>
      <c r="J849">
        <f t="shared" si="27"/>
        <v>3</v>
      </c>
      <c r="K849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52.064897142208899</v>
      </c>
      <c r="L849" t="str">
        <f>IF(EVCleanedDataset[[#This Row],[Score]]&gt;50,"Yes","No")</f>
        <v>Yes</v>
      </c>
    </row>
    <row r="850" spans="1:12" x14ac:dyDescent="0.3">
      <c r="A850" t="s">
        <v>3272</v>
      </c>
      <c r="B850" t="s">
        <v>41</v>
      </c>
      <c r="C850" t="s">
        <v>2357</v>
      </c>
      <c r="D850">
        <v>28.323394</v>
      </c>
      <c r="E850">
        <v>76.901195999999999</v>
      </c>
      <c r="F850">
        <f>IF(COUNTIF($C$5:C850,C850)=1,1,0)</f>
        <v>1</v>
      </c>
      <c r="G850" s="2">
        <f t="shared" si="26"/>
        <v>1666.3653625531358</v>
      </c>
      <c r="H850" s="2">
        <f>MAX(0, MyBattery - (EVCleanedDataset[[#This Row],[Distance(km)]]/VehicleRangeKm)*100)</f>
        <v>0</v>
      </c>
      <c r="I850" s="2">
        <f>6371*ACOS(SIN(RADIANS(MyLat))*SIN(RADIANS(EVCleanedDataset[[#This Row],[Latitude]]))+COS(RADIANS(MyLat))*COS(RADIANS(EVCleanedDataset[[#This Row],[Latitude]]))*COS(RADIANS(EVCleanedDataset[[#This Row],[Longitude]]-MyLong)))</f>
        <v>1666.3653625531358</v>
      </c>
      <c r="J850">
        <f t="shared" si="27"/>
        <v>0</v>
      </c>
      <c r="K85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40.821762349169951</v>
      </c>
      <c r="L850" t="str">
        <f>IF(EVCleanedDataset[[#This Row],[Score]]&gt;50,"Yes","No")</f>
        <v>No</v>
      </c>
    </row>
    <row r="851" spans="1:12" x14ac:dyDescent="0.3">
      <c r="A851" t="s">
        <v>2657</v>
      </c>
      <c r="B851" t="s">
        <v>41</v>
      </c>
      <c r="C851" t="s">
        <v>125</v>
      </c>
      <c r="D851">
        <v>18.791048589999999</v>
      </c>
      <c r="E851">
        <v>73.298455410000003</v>
      </c>
      <c r="F851">
        <f>IF(COUNTIF($C$5:C851,C851)=1,1,0)</f>
        <v>0</v>
      </c>
      <c r="G851" s="2" t="str">
        <f t="shared" si="26"/>
        <v/>
      </c>
      <c r="H851" s="2">
        <f>MAX(0, MyBattery - (EVCleanedDataset[[#This Row],[Distance(km)]]/VehicleRangeKm)*100)</f>
        <v>0</v>
      </c>
      <c r="I851" s="2">
        <f>6371*ACOS(SIN(RADIANS(MyLat))*SIN(RADIANS(EVCleanedDataset[[#This Row],[Latitude]]))+COS(RADIANS(MyLat))*COS(RADIANS(EVCleanedDataset[[#This Row],[Latitude]]))*COS(RADIANS(EVCleanedDataset[[#This Row],[Longitude]]-MyLong)))</f>
        <v>755.72546877762341</v>
      </c>
      <c r="J851">
        <f t="shared" si="27"/>
        <v>7</v>
      </c>
      <c r="K851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33.438487109300937</v>
      </c>
      <c r="L851" t="str">
        <f>IF(EVCleanedDataset[[#This Row],[Score]]&gt;50,"Yes","No")</f>
        <v>No</v>
      </c>
    </row>
    <row r="852" spans="1:12" x14ac:dyDescent="0.3">
      <c r="A852" t="s">
        <v>3265</v>
      </c>
      <c r="B852" t="s">
        <v>511</v>
      </c>
      <c r="C852" t="s">
        <v>1136</v>
      </c>
      <c r="D852">
        <v>22.730722499999999</v>
      </c>
      <c r="E852">
        <v>75.8893731</v>
      </c>
      <c r="F852">
        <f>IF(COUNTIF($C$5:C852,C852)=1,1,0)</f>
        <v>0</v>
      </c>
      <c r="G852" s="2" t="str">
        <f t="shared" si="26"/>
        <v/>
      </c>
      <c r="H852" s="2">
        <f>MAX(0, MyBattery - (EVCleanedDataset[[#This Row],[Distance(km)]]/VehicleRangeKm)*100)</f>
        <v>0</v>
      </c>
      <c r="I852" s="2">
        <f>6371*ACOS(SIN(RADIANS(MyLat))*SIN(RADIANS(EVCleanedDataset[[#This Row],[Latitude]]))+COS(RADIANS(MyLat))*COS(RADIANS(EVCleanedDataset[[#This Row],[Latitude]]))*COS(RADIANS(EVCleanedDataset[[#This Row],[Longitude]]-MyLong)))</f>
        <v>1057.5981664355834</v>
      </c>
      <c r="J852">
        <f t="shared" si="27"/>
        <v>4</v>
      </c>
      <c r="K852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38.151133708400749</v>
      </c>
      <c r="L852" t="str">
        <f>IF(EVCleanedDataset[[#This Row],[Score]]&gt;50,"Yes","No")</f>
        <v>No</v>
      </c>
    </row>
    <row r="853" spans="1:12" x14ac:dyDescent="0.3">
      <c r="A853" t="s">
        <v>2794</v>
      </c>
      <c r="B853" t="s">
        <v>8</v>
      </c>
      <c r="C853" t="s">
        <v>9</v>
      </c>
      <c r="D853">
        <v>28.363900000000001</v>
      </c>
      <c r="E853">
        <v>76.960700000000003</v>
      </c>
      <c r="F853">
        <f>IF(COUNTIF($C$5:C853,C853)=1,1,0)</f>
        <v>0</v>
      </c>
      <c r="G853" s="2" t="str">
        <f t="shared" si="26"/>
        <v/>
      </c>
      <c r="H853" s="2">
        <f>MAX(0, MyBattery - (EVCleanedDataset[[#This Row],[Distance(km)]]/VehicleRangeKm)*100)</f>
        <v>0</v>
      </c>
      <c r="I853" s="2">
        <f>6371*ACOS(SIN(RADIANS(MyLat))*SIN(RADIANS(EVCleanedDataset[[#This Row],[Latitude]]))+COS(RADIANS(MyLat))*COS(RADIANS(EVCleanedDataset[[#This Row],[Latitude]]))*COS(RADIANS(EVCleanedDataset[[#This Row],[Longitude]]-MyLong)))</f>
        <v>1670.6341760955461</v>
      </c>
      <c r="J853">
        <f t="shared" si="27"/>
        <v>1</v>
      </c>
      <c r="K85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37.413689854317475</v>
      </c>
      <c r="L853" t="str">
        <f>IF(EVCleanedDataset[[#This Row],[Score]]&gt;50,"Yes","No")</f>
        <v>No</v>
      </c>
    </row>
    <row r="854" spans="1:12" x14ac:dyDescent="0.3">
      <c r="A854" t="s">
        <v>858</v>
      </c>
      <c r="B854" t="s">
        <v>8</v>
      </c>
      <c r="C854" t="s">
        <v>2329</v>
      </c>
      <c r="D854">
        <v>28.3520623</v>
      </c>
      <c r="E854">
        <v>77.300794199999999</v>
      </c>
      <c r="F854">
        <f>IF(COUNTIF($C$5:C854,C854)=1,1,0)</f>
        <v>0</v>
      </c>
      <c r="G854" s="2" t="str">
        <f t="shared" si="26"/>
        <v/>
      </c>
      <c r="H854" s="2">
        <f>MAX(0, MyBattery - (EVCleanedDataset[[#This Row],[Distance(km)]]/VehicleRangeKm)*100)</f>
        <v>0</v>
      </c>
      <c r="I854" s="2">
        <f>6371*ACOS(SIN(RADIANS(MyLat))*SIN(RADIANS(EVCleanedDataset[[#This Row],[Latitude]]))+COS(RADIANS(MyLat))*COS(RADIANS(EVCleanedDataset[[#This Row],[Latitude]]))*COS(RADIANS(EVCleanedDataset[[#This Row],[Longitude]]-MyLong)))</f>
        <v>1668.4311196368094</v>
      </c>
      <c r="J854">
        <f t="shared" si="27"/>
        <v>8</v>
      </c>
      <c r="K854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14.118953515370894</v>
      </c>
      <c r="L854" t="str">
        <f>IF(EVCleanedDataset[[#This Row],[Score]]&gt;50,"Yes","No")</f>
        <v>No</v>
      </c>
    </row>
    <row r="855" spans="1:12" x14ac:dyDescent="0.3">
      <c r="A855" t="s">
        <v>2328</v>
      </c>
      <c r="B855" t="s">
        <v>8</v>
      </c>
      <c r="C855" t="s">
        <v>2329</v>
      </c>
      <c r="D855">
        <v>28.41873</v>
      </c>
      <c r="E855">
        <v>77.311139999999995</v>
      </c>
      <c r="F855">
        <f>IF(COUNTIF($C$5:C855,C855)=1,1,0)</f>
        <v>0</v>
      </c>
      <c r="G855" s="2" t="str">
        <f t="shared" si="26"/>
        <v/>
      </c>
      <c r="H855" s="2">
        <f>MAX(0, MyBattery - (EVCleanedDataset[[#This Row],[Distance(km)]]/VehicleRangeKm)*100)</f>
        <v>0</v>
      </c>
      <c r="I855" s="2">
        <f>6371*ACOS(SIN(RADIANS(MyLat))*SIN(RADIANS(EVCleanedDataset[[#This Row],[Latitude]]))+COS(RADIANS(MyLat))*COS(RADIANS(EVCleanedDataset[[#This Row],[Latitude]]))*COS(RADIANS(EVCleanedDataset[[#This Row],[Longitude]]-MyLong)))</f>
        <v>1675.8280400618976</v>
      </c>
      <c r="J855">
        <f t="shared" si="27"/>
        <v>5</v>
      </c>
      <c r="K85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23.989404907923397</v>
      </c>
      <c r="L855" t="str">
        <f>IF(EVCleanedDataset[[#This Row],[Score]]&gt;50,"Yes","No")</f>
        <v>No</v>
      </c>
    </row>
    <row r="856" spans="1:12" x14ac:dyDescent="0.3">
      <c r="A856" t="s">
        <v>3369</v>
      </c>
      <c r="B856" t="s">
        <v>8</v>
      </c>
      <c r="C856" t="s">
        <v>9</v>
      </c>
      <c r="D856">
        <v>28.499700000000001</v>
      </c>
      <c r="E856">
        <v>77.0839</v>
      </c>
      <c r="F856">
        <f>IF(COUNTIF($C$5:C856,C856)=1,1,0)</f>
        <v>0</v>
      </c>
      <c r="G856" s="2" t="str">
        <f t="shared" si="26"/>
        <v/>
      </c>
      <c r="H856" s="2">
        <f>MAX(0, MyBattery - (EVCleanedDataset[[#This Row],[Distance(km)]]/VehicleRangeKm)*100)</f>
        <v>0</v>
      </c>
      <c r="I856" s="2">
        <f>6371*ACOS(SIN(RADIANS(MyLat))*SIN(RADIANS(EVCleanedDataset[[#This Row],[Latitude]]))+COS(RADIANS(MyLat))*COS(RADIANS(EVCleanedDataset[[#This Row],[Latitude]]))*COS(RADIANS(EVCleanedDataset[[#This Row],[Longitude]]-MyLong)))</f>
        <v>1685.3209433766153</v>
      </c>
      <c r="J856">
        <f t="shared" si="27"/>
        <v>2</v>
      </c>
      <c r="K85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33.823144722034009</v>
      </c>
      <c r="L856" t="str">
        <f>IF(EVCleanedDataset[[#This Row],[Score]]&gt;50,"Yes","No")</f>
        <v>No</v>
      </c>
    </row>
    <row r="857" spans="1:12" x14ac:dyDescent="0.3">
      <c r="A857" t="s">
        <v>915</v>
      </c>
      <c r="B857" t="s">
        <v>64</v>
      </c>
      <c r="C857" t="s">
        <v>65</v>
      </c>
      <c r="D857">
        <v>30.338256099999999</v>
      </c>
      <c r="E857">
        <v>78.058454100000006</v>
      </c>
      <c r="F857">
        <f>IF(COUNTIF($C$5:C857,C857)=1,1,0)</f>
        <v>0</v>
      </c>
      <c r="G857" s="2" t="str">
        <f t="shared" si="26"/>
        <v/>
      </c>
      <c r="H857" s="2">
        <f>MAX(0, MyBattery - (EVCleanedDataset[[#This Row],[Distance(km)]]/VehicleRangeKm)*100)</f>
        <v>0</v>
      </c>
      <c r="I857" s="2">
        <f>6371*ACOS(SIN(RADIANS(MyLat))*SIN(RADIANS(EVCleanedDataset[[#This Row],[Latitude]]))+COS(RADIANS(MyLat))*COS(RADIANS(EVCleanedDataset[[#This Row],[Latitude]]))*COS(RADIANS(EVCleanedDataset[[#This Row],[Longitude]]-MyLong)))</f>
        <v>1889.8626269697615</v>
      </c>
      <c r="J857">
        <f t="shared" si="27"/>
        <v>9</v>
      </c>
      <c r="K857" s="5">
        <f>((1-(EVCleanedDataset[[#This Row],[Distance(km)]]/MAX($I$5:$I$1121)))*0.4 + (1-(EVCleanedDataset[[#This Row],[QueueLength]]/MAX($J$5:$J$1121)))*0.3 + (EVCleanedDataset[[#This Row],[EstimatedBatteryOnArrival]]/100)*0.3 + (ROW()/10000000))*100</f>
        <v>6.9072310445606497</v>
      </c>
      <c r="L857" t="str">
        <f>IF(EVCleanedDataset[[#This Row],[Score]]&gt;50,"Yes","No")</f>
        <v>No</v>
      </c>
    </row>
    <row r="858" spans="1:12" x14ac:dyDescent="0.3">
      <c r="A858" t="s">
        <v>3371</v>
      </c>
      <c r="B858" t="s">
        <v>45</v>
      </c>
      <c r="C858" t="s">
        <v>45</v>
      </c>
      <c r="D858">
        <v>28.549479900000001</v>
      </c>
      <c r="E858">
        <v>77.121370200000001</v>
      </c>
      <c r="F858">
        <f>IF(COUNTIF($C$5:C858,C858)=1,1,0)</f>
        <v>0</v>
      </c>
      <c r="G858" s="2" t="str">
        <f t="shared" si="26"/>
        <v/>
      </c>
      <c r="H858" s="2">
        <f>MAX(0, MyBattery - (EVCleanedDataset[[#This Row],[Distance(km)]]/VehicleRangeKm)*100)</f>
        <v>0</v>
      </c>
      <c r="I858" s="2">
        <f>6371*ACOS(SIN(RADIANS(MyLat))*SIN(RADIANS(EVCleanedDataset[[#This Row],[Latitude]]))+COS(RADIANS(MyLat))*COS(RADIANS(EVCleanedDataset[[#This Row],[Latitude]]))*COS(RADIANS(EVCleanedDataset[[#This Row],[Longitude]]-MyLong)))</f>
        <v>1690.7507746285087</v>
      </c>
      <c r="J858">
        <f t="shared" si="27"/>
        <v>6</v>
      </c>
      <c r="K85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20.394726759308668</v>
      </c>
      <c r="L858" t="str">
        <f>IF(EVCleanedDataset[[#This Row],[Score]]&gt;50,"Yes","No")</f>
        <v>No</v>
      </c>
    </row>
    <row r="859" spans="1:12" x14ac:dyDescent="0.3">
      <c r="A859" t="s">
        <v>3077</v>
      </c>
      <c r="B859" t="s">
        <v>45</v>
      </c>
      <c r="C859" t="s">
        <v>45</v>
      </c>
      <c r="D859">
        <v>28.548733769999998</v>
      </c>
      <c r="E859">
        <v>77.196579630000002</v>
      </c>
      <c r="F859">
        <f>IF(COUNTIF($C$5:C859,C859)=1,1,0)</f>
        <v>0</v>
      </c>
      <c r="G859" s="2" t="str">
        <f t="shared" si="26"/>
        <v/>
      </c>
      <c r="H859" s="2">
        <f>MAX(0, MyBattery - (EVCleanedDataset[[#This Row],[Distance(km)]]/VehicleRangeKm)*100)</f>
        <v>0</v>
      </c>
      <c r="I859" s="2">
        <f>6371*ACOS(SIN(RADIANS(MyLat))*SIN(RADIANS(EVCleanedDataset[[#This Row],[Latitude]]))+COS(RADIANS(MyLat))*COS(RADIANS(EVCleanedDataset[[#This Row],[Latitude]]))*COS(RADIANS(EVCleanedDataset[[#This Row],[Longitude]]-MyLong)))</f>
        <v>1690.4877781456621</v>
      </c>
      <c r="J859">
        <f t="shared" si="27"/>
        <v>3</v>
      </c>
      <c r="K85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30.399343197680729</v>
      </c>
      <c r="L859" t="str">
        <f>IF(EVCleanedDataset[[#This Row],[Score]]&gt;50,"Yes","No")</f>
        <v>No</v>
      </c>
    </row>
    <row r="860" spans="1:12" x14ac:dyDescent="0.3">
      <c r="A860" t="s">
        <v>1140</v>
      </c>
      <c r="B860" t="s">
        <v>463</v>
      </c>
      <c r="C860" t="s">
        <v>1141</v>
      </c>
      <c r="D860">
        <v>23.663888</v>
      </c>
      <c r="E860">
        <v>87.057978000000006</v>
      </c>
      <c r="F860">
        <f>IF(COUNTIF($C$5:C860,C860)=1,1,0)</f>
        <v>0</v>
      </c>
      <c r="G860" s="2" t="str">
        <f t="shared" si="26"/>
        <v/>
      </c>
      <c r="H860" s="2">
        <f>MAX(0, MyBattery - (EVCleanedDataset[[#This Row],[Distance(km)]]/VehicleRangeKm)*100)</f>
        <v>0</v>
      </c>
      <c r="I860" s="2">
        <f>6371*ACOS(SIN(RADIANS(MyLat))*SIN(RADIANS(EVCleanedDataset[[#This Row],[Latitude]]))+COS(RADIANS(MyLat))*COS(RADIANS(EVCleanedDataset[[#This Row],[Latitude]]))*COS(RADIANS(EVCleanedDataset[[#This Row],[Longitude]]-MyLong)))</f>
        <v>1522.9576997656766</v>
      </c>
      <c r="J860">
        <f t="shared" si="27"/>
        <v>0</v>
      </c>
      <c r="K860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43.333677539857341</v>
      </c>
      <c r="L860" t="str">
        <f>IF(EVCleanedDataset[[#This Row],[Score]]&gt;50,"Yes","No")</f>
        <v>No</v>
      </c>
    </row>
    <row r="861" spans="1:12" x14ac:dyDescent="0.3">
      <c r="A861" t="s">
        <v>2770</v>
      </c>
      <c r="B861" t="s">
        <v>41</v>
      </c>
      <c r="C861" t="s">
        <v>2705</v>
      </c>
      <c r="D861">
        <v>18.981639999999999</v>
      </c>
      <c r="E861">
        <v>73.115549999999999</v>
      </c>
      <c r="F861">
        <f>IF(COUNTIF($C$5:C861,C861)=1,1,0)</f>
        <v>1</v>
      </c>
      <c r="G861" s="2">
        <f t="shared" si="26"/>
        <v>784.2551354143061</v>
      </c>
      <c r="H861" s="2">
        <f>MAX(0, MyBattery - (EVCleanedDataset[[#This Row],[Distance(km)]]/VehicleRangeKm)*100)</f>
        <v>0</v>
      </c>
      <c r="I861" s="2">
        <f>6371*ACOS(SIN(RADIANS(MyLat))*SIN(RADIANS(EVCleanedDataset[[#This Row],[Latitude]]))+COS(RADIANS(MyLat))*COS(RADIANS(EVCleanedDataset[[#This Row],[Latitude]]))*COS(RADIANS(EVCleanedDataset[[#This Row],[Longitude]]-MyLong)))</f>
        <v>784.2551354143061</v>
      </c>
      <c r="J861">
        <f t="shared" si="27"/>
        <v>7</v>
      </c>
      <c r="K861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32.938884034511453</v>
      </c>
      <c r="L861" t="str">
        <f>IF(EVCleanedDataset[[#This Row],[Score]]&gt;50,"Yes","No")</f>
        <v>No</v>
      </c>
    </row>
    <row r="862" spans="1:12" x14ac:dyDescent="0.3">
      <c r="A862" t="s">
        <v>3102</v>
      </c>
      <c r="B862" t="s">
        <v>45</v>
      </c>
      <c r="C862" t="s">
        <v>46</v>
      </c>
      <c r="D862">
        <v>28.549542299999999</v>
      </c>
      <c r="E862">
        <v>77.254569900000007</v>
      </c>
      <c r="F862">
        <f>IF(COUNTIF($C$5:C862,C862)=1,1,0)</f>
        <v>0</v>
      </c>
      <c r="G862" s="2" t="str">
        <f t="shared" si="26"/>
        <v/>
      </c>
      <c r="H862" s="2">
        <f>MAX(0, MyBattery - (EVCleanedDataset[[#This Row],[Distance(km)]]/VehicleRangeKm)*100)</f>
        <v>0</v>
      </c>
      <c r="I862" s="2">
        <f>6371*ACOS(SIN(RADIANS(MyLat))*SIN(RADIANS(EVCleanedDataset[[#This Row],[Latitude]]))+COS(RADIANS(MyLat))*COS(RADIANS(EVCleanedDataset[[#This Row],[Latitude]]))*COS(RADIANS(EVCleanedDataset[[#This Row],[Longitude]]-MyLong)))</f>
        <v>1690.46324860763</v>
      </c>
      <c r="J862">
        <f t="shared" si="27"/>
        <v>4</v>
      </c>
      <c r="K86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27.066469504333508</v>
      </c>
      <c r="L862" t="str">
        <f>IF(EVCleanedDataset[[#This Row],[Score]]&gt;50,"Yes","No")</f>
        <v>No</v>
      </c>
    </row>
    <row r="863" spans="1:12" x14ac:dyDescent="0.3">
      <c r="A863" t="s">
        <v>3049</v>
      </c>
      <c r="B863" t="s">
        <v>18</v>
      </c>
      <c r="C863" t="s">
        <v>259</v>
      </c>
      <c r="D863">
        <v>28.54498268</v>
      </c>
      <c r="E863">
        <v>77.39461034</v>
      </c>
      <c r="F863">
        <f>IF(COUNTIF($C$5:C863,C863)=1,1,0)</f>
        <v>0</v>
      </c>
      <c r="G863" s="2" t="str">
        <f t="shared" si="26"/>
        <v/>
      </c>
      <c r="H863" s="2">
        <f>MAX(0, MyBattery - (EVCleanedDataset[[#This Row],[Distance(km)]]/VehicleRangeKm)*100)</f>
        <v>0</v>
      </c>
      <c r="I863" s="2">
        <f>6371*ACOS(SIN(RADIANS(MyLat))*SIN(RADIANS(EVCleanedDataset[[#This Row],[Latitude]]))+COS(RADIANS(MyLat))*COS(RADIANS(EVCleanedDataset[[#This Row],[Latitude]]))*COS(RADIANS(EVCleanedDataset[[#This Row],[Longitude]]-MyLong)))</f>
        <v>1689.7676558128699</v>
      </c>
      <c r="J863">
        <f t="shared" si="27"/>
        <v>1</v>
      </c>
      <c r="K86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37.078662957535734</v>
      </c>
      <c r="L863" t="str">
        <f>IF(EVCleanedDataset[[#This Row],[Score]]&gt;50,"Yes","No")</f>
        <v>No</v>
      </c>
    </row>
    <row r="864" spans="1:12" x14ac:dyDescent="0.3">
      <c r="A864" t="s">
        <v>3108</v>
      </c>
      <c r="B864" t="s">
        <v>45</v>
      </c>
      <c r="C864" t="s">
        <v>46</v>
      </c>
      <c r="D864">
        <v>28.577298290000002</v>
      </c>
      <c r="E864">
        <v>77.196908649999997</v>
      </c>
      <c r="F864">
        <f>IF(COUNTIF($C$5:C864,C864)=1,1,0)</f>
        <v>0</v>
      </c>
      <c r="G864" s="2" t="str">
        <f t="shared" si="26"/>
        <v/>
      </c>
      <c r="H864" s="2">
        <f>MAX(0, MyBattery - (EVCleanedDataset[[#This Row],[Distance(km)]]/VehicleRangeKm)*100)</f>
        <v>0</v>
      </c>
      <c r="I864" s="2">
        <f>6371*ACOS(SIN(RADIANS(MyLat))*SIN(RADIANS(EVCleanedDataset[[#This Row],[Latitude]]))+COS(RADIANS(MyLat))*COS(RADIANS(EVCleanedDataset[[#This Row],[Latitude]]))*COS(RADIANS(EVCleanedDataset[[#This Row],[Longitude]]-MyLong)))</f>
        <v>1693.6625274479413</v>
      </c>
      <c r="J864">
        <f t="shared" si="27"/>
        <v>8</v>
      </c>
      <c r="K86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13.67712013335658</v>
      </c>
      <c r="L864" t="str">
        <f>IF(EVCleanedDataset[[#This Row],[Score]]&gt;50,"Yes","No")</f>
        <v>No</v>
      </c>
    </row>
    <row r="865" spans="1:12" x14ac:dyDescent="0.3">
      <c r="A865" t="s">
        <v>3242</v>
      </c>
      <c r="B865" t="s">
        <v>45</v>
      </c>
      <c r="C865" t="s">
        <v>45</v>
      </c>
      <c r="D865">
        <v>28.58342</v>
      </c>
      <c r="E865">
        <v>77.191318999999993</v>
      </c>
      <c r="F865">
        <f>IF(COUNTIF($C$5:C865,C865)=1,1,0)</f>
        <v>0</v>
      </c>
      <c r="G865" s="2" t="str">
        <f t="shared" si="26"/>
        <v/>
      </c>
      <c r="H865" s="2">
        <f>MAX(0, MyBattery - (EVCleanedDataset[[#This Row],[Distance(km)]]/VehicleRangeKm)*100)</f>
        <v>0</v>
      </c>
      <c r="I865" s="2">
        <f>6371*ACOS(SIN(RADIANS(MyLat))*SIN(RADIANS(EVCleanedDataset[[#This Row],[Latitude]]))+COS(RADIANS(MyLat))*COS(RADIANS(EVCleanedDataset[[#This Row],[Latitude]]))*COS(RADIANS(EVCleanedDataset[[#This Row],[Longitude]]-MyLong)))</f>
        <v>1694.3551753124236</v>
      </c>
      <c r="J865">
        <f t="shared" si="27"/>
        <v>5</v>
      </c>
      <c r="K86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23.664998261223761</v>
      </c>
      <c r="L865" t="str">
        <f>IF(EVCleanedDataset[[#This Row],[Score]]&gt;50,"Yes","No")</f>
        <v>No</v>
      </c>
    </row>
    <row r="866" spans="1:12" x14ac:dyDescent="0.3">
      <c r="A866" t="s">
        <v>2770</v>
      </c>
      <c r="B866" t="s">
        <v>41</v>
      </c>
      <c r="C866" t="s">
        <v>1013</v>
      </c>
      <c r="D866">
        <v>19.26433634</v>
      </c>
      <c r="E866">
        <v>74.827199739999998</v>
      </c>
      <c r="F866">
        <f>IF(COUNTIF($C$5:C866,C866)=1,1,0)</f>
        <v>0</v>
      </c>
      <c r="G866" s="2" t="str">
        <f t="shared" si="26"/>
        <v/>
      </c>
      <c r="H866" s="2">
        <f>MAX(0, MyBattery - (EVCleanedDataset[[#This Row],[Distance(km)]]/VehicleRangeKm)*100)</f>
        <v>0</v>
      </c>
      <c r="I866" s="2">
        <f>6371*ACOS(SIN(RADIANS(MyLat))*SIN(RADIANS(EVCleanedDataset[[#This Row],[Latitude]]))+COS(RADIANS(MyLat))*COS(RADIANS(EVCleanedDataset[[#This Row],[Latitude]]))*COS(RADIANS(EVCleanedDataset[[#This Row],[Longitude]]-MyLong)))</f>
        <v>718.46727946156477</v>
      </c>
      <c r="J866">
        <f t="shared" si="27"/>
        <v>2</v>
      </c>
      <c r="K866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50.757888750037537</v>
      </c>
      <c r="L866" t="str">
        <f>IF(EVCleanedDataset[[#This Row],[Score]]&gt;50,"Yes","No")</f>
        <v>Yes</v>
      </c>
    </row>
    <row r="867" spans="1:12" x14ac:dyDescent="0.3">
      <c r="A867" t="s">
        <v>3131</v>
      </c>
      <c r="B867" t="s">
        <v>45</v>
      </c>
      <c r="C867" t="s">
        <v>46</v>
      </c>
      <c r="D867">
        <v>28.627038590000002</v>
      </c>
      <c r="E867">
        <v>77.231895910000006</v>
      </c>
      <c r="F867">
        <f>IF(COUNTIF($C$5:C867,C867)=1,1,0)</f>
        <v>0</v>
      </c>
      <c r="G867" s="2" t="str">
        <f t="shared" si="26"/>
        <v/>
      </c>
      <c r="H867" s="2">
        <f>MAX(0, MyBattery - (EVCleanedDataset[[#This Row],[Distance(km)]]/VehicleRangeKm)*100)</f>
        <v>0</v>
      </c>
      <c r="I867" s="2">
        <f>6371*ACOS(SIN(RADIANS(MyLat))*SIN(RADIANS(EVCleanedDataset[[#This Row],[Latitude]]))+COS(RADIANS(MyLat))*COS(RADIANS(EVCleanedDataset[[#This Row],[Latitude]]))*COS(RADIANS(EVCleanedDataset[[#This Row],[Longitude]]-MyLong)))</f>
        <v>1699.1209668531767</v>
      </c>
      <c r="J867">
        <f t="shared" si="27"/>
        <v>9</v>
      </c>
      <c r="K86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10.2482110928454</v>
      </c>
      <c r="L867" t="str">
        <f>IF(EVCleanedDataset[[#This Row],[Score]]&gt;50,"Yes","No")</f>
        <v>No</v>
      </c>
    </row>
    <row r="868" spans="1:12" x14ac:dyDescent="0.3">
      <c r="A868" t="s">
        <v>3202</v>
      </c>
      <c r="B868" t="s">
        <v>45</v>
      </c>
      <c r="C868" t="s">
        <v>3382</v>
      </c>
      <c r="D868">
        <v>28.621449999999999</v>
      </c>
      <c r="E868">
        <v>77.293555999999995</v>
      </c>
      <c r="F868">
        <f>IF(COUNTIF($C$5:C868,C868)=1,1,0)</f>
        <v>1</v>
      </c>
      <c r="G868" s="2">
        <f t="shared" si="26"/>
        <v>1698.3930619418488</v>
      </c>
      <c r="H868" s="2">
        <f>MAX(0, MyBattery - (EVCleanedDataset[[#This Row],[Distance(km)]]/VehicleRangeKm)*100)</f>
        <v>0</v>
      </c>
      <c r="I868" s="2">
        <f>6371*ACOS(SIN(RADIANS(MyLat))*SIN(RADIANS(EVCleanedDataset[[#This Row],[Latitude]]))+COS(RADIANS(MyLat))*COS(RADIANS(EVCleanedDataset[[#This Row],[Latitude]]))*COS(RADIANS(EVCleanedDataset[[#This Row],[Longitude]]-MyLong)))</f>
        <v>1698.3930619418488</v>
      </c>
      <c r="J868">
        <f t="shared" si="27"/>
        <v>6</v>
      </c>
      <c r="K86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20.260970499523616</v>
      </c>
      <c r="L868" t="str">
        <f>IF(EVCleanedDataset[[#This Row],[Score]]&gt;50,"Yes","No")</f>
        <v>No</v>
      </c>
    </row>
    <row r="869" spans="1:12" x14ac:dyDescent="0.3">
      <c r="A869" t="s">
        <v>3134</v>
      </c>
      <c r="B869" t="s">
        <v>45</v>
      </c>
      <c r="C869" t="s">
        <v>46</v>
      </c>
      <c r="D869">
        <v>28.63143715</v>
      </c>
      <c r="E869">
        <v>77.223439909999996</v>
      </c>
      <c r="F869">
        <f>IF(COUNTIF($C$5:C869,C869)=1,1,0)</f>
        <v>0</v>
      </c>
      <c r="G869" s="2" t="str">
        <f t="shared" si="26"/>
        <v/>
      </c>
      <c r="H869" s="2">
        <f>MAX(0, MyBattery - (EVCleanedDataset[[#This Row],[Distance(km)]]/VehicleRangeKm)*100)</f>
        <v>0</v>
      </c>
      <c r="I869" s="2">
        <f>6371*ACOS(SIN(RADIANS(MyLat))*SIN(RADIANS(EVCleanedDataset[[#This Row],[Latitude]]))+COS(RADIANS(MyLat))*COS(RADIANS(EVCleanedDataset[[#This Row],[Latitude]]))*COS(RADIANS(EVCleanedDataset[[#This Row],[Longitude]]-MyLong)))</f>
        <v>1699.6264414940463</v>
      </c>
      <c r="J869">
        <f t="shared" si="27"/>
        <v>3</v>
      </c>
      <c r="K86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30.239377598849583</v>
      </c>
      <c r="L869" t="str">
        <f>IF(EVCleanedDataset[[#This Row],[Score]]&gt;50,"Yes","No")</f>
        <v>No</v>
      </c>
    </row>
    <row r="870" spans="1:12" x14ac:dyDescent="0.3">
      <c r="A870" t="s">
        <v>3135</v>
      </c>
      <c r="B870" t="s">
        <v>45</v>
      </c>
      <c r="C870" t="s">
        <v>46</v>
      </c>
      <c r="D870">
        <v>28.631959049999999</v>
      </c>
      <c r="E870">
        <v>77.222121720000004</v>
      </c>
      <c r="F870">
        <f>IF(COUNTIF($C$5:C870,C870)=1,1,0)</f>
        <v>0</v>
      </c>
      <c r="G870" s="2" t="str">
        <f t="shared" si="26"/>
        <v/>
      </c>
      <c r="H870" s="2">
        <f>MAX(0, MyBattery - (EVCleanedDataset[[#This Row],[Distance(km)]]/VehicleRangeKm)*100)</f>
        <v>0</v>
      </c>
      <c r="I870" s="2">
        <f>6371*ACOS(SIN(RADIANS(MyLat))*SIN(RADIANS(EVCleanedDataset[[#This Row],[Latitude]]))+COS(RADIANS(MyLat))*COS(RADIANS(EVCleanedDataset[[#This Row],[Latitude]]))*COS(RADIANS(EVCleanedDataset[[#This Row],[Longitude]]-MyLong)))</f>
        <v>1699.6870704092448</v>
      </c>
      <c r="J870">
        <f t="shared" si="27"/>
        <v>0</v>
      </c>
      <c r="K87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40.238325670726418</v>
      </c>
      <c r="L870" t="str">
        <f>IF(EVCleanedDataset[[#This Row],[Score]]&gt;50,"Yes","No")</f>
        <v>No</v>
      </c>
    </row>
    <row r="871" spans="1:12" x14ac:dyDescent="0.3">
      <c r="A871" t="s">
        <v>3148</v>
      </c>
      <c r="B871" t="s">
        <v>45</v>
      </c>
      <c r="C871" t="s">
        <v>46</v>
      </c>
      <c r="D871">
        <v>28.63259875</v>
      </c>
      <c r="E871">
        <v>77.218338270000004</v>
      </c>
      <c r="F871">
        <f>IF(COUNTIF($C$5:C871,C871)=1,1,0)</f>
        <v>0</v>
      </c>
      <c r="G871" s="2" t="str">
        <f t="shared" si="26"/>
        <v/>
      </c>
      <c r="H871" s="2">
        <f>MAX(0, MyBattery - (EVCleanedDataset[[#This Row],[Distance(km)]]/VehicleRangeKm)*100)</f>
        <v>0</v>
      </c>
      <c r="I871" s="2">
        <f>6371*ACOS(SIN(RADIANS(MyLat))*SIN(RADIANS(EVCleanedDataset[[#This Row],[Latitude]]))+COS(RADIANS(MyLat))*COS(RADIANS(EVCleanedDataset[[#This Row],[Latitude]]))*COS(RADIANS(EVCleanedDataset[[#This Row],[Longitude]]-MyLong)))</f>
        <v>1699.7657333237078</v>
      </c>
      <c r="J871">
        <f t="shared" si="27"/>
        <v>7</v>
      </c>
      <c r="K87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16.903624540003108</v>
      </c>
      <c r="L871" t="str">
        <f>IF(EVCleanedDataset[[#This Row],[Score]]&gt;50,"Yes","No")</f>
        <v>No</v>
      </c>
    </row>
    <row r="872" spans="1:12" x14ac:dyDescent="0.3">
      <c r="A872" t="s">
        <v>3133</v>
      </c>
      <c r="B872" t="s">
        <v>45</v>
      </c>
      <c r="C872" t="s">
        <v>46</v>
      </c>
      <c r="D872">
        <v>28.629817660000001</v>
      </c>
      <c r="E872">
        <v>77.225953469999993</v>
      </c>
      <c r="F872">
        <f>IF(COUNTIF($C$5:C872,C872)=1,1,0)</f>
        <v>0</v>
      </c>
      <c r="G872" s="2" t="str">
        <f t="shared" si="26"/>
        <v/>
      </c>
      <c r="H872" s="2">
        <f>MAX(0, MyBattery - (EVCleanedDataset[[#This Row],[Distance(km)]]/VehicleRangeKm)*100)</f>
        <v>0</v>
      </c>
      <c r="I872" s="2">
        <f>6371*ACOS(SIN(RADIANS(MyLat))*SIN(RADIANS(EVCleanedDataset[[#This Row],[Latitude]]))+COS(RADIANS(MyLat))*COS(RADIANS(EVCleanedDataset[[#This Row],[Latitude]]))*COS(RADIANS(EVCleanedDataset[[#This Row],[Longitude]]-MyLong)))</f>
        <v>1699.4414554601728</v>
      </c>
      <c r="J872">
        <f t="shared" si="27"/>
        <v>4</v>
      </c>
      <c r="K87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26.909314334567764</v>
      </c>
      <c r="L872" t="str">
        <f>IF(EVCleanedDataset[[#This Row],[Score]]&gt;50,"Yes","No")</f>
        <v>No</v>
      </c>
    </row>
    <row r="873" spans="1:12" x14ac:dyDescent="0.3">
      <c r="A873" t="s">
        <v>3146</v>
      </c>
      <c r="B873" t="s">
        <v>45</v>
      </c>
      <c r="C873" t="s">
        <v>46</v>
      </c>
      <c r="D873">
        <v>28.634551420000001</v>
      </c>
      <c r="E873">
        <v>77.217917360000001</v>
      </c>
      <c r="F873">
        <f>IF(COUNTIF($C$5:C873,C873)=1,1,0)</f>
        <v>0</v>
      </c>
      <c r="G873" s="2" t="str">
        <f t="shared" si="26"/>
        <v/>
      </c>
      <c r="H873" s="2">
        <f>MAX(0, MyBattery - (EVCleanedDataset[[#This Row],[Distance(km)]]/VehicleRangeKm)*100)</f>
        <v>0</v>
      </c>
      <c r="I873" s="2">
        <f>6371*ACOS(SIN(RADIANS(MyLat))*SIN(RADIANS(EVCleanedDataset[[#This Row],[Latitude]]))+COS(RADIANS(MyLat))*COS(RADIANS(EVCleanedDataset[[#This Row],[Latitude]]))*COS(RADIANS(EVCleanedDataset[[#This Row],[Longitude]]-MyLong)))</f>
        <v>1699.9836593950731</v>
      </c>
      <c r="J873">
        <f t="shared" si="27"/>
        <v>1</v>
      </c>
      <c r="K87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36.899827519309355</v>
      </c>
      <c r="L873" t="str">
        <f>IF(EVCleanedDataset[[#This Row],[Score]]&gt;50,"Yes","No")</f>
        <v>No</v>
      </c>
    </row>
    <row r="874" spans="1:12" x14ac:dyDescent="0.3">
      <c r="A874" t="s">
        <v>3145</v>
      </c>
      <c r="B874" t="s">
        <v>45</v>
      </c>
      <c r="C874" t="s">
        <v>46</v>
      </c>
      <c r="D874">
        <v>28.635180779999999</v>
      </c>
      <c r="E874">
        <v>77.219600470000003</v>
      </c>
      <c r="F874">
        <f>IF(COUNTIF($C$5:C874,C874)=1,1,0)</f>
        <v>0</v>
      </c>
      <c r="G874" s="2" t="str">
        <f t="shared" si="26"/>
        <v/>
      </c>
      <c r="H874" s="2">
        <f>MAX(0, MyBattery - (EVCleanedDataset[[#This Row],[Distance(km)]]/VehicleRangeKm)*100)</f>
        <v>0</v>
      </c>
      <c r="I874" s="2">
        <f>6371*ACOS(SIN(RADIANS(MyLat))*SIN(RADIANS(EVCleanedDataset[[#This Row],[Latitude]]))+COS(RADIANS(MyLat))*COS(RADIANS(EVCleanedDataset[[#This Row],[Latitude]]))*COS(RADIANS(EVCleanedDataset[[#This Row],[Longitude]]-MyLong)))</f>
        <v>1700.05025427794</v>
      </c>
      <c r="J874">
        <f t="shared" si="27"/>
        <v>8</v>
      </c>
      <c r="K87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13.565337762682066</v>
      </c>
      <c r="L874" t="str">
        <f>IF(EVCleanedDataset[[#This Row],[Score]]&gt;50,"Yes","No")</f>
        <v>No</v>
      </c>
    </row>
    <row r="875" spans="1:12" x14ac:dyDescent="0.3">
      <c r="A875" t="s">
        <v>761</v>
      </c>
      <c r="B875" t="s">
        <v>41</v>
      </c>
      <c r="C875" t="s">
        <v>119</v>
      </c>
      <c r="D875">
        <v>19.0687045429028</v>
      </c>
      <c r="E875">
        <v>73.022986920699907</v>
      </c>
      <c r="F875">
        <f>IF(COUNTIF($C$5:C875,C875)=1,1,0)</f>
        <v>0</v>
      </c>
      <c r="G875" s="2" t="str">
        <f t="shared" si="26"/>
        <v/>
      </c>
      <c r="H875" s="2">
        <f>MAX(0, MyBattery - (EVCleanedDataset[[#This Row],[Distance(km)]]/VehicleRangeKm)*100)</f>
        <v>0</v>
      </c>
      <c r="I875" s="2">
        <f>6371*ACOS(SIN(RADIANS(MyLat))*SIN(RADIANS(EVCleanedDataset[[#This Row],[Latitude]]))+COS(RADIANS(MyLat))*COS(RADIANS(EVCleanedDataset[[#This Row],[Latitude]]))*COS(RADIANS(EVCleanedDataset[[#This Row],[Longitude]]-MyLong)))</f>
        <v>797.86660868860724</v>
      </c>
      <c r="J875">
        <f t="shared" si="27"/>
        <v>5</v>
      </c>
      <c r="K875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39.367282901528689</v>
      </c>
      <c r="L875" t="str">
        <f>IF(EVCleanedDataset[[#This Row],[Score]]&gt;50,"Yes","No")</f>
        <v>No</v>
      </c>
    </row>
    <row r="876" spans="1:12" x14ac:dyDescent="0.3">
      <c r="A876" t="s">
        <v>3279</v>
      </c>
      <c r="B876" t="s">
        <v>41</v>
      </c>
      <c r="C876" t="s">
        <v>119</v>
      </c>
      <c r="D876">
        <v>19.051601000000002</v>
      </c>
      <c r="E876">
        <v>72.838010999999995</v>
      </c>
      <c r="F876">
        <f>IF(COUNTIF($C$5:C876,C876)=1,1,0)</f>
        <v>0</v>
      </c>
      <c r="G876" s="2" t="str">
        <f t="shared" si="26"/>
        <v/>
      </c>
      <c r="H876" s="2">
        <f>MAX(0, MyBattery - (EVCleanedDataset[[#This Row],[Distance(km)]]/VehicleRangeKm)*100)</f>
        <v>0</v>
      </c>
      <c r="I876" s="2">
        <f>6371*ACOS(SIN(RADIANS(MyLat))*SIN(RADIANS(EVCleanedDataset[[#This Row],[Latitude]]))+COS(RADIANS(MyLat))*COS(RADIANS(EVCleanedDataset[[#This Row],[Latitude]]))*COS(RADIANS(EVCleanedDataset[[#This Row],[Longitude]]-MyLong)))</f>
        <v>808.46063678958001</v>
      </c>
      <c r="J876">
        <f t="shared" si="27"/>
        <v>2</v>
      </c>
      <c r="K87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49.181736284836383</v>
      </c>
      <c r="L876" t="str">
        <f>IF(EVCleanedDataset[[#This Row],[Score]]&gt;50,"Yes","No")</f>
        <v>No</v>
      </c>
    </row>
    <row r="877" spans="1:12" x14ac:dyDescent="0.3">
      <c r="A877" t="s">
        <v>708</v>
      </c>
      <c r="B877" t="s">
        <v>14</v>
      </c>
      <c r="C877" t="s">
        <v>214</v>
      </c>
      <c r="D877">
        <v>26.963612000000001</v>
      </c>
      <c r="E877">
        <v>75.781022399999998</v>
      </c>
      <c r="F877">
        <f>IF(COUNTIF($C$5:C877,C877)=1,1,0)</f>
        <v>0</v>
      </c>
      <c r="G877" s="2" t="str">
        <f t="shared" si="26"/>
        <v/>
      </c>
      <c r="H877" s="2">
        <f>MAX(0, MyBattery - (EVCleanedDataset[[#This Row],[Distance(km)]]/VehicleRangeKm)*100)</f>
        <v>0</v>
      </c>
      <c r="I877" s="2">
        <f>6371*ACOS(SIN(RADIANS(MyLat))*SIN(RADIANS(EVCleanedDataset[[#This Row],[Latitude]]))+COS(RADIANS(MyLat))*COS(RADIANS(EVCleanedDataset[[#This Row],[Latitude]]))*COS(RADIANS(EVCleanedDataset[[#This Row],[Longitude]]-MyLong)))</f>
        <v>1524.8523433652063</v>
      </c>
      <c r="J877">
        <f t="shared" si="27"/>
        <v>9</v>
      </c>
      <c r="K87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13.300662461168136</v>
      </c>
      <c r="L877" t="str">
        <f>IF(EVCleanedDataset[[#This Row],[Score]]&gt;50,"Yes","No")</f>
        <v>No</v>
      </c>
    </row>
    <row r="878" spans="1:12" x14ac:dyDescent="0.3">
      <c r="A878" t="s">
        <v>2413</v>
      </c>
      <c r="B878" t="s">
        <v>41</v>
      </c>
      <c r="C878" t="s">
        <v>119</v>
      </c>
      <c r="D878">
        <v>19.163979000000001</v>
      </c>
      <c r="E878">
        <v>72.938750999999996</v>
      </c>
      <c r="F878">
        <f>IF(COUNTIF($C$5:C878,C878)=1,1,0)</f>
        <v>0</v>
      </c>
      <c r="G878" s="2" t="str">
        <f t="shared" si="26"/>
        <v/>
      </c>
      <c r="H878" s="2">
        <f>MAX(0, MyBattery - (EVCleanedDataset[[#This Row],[Distance(km)]]/VehicleRangeKm)*100)</f>
        <v>0</v>
      </c>
      <c r="I878" s="2">
        <f>6371*ACOS(SIN(RADIANS(MyLat))*SIN(RADIANS(EVCleanedDataset[[#This Row],[Latitude]]))+COS(RADIANS(MyLat))*COS(RADIANS(EVCleanedDataset[[#This Row],[Latitude]]))*COS(RADIANS(EVCleanedDataset[[#This Row],[Longitude]]-MyLong)))</f>
        <v>811.66223365615326</v>
      </c>
      <c r="J878">
        <f t="shared" si="27"/>
        <v>6</v>
      </c>
      <c r="K878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35.792346313144932</v>
      </c>
      <c r="L878" t="str">
        <f>IF(EVCleanedDataset[[#This Row],[Score]]&gt;50,"Yes","No")</f>
        <v>No</v>
      </c>
    </row>
    <row r="879" spans="1:12" x14ac:dyDescent="0.3">
      <c r="A879" t="s">
        <v>3001</v>
      </c>
      <c r="B879" t="s">
        <v>68</v>
      </c>
      <c r="C879" t="s">
        <v>69</v>
      </c>
      <c r="D879">
        <v>23.033220100000001</v>
      </c>
      <c r="E879">
        <v>72.513752800000006</v>
      </c>
      <c r="F879">
        <f>IF(COUNTIF($C$5:C879,C879)=1,1,0)</f>
        <v>0</v>
      </c>
      <c r="G879" s="2" t="str">
        <f t="shared" si="26"/>
        <v/>
      </c>
      <c r="H879" s="2">
        <f>MAX(0, MyBattery - (EVCleanedDataset[[#This Row],[Distance(km)]]/VehicleRangeKm)*100)</f>
        <v>0</v>
      </c>
      <c r="I879" s="2">
        <f>6371*ACOS(SIN(RADIANS(MyLat))*SIN(RADIANS(EVCleanedDataset[[#This Row],[Latitude]]))+COS(RADIANS(MyLat))*COS(RADIANS(EVCleanedDataset[[#This Row],[Latitude]]))*COS(RADIANS(EVCleanedDataset[[#This Row],[Longitude]]-MyLong)))</f>
        <v>1200.1168276248948</v>
      </c>
      <c r="J879">
        <f t="shared" si="27"/>
        <v>3</v>
      </c>
      <c r="K879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38.988492899869115</v>
      </c>
      <c r="L879" t="str">
        <f>IF(EVCleanedDataset[[#This Row],[Score]]&gt;50,"Yes","No")</f>
        <v>No</v>
      </c>
    </row>
    <row r="880" spans="1:12" x14ac:dyDescent="0.3">
      <c r="A880" t="s">
        <v>3251</v>
      </c>
      <c r="B880" t="s">
        <v>68</v>
      </c>
      <c r="C880" t="s">
        <v>69</v>
      </c>
      <c r="D880">
        <v>23.025580000000001</v>
      </c>
      <c r="E880">
        <v>72.479910000000004</v>
      </c>
      <c r="F880">
        <f>IF(COUNTIF($C$5:C880,C880)=1,1,0)</f>
        <v>0</v>
      </c>
      <c r="G880" s="2" t="str">
        <f t="shared" si="26"/>
        <v/>
      </c>
      <c r="H880" s="2">
        <f>MAX(0, MyBattery - (EVCleanedDataset[[#This Row],[Distance(km)]]/VehicleRangeKm)*100)</f>
        <v>0</v>
      </c>
      <c r="I880" s="2">
        <f>6371*ACOS(SIN(RADIANS(MyLat))*SIN(RADIANS(EVCleanedDataset[[#This Row],[Latitude]]))+COS(RADIANS(MyLat))*COS(RADIANS(EVCleanedDataset[[#This Row],[Latitude]]))*COS(RADIANS(EVCleanedDataset[[#This Row],[Longitude]]-MyLong)))</f>
        <v>1200.9414410015943</v>
      </c>
      <c r="J880">
        <f t="shared" si="27"/>
        <v>0</v>
      </c>
      <c r="K880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48.974059624204628</v>
      </c>
      <c r="L880" t="str">
        <f>IF(EVCleanedDataset[[#This Row],[Score]]&gt;50,"Yes","No")</f>
        <v>No</v>
      </c>
    </row>
    <row r="881" spans="1:12" x14ac:dyDescent="0.3">
      <c r="A881" t="s">
        <v>2808</v>
      </c>
      <c r="B881" t="s">
        <v>68</v>
      </c>
      <c r="C881" t="s">
        <v>137</v>
      </c>
      <c r="D881">
        <v>23.043600000000001</v>
      </c>
      <c r="E881">
        <v>72.482500000000002</v>
      </c>
      <c r="F881">
        <f>IF(COUNTIF($C$5:C881,C881)=1,1,0)</f>
        <v>1</v>
      </c>
      <c r="G881" s="2">
        <f t="shared" si="26"/>
        <v>1202.6021664989564</v>
      </c>
      <c r="H881" s="2">
        <f>MAX(0, MyBattery - (EVCleanedDataset[[#This Row],[Distance(km)]]/VehicleRangeKm)*100)</f>
        <v>0</v>
      </c>
      <c r="I881" s="2">
        <f>6371*ACOS(SIN(RADIANS(MyLat))*SIN(RADIANS(EVCleanedDataset[[#This Row],[Latitude]]))+COS(RADIANS(MyLat))*COS(RADIANS(EVCleanedDataset[[#This Row],[Latitude]]))*COS(RADIANS(EVCleanedDataset[[#This Row],[Longitude]]-MyLong)))</f>
        <v>1202.6021664989564</v>
      </c>
      <c r="J881">
        <f t="shared" si="27"/>
        <v>7</v>
      </c>
      <c r="K881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25.611648336638211</v>
      </c>
      <c r="L881" t="str">
        <f>IF(EVCleanedDataset[[#This Row],[Score]]&gt;50,"Yes","No")</f>
        <v>No</v>
      </c>
    </row>
    <row r="882" spans="1:12" x14ac:dyDescent="0.3">
      <c r="A882" t="s">
        <v>424</v>
      </c>
      <c r="B882" t="s">
        <v>68</v>
      </c>
      <c r="C882" t="s">
        <v>69</v>
      </c>
      <c r="D882">
        <v>23.045739999999999</v>
      </c>
      <c r="E882">
        <v>72.483755000000002</v>
      </c>
      <c r="F882">
        <f>IF(COUNTIF($C$5:C882,C882)=1,1,0)</f>
        <v>0</v>
      </c>
      <c r="G882" s="2" t="str">
        <f t="shared" si="26"/>
        <v/>
      </c>
      <c r="H882" s="2">
        <f>MAX(0, MyBattery - (EVCleanedDataset[[#This Row],[Distance(km)]]/VehicleRangeKm)*100)</f>
        <v>0</v>
      </c>
      <c r="I882" s="2">
        <f>6371*ACOS(SIN(RADIANS(MyLat))*SIN(RADIANS(EVCleanedDataset[[#This Row],[Latitude]]))+COS(RADIANS(MyLat))*COS(RADIANS(EVCleanedDataset[[#This Row],[Latitude]]))*COS(RADIANS(EVCleanedDataset[[#This Row],[Longitude]]-MyLong)))</f>
        <v>1202.755186381127</v>
      </c>
      <c r="J882">
        <f t="shared" si="27"/>
        <v>4</v>
      </c>
      <c r="K882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35.608978161415749</v>
      </c>
      <c r="L882" t="str">
        <f>IF(EVCleanedDataset[[#This Row],[Score]]&gt;50,"Yes","No")</f>
        <v>No</v>
      </c>
    </row>
    <row r="883" spans="1:12" x14ac:dyDescent="0.3">
      <c r="A883" t="s">
        <v>2202</v>
      </c>
      <c r="B883" t="s">
        <v>68</v>
      </c>
      <c r="C883" t="s">
        <v>2198</v>
      </c>
      <c r="D883">
        <v>21.159828999999998</v>
      </c>
      <c r="E883">
        <v>72.770602999999994</v>
      </c>
      <c r="F883">
        <f>IF(COUNTIF($C$5:C883,C883)=1,1,0)</f>
        <v>0</v>
      </c>
      <c r="G883" s="2" t="str">
        <f t="shared" si="26"/>
        <v/>
      </c>
      <c r="H883" s="2">
        <f>MAX(0, MyBattery - (EVCleanedDataset[[#This Row],[Distance(km)]]/VehicleRangeKm)*100)</f>
        <v>0</v>
      </c>
      <c r="I883" s="2">
        <f>6371*ACOS(SIN(RADIANS(MyLat))*SIN(RADIANS(EVCleanedDataset[[#This Row],[Latitude]]))+COS(RADIANS(MyLat))*COS(RADIANS(EVCleanedDataset[[#This Row],[Latitude]]))*COS(RADIANS(EVCleanedDataset[[#This Row],[Longitude]]-MyLong)))</f>
        <v>1005.0009800721664</v>
      </c>
      <c r="J883">
        <f t="shared" si="27"/>
        <v>1</v>
      </c>
      <c r="K883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49.072694422115056</v>
      </c>
      <c r="L883" t="str">
        <f>IF(EVCleanedDataset[[#This Row],[Score]]&gt;50,"Yes","No")</f>
        <v>No</v>
      </c>
    </row>
    <row r="884" spans="1:12" x14ac:dyDescent="0.3">
      <c r="A884" t="s">
        <v>2977</v>
      </c>
      <c r="B884" t="s">
        <v>463</v>
      </c>
      <c r="C884" t="s">
        <v>1160</v>
      </c>
      <c r="D884">
        <v>22.607396000000001</v>
      </c>
      <c r="E884">
        <v>88.392280999999997</v>
      </c>
      <c r="F884">
        <f>IF(COUNTIF($C$5:C884,C884)=1,1,0)</f>
        <v>0</v>
      </c>
      <c r="G884" s="2" t="str">
        <f t="shared" si="26"/>
        <v/>
      </c>
      <c r="H884" s="2">
        <f>MAX(0, MyBattery - (EVCleanedDataset[[#This Row],[Distance(km)]]/VehicleRangeKm)*100)</f>
        <v>0</v>
      </c>
      <c r="I884" s="2">
        <f>6371*ACOS(SIN(RADIANS(MyLat))*SIN(RADIANS(EVCleanedDataset[[#This Row],[Latitude]]))+COS(RADIANS(MyLat))*COS(RADIANS(EVCleanedDataset[[#This Row],[Latitude]]))*COS(RADIANS(EVCleanedDataset[[#This Row],[Longitude]]-MyLong)))</f>
        <v>1540.683795174775</v>
      </c>
      <c r="J884">
        <f t="shared" si="27"/>
        <v>8</v>
      </c>
      <c r="K884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16.356774606757575</v>
      </c>
      <c r="L884" t="str">
        <f>IF(EVCleanedDataset[[#This Row],[Score]]&gt;50,"Yes","No")</f>
        <v>No</v>
      </c>
    </row>
    <row r="885" spans="1:12" x14ac:dyDescent="0.3">
      <c r="A885" t="s">
        <v>727</v>
      </c>
      <c r="B885" t="s">
        <v>502</v>
      </c>
      <c r="C885" t="s">
        <v>1250</v>
      </c>
      <c r="D885">
        <v>16.5009139</v>
      </c>
      <c r="E885">
        <v>80.647292699999994</v>
      </c>
      <c r="F885">
        <f>IF(COUNTIF($C$5:C885,C885)=1,1,0)</f>
        <v>0</v>
      </c>
      <c r="G885" s="2" t="str">
        <f t="shared" si="26"/>
        <v/>
      </c>
      <c r="H885" s="2">
        <f>MAX(0, MyBattery - (EVCleanedDataset[[#This Row],[Distance(km)]]/VehicleRangeKm)*100)</f>
        <v>0</v>
      </c>
      <c r="I885" s="2">
        <f>6371*ACOS(SIN(RADIANS(MyLat))*SIN(RADIANS(EVCleanedDataset[[#This Row],[Latitude]]))+COS(RADIANS(MyLat))*COS(RADIANS(EVCleanedDataset[[#This Row],[Latitude]]))*COS(RADIANS(EVCleanedDataset[[#This Row],[Longitude]]-MyLong)))</f>
        <v>484.17904847250384</v>
      </c>
      <c r="J885">
        <f t="shared" si="27"/>
        <v>5</v>
      </c>
      <c r="K885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44.861686089833483</v>
      </c>
      <c r="L885" t="str">
        <f>IF(EVCleanedDataset[[#This Row],[Score]]&gt;50,"Yes","No")</f>
        <v>No</v>
      </c>
    </row>
    <row r="886" spans="1:12" x14ac:dyDescent="0.3">
      <c r="A886" t="s">
        <v>3178</v>
      </c>
      <c r="B886" t="s">
        <v>41</v>
      </c>
      <c r="C886" t="s">
        <v>1848</v>
      </c>
      <c r="D886">
        <v>21.301571370000001</v>
      </c>
      <c r="E886">
        <v>72.953781530000001</v>
      </c>
      <c r="F886">
        <f>IF(COUNTIF($C$5:C886,C886)=1,1,0)</f>
        <v>1</v>
      </c>
      <c r="G886" s="2">
        <f t="shared" si="26"/>
        <v>1009.0480633717269</v>
      </c>
      <c r="H886" s="2">
        <f>MAX(0, MyBattery - (EVCleanedDataset[[#This Row],[Distance(km)]]/VehicleRangeKm)*100)</f>
        <v>0</v>
      </c>
      <c r="I886" s="2">
        <f>6371*ACOS(SIN(RADIANS(MyLat))*SIN(RADIANS(EVCleanedDataset[[#This Row],[Latitude]]))+COS(RADIANS(MyLat))*COS(RADIANS(EVCleanedDataset[[#This Row],[Latitude]]))*COS(RADIANS(EVCleanedDataset[[#This Row],[Longitude]]-MyLong)))</f>
        <v>1009.0480633717269</v>
      </c>
      <c r="J886">
        <f t="shared" si="27"/>
        <v>2</v>
      </c>
      <c r="K886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45.668505578815079</v>
      </c>
      <c r="L886" t="str">
        <f>IF(EVCleanedDataset[[#This Row],[Score]]&gt;50,"Yes","No")</f>
        <v>No</v>
      </c>
    </row>
    <row r="887" spans="1:12" x14ac:dyDescent="0.3">
      <c r="A887" t="s">
        <v>1273</v>
      </c>
      <c r="B887" t="s">
        <v>313</v>
      </c>
      <c r="C887" t="s">
        <v>1274</v>
      </c>
      <c r="D887">
        <v>21.497869000000001</v>
      </c>
      <c r="E887">
        <v>86.889610000000005</v>
      </c>
      <c r="F887">
        <f>IF(COUNTIF($C$5:C887,C887)=1,1,0)</f>
        <v>1</v>
      </c>
      <c r="G887" s="2">
        <f t="shared" si="26"/>
        <v>1342.8010953347282</v>
      </c>
      <c r="H887" s="2">
        <f>MAX(0, MyBattery - (EVCleanedDataset[[#This Row],[Distance(km)]]/VehicleRangeKm)*100)</f>
        <v>0</v>
      </c>
      <c r="I887" s="2">
        <f>6371*ACOS(SIN(RADIANS(MyLat))*SIN(RADIANS(EVCleanedDataset[[#This Row],[Latitude]]))+COS(RADIANS(MyLat))*COS(RADIANS(EVCleanedDataset[[#This Row],[Latitude]]))*COS(RADIANS(EVCleanedDataset[[#This Row],[Longitude]]-MyLong)))</f>
        <v>1342.8010953347282</v>
      </c>
      <c r="J887">
        <f t="shared" si="27"/>
        <v>9</v>
      </c>
      <c r="K887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16.489428125179934</v>
      </c>
      <c r="L887" t="str">
        <f>IF(EVCleanedDataset[[#This Row],[Score]]&gt;50,"Yes","No")</f>
        <v>No</v>
      </c>
    </row>
    <row r="888" spans="1:12" x14ac:dyDescent="0.3">
      <c r="A888" t="s">
        <v>2811</v>
      </c>
      <c r="B888" t="s">
        <v>18</v>
      </c>
      <c r="C888" t="s">
        <v>140</v>
      </c>
      <c r="D888">
        <v>28.838200000000001</v>
      </c>
      <c r="E888">
        <v>78.276399999999995</v>
      </c>
      <c r="F888">
        <f>IF(COUNTIF($C$5:C888,C888)=1,1,0)</f>
        <v>0</v>
      </c>
      <c r="G888" s="2" t="str">
        <f t="shared" si="26"/>
        <v/>
      </c>
      <c r="H888" s="2">
        <f>MAX(0, MyBattery - (EVCleanedDataset[[#This Row],[Distance(km)]]/VehicleRangeKm)*100)</f>
        <v>0</v>
      </c>
      <c r="I888" s="2">
        <f>6371*ACOS(SIN(RADIANS(MyLat))*SIN(RADIANS(EVCleanedDataset[[#This Row],[Latitude]]))+COS(RADIANS(MyLat))*COS(RADIANS(EVCleanedDataset[[#This Row],[Latitude]]))*COS(RADIANS(EVCleanedDataset[[#This Row],[Longitude]]-MyLong)))</f>
        <v>1723.9973032141709</v>
      </c>
      <c r="J888">
        <f t="shared" si="27"/>
        <v>6</v>
      </c>
      <c r="K888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19.812706861501983</v>
      </c>
      <c r="L888" t="str">
        <f>IF(EVCleanedDataset[[#This Row],[Score]]&gt;50,"Yes","No")</f>
        <v>No</v>
      </c>
    </row>
    <row r="889" spans="1:12" x14ac:dyDescent="0.3">
      <c r="A889" t="s">
        <v>2747</v>
      </c>
      <c r="B889" t="s">
        <v>506</v>
      </c>
      <c r="C889" t="s">
        <v>1236</v>
      </c>
      <c r="D889">
        <v>21.134229000000001</v>
      </c>
      <c r="E889">
        <v>81.7723096</v>
      </c>
      <c r="F889">
        <f>IF(COUNTIF($C$5:C889,C889)=1,1,0)</f>
        <v>0</v>
      </c>
      <c r="G889" s="2" t="str">
        <f t="shared" si="26"/>
        <v/>
      </c>
      <c r="H889" s="2">
        <f>MAX(0, MyBattery - (EVCleanedDataset[[#This Row],[Distance(km)]]/VehicleRangeKm)*100)</f>
        <v>0</v>
      </c>
      <c r="I889" s="2">
        <f>6371*ACOS(SIN(RADIANS(MyLat))*SIN(RADIANS(EVCleanedDataset[[#This Row],[Latitude]]))+COS(RADIANS(MyLat))*COS(RADIANS(EVCleanedDataset[[#This Row],[Latitude]]))*COS(RADIANS(EVCleanedDataset[[#This Row],[Longitude]]-MyLong)))</f>
        <v>975.30586297573893</v>
      </c>
      <c r="J889">
        <f t="shared" si="27"/>
        <v>3</v>
      </c>
      <c r="K889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42.926203938658162</v>
      </c>
      <c r="L889" t="str">
        <f>IF(EVCleanedDataset[[#This Row],[Score]]&gt;50,"Yes","No")</f>
        <v>No</v>
      </c>
    </row>
    <row r="890" spans="1:12" x14ac:dyDescent="0.3">
      <c r="A890" t="s">
        <v>2770</v>
      </c>
      <c r="B890" t="s">
        <v>511</v>
      </c>
      <c r="C890" t="s">
        <v>984</v>
      </c>
      <c r="D890">
        <v>23.1891128</v>
      </c>
      <c r="E890">
        <v>77.451554400000006</v>
      </c>
      <c r="F890">
        <f>IF(COUNTIF($C$5:C890,C890)=1,1,0)</f>
        <v>0</v>
      </c>
      <c r="G890" s="2" t="str">
        <f t="shared" si="26"/>
        <v/>
      </c>
      <c r="H890" s="2">
        <f>MAX(0, MyBattery - (EVCleanedDataset[[#This Row],[Distance(km)]]/VehicleRangeKm)*100)</f>
        <v>0</v>
      </c>
      <c r="I890" s="2">
        <f>6371*ACOS(SIN(RADIANS(MyLat))*SIN(RADIANS(EVCleanedDataset[[#This Row],[Latitude]]))+COS(RADIANS(MyLat))*COS(RADIANS(EVCleanedDataset[[#This Row],[Latitude]]))*COS(RADIANS(EVCleanedDataset[[#This Row],[Longitude]]-MyLong)))</f>
        <v>1094.1950062249496</v>
      </c>
      <c r="J890">
        <f t="shared" si="27"/>
        <v>0</v>
      </c>
      <c r="K890" s="5">
        <f>((1-(EVCleanedDataset[[#This Row],[Distance(km)]]/MAX($I$5:$I$1121)))*0.4 + (1-(EVCleanedDataset[[#This Row],[QueueLength]]/MAX($J$5:$J$1121)))*0.3 + (EVCleanedDataset[[#This Row],[EstimatedBatteryOnArrival]]/100)*0.3 + (ROW()/10000000))*100</f>
        <v>50.843845742868197</v>
      </c>
      <c r="L890" t="str">
        <f>IF(EVCleanedDataset[[#This Row],[Score]]&gt;50,"Yes","No")</f>
        <v>Yes</v>
      </c>
    </row>
    <row r="891" spans="1:12" x14ac:dyDescent="0.3">
      <c r="A891" t="s">
        <v>2486</v>
      </c>
      <c r="B891" t="s">
        <v>14</v>
      </c>
      <c r="C891" t="s">
        <v>2487</v>
      </c>
      <c r="D891">
        <v>25.38240223</v>
      </c>
      <c r="E891">
        <v>74.619583770000006</v>
      </c>
      <c r="F891">
        <f>IF(COUNTIF($C$5:C891,C891)=1,1,0)</f>
        <v>1</v>
      </c>
      <c r="G891" s="2">
        <f t="shared" si="26"/>
        <v>1372.4336570377802</v>
      </c>
      <c r="H891" s="2">
        <f>MAX(0, MyBattery - (EVCleanedDataset[[#This Row],[Distance(km)]]/VehicleRangeKm)*100)</f>
        <v>0</v>
      </c>
      <c r="I891" s="2">
        <f>6371*ACOS(SIN(RADIANS(MyLat))*SIN(RADIANS(EVCleanedDataset[[#This Row],[Latitude]]))+COS(RADIANS(MyLat))*COS(RADIANS(EVCleanedDataset[[#This Row],[Latitude]]))*COS(RADIANS(EVCleanedDataset[[#This Row],[Longitude]]-MyLong)))</f>
        <v>1372.4336570377802</v>
      </c>
      <c r="J891">
        <f t="shared" si="27"/>
        <v>7</v>
      </c>
      <c r="K891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22.637114279427955</v>
      </c>
      <c r="L891" t="str">
        <f>IF(EVCleanedDataset[[#This Row],[Score]]&gt;50,"Yes","No")</f>
        <v>No</v>
      </c>
    </row>
    <row r="892" spans="1:12" x14ac:dyDescent="0.3">
      <c r="A892" t="s">
        <v>2957</v>
      </c>
      <c r="B892" t="s">
        <v>18</v>
      </c>
      <c r="C892" t="s">
        <v>1080</v>
      </c>
      <c r="D892">
        <v>26.743642000000001</v>
      </c>
      <c r="E892">
        <v>84.263368999999997</v>
      </c>
      <c r="F892">
        <f>IF(COUNTIF($C$5:C892,C892)=1,1,0)</f>
        <v>1</v>
      </c>
      <c r="G892" s="2">
        <f t="shared" si="26"/>
        <v>1645.8154669247401</v>
      </c>
      <c r="H892" s="2">
        <f>MAX(0, MyBattery - (EVCleanedDataset[[#This Row],[Distance(km)]]/VehicleRangeKm)*100)</f>
        <v>0</v>
      </c>
      <c r="I892" s="2">
        <f>6371*ACOS(SIN(RADIANS(MyLat))*SIN(RADIANS(EVCleanedDataset[[#This Row],[Latitude]]))+COS(RADIANS(MyLat))*COS(RADIANS(EVCleanedDataset[[#This Row],[Latitude]]))*COS(RADIANS(EVCleanedDataset[[#This Row],[Longitude]]-MyLong)))</f>
        <v>1645.8154669247401</v>
      </c>
      <c r="J892">
        <f t="shared" si="27"/>
        <v>4</v>
      </c>
      <c r="K89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27.84878473337875</v>
      </c>
      <c r="L892" t="str">
        <f>IF(EVCleanedDataset[[#This Row],[Score]]&gt;50,"Yes","No")</f>
        <v>No</v>
      </c>
    </row>
    <row r="893" spans="1:12" x14ac:dyDescent="0.3">
      <c r="A893" t="s">
        <v>3314</v>
      </c>
      <c r="B893" t="s">
        <v>18</v>
      </c>
      <c r="C893" t="s">
        <v>1018</v>
      </c>
      <c r="D893">
        <v>27.220781330000001</v>
      </c>
      <c r="E893">
        <v>77.930953979999998</v>
      </c>
      <c r="F893">
        <f>IF(COUNTIF($C$5:C893,C893)=1,1,0)</f>
        <v>0</v>
      </c>
      <c r="G893" s="2" t="str">
        <f t="shared" si="26"/>
        <v/>
      </c>
      <c r="H893" s="2">
        <f>MAX(0, MyBattery - (EVCleanedDataset[[#This Row],[Distance(km)]]/VehicleRangeKm)*100)</f>
        <v>0</v>
      </c>
      <c r="I893" s="2">
        <f>6371*ACOS(SIN(RADIANS(MyLat))*SIN(RADIANS(EVCleanedDataset[[#This Row],[Latitude]]))+COS(RADIANS(MyLat))*COS(RADIANS(EVCleanedDataset[[#This Row],[Latitude]]))*COS(RADIANS(EVCleanedDataset[[#This Row],[Longitude]]-MyLong)))</f>
        <v>1543.0005744715115</v>
      </c>
      <c r="J893">
        <f t="shared" si="27"/>
        <v>1</v>
      </c>
      <c r="K893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39.649619066424741</v>
      </c>
      <c r="L893" t="str">
        <f>IF(EVCleanedDataset[[#This Row],[Score]]&gt;50,"Yes","No")</f>
        <v>No</v>
      </c>
    </row>
    <row r="894" spans="1:12" x14ac:dyDescent="0.3">
      <c r="A894" t="s">
        <v>2834</v>
      </c>
      <c r="B894" t="s">
        <v>41</v>
      </c>
      <c r="C894" t="s">
        <v>221</v>
      </c>
      <c r="D894">
        <v>19.9758</v>
      </c>
      <c r="E894">
        <v>73.775999999999996</v>
      </c>
      <c r="F894">
        <f>IF(COUNTIF($C$5:C894,C894)=1,1,0)</f>
        <v>0</v>
      </c>
      <c r="G894" s="2" t="str">
        <f t="shared" si="26"/>
        <v/>
      </c>
      <c r="H894" s="2">
        <f>MAX(0, MyBattery - (EVCleanedDataset[[#This Row],[Distance(km)]]/VehicleRangeKm)*100)</f>
        <v>0</v>
      </c>
      <c r="I894" s="2">
        <f>6371*ACOS(SIN(RADIANS(MyLat))*SIN(RADIANS(EVCleanedDataset[[#This Row],[Latitude]]))+COS(RADIANS(MyLat))*COS(RADIANS(EVCleanedDataset[[#This Row],[Latitude]]))*COS(RADIANS(EVCleanedDataset[[#This Row],[Longitude]]-MyLong)))</f>
        <v>838.61790333433282</v>
      </c>
      <c r="J894">
        <f t="shared" si="27"/>
        <v>8</v>
      </c>
      <c r="K894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28.653705457434604</v>
      </c>
      <c r="L894" t="str">
        <f>IF(EVCleanedDataset[[#This Row],[Score]]&gt;50,"Yes","No")</f>
        <v>No</v>
      </c>
    </row>
    <row r="895" spans="1:12" x14ac:dyDescent="0.3">
      <c r="A895" t="s">
        <v>745</v>
      </c>
      <c r="B895" t="s">
        <v>463</v>
      </c>
      <c r="C895" t="s">
        <v>1157</v>
      </c>
      <c r="D895">
        <v>26.7286006</v>
      </c>
      <c r="E895">
        <v>88.416357500000004</v>
      </c>
      <c r="F895">
        <f>IF(COUNTIF($C$5:C895,C895)=1,1,0)</f>
        <v>0</v>
      </c>
      <c r="G895" s="2" t="str">
        <f t="shared" si="26"/>
        <v/>
      </c>
      <c r="H895" s="2">
        <f>MAX(0, MyBattery - (EVCleanedDataset[[#This Row],[Distance(km)]]/VehicleRangeKm)*100)</f>
        <v>0</v>
      </c>
      <c r="I895" s="2">
        <f>6371*ACOS(SIN(RADIANS(MyLat))*SIN(RADIANS(EVCleanedDataset[[#This Row],[Latitude]]))+COS(RADIANS(MyLat))*COS(RADIANS(EVCleanedDataset[[#This Row],[Latitude]]))*COS(RADIANS(EVCleanedDataset[[#This Row],[Longitude]]-MyLong)))</f>
        <v>1869.7987139024319</v>
      </c>
      <c r="J895">
        <f t="shared" si="27"/>
        <v>5</v>
      </c>
      <c r="K895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20.592368009292553</v>
      </c>
      <c r="L895" t="str">
        <f>IF(EVCleanedDataset[[#This Row],[Score]]&gt;50,"Yes","No")</f>
        <v>No</v>
      </c>
    </row>
    <row r="896" spans="1:12" x14ac:dyDescent="0.3">
      <c r="A896" t="s">
        <v>2657</v>
      </c>
      <c r="B896" t="s">
        <v>14</v>
      </c>
      <c r="C896" t="s">
        <v>15</v>
      </c>
      <c r="D896">
        <v>27.857413000000001</v>
      </c>
      <c r="E896">
        <v>76.264046399999998</v>
      </c>
      <c r="F896">
        <f>IF(COUNTIF($C$5:C896,C896)=1,1,0)</f>
        <v>1</v>
      </c>
      <c r="G896" s="2">
        <f t="shared" si="26"/>
        <v>1618.6432240447889</v>
      </c>
      <c r="H896" s="2">
        <f>MAX(0, MyBattery - (EVCleanedDataset[[#This Row],[Distance(km)]]/VehicleRangeKm)*100)</f>
        <v>0</v>
      </c>
      <c r="I896" s="2">
        <f>6371*ACOS(SIN(RADIANS(MyLat))*SIN(RADIANS(EVCleanedDataset[[#This Row],[Latitude]]))+COS(RADIANS(MyLat))*COS(RADIANS(EVCleanedDataset[[#This Row],[Latitude]]))*COS(RADIANS(EVCleanedDataset[[#This Row],[Longitude]]-MyLong)))</f>
        <v>1618.6432240447889</v>
      </c>
      <c r="J896">
        <f t="shared" si="27"/>
        <v>2</v>
      </c>
      <c r="K896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34.991418913989101</v>
      </c>
      <c r="L896" t="str">
        <f>IF(EVCleanedDataset[[#This Row],[Score]]&gt;50,"Yes","No")</f>
        <v>No</v>
      </c>
    </row>
    <row r="897" spans="1:12" x14ac:dyDescent="0.3">
      <c r="A897" t="s">
        <v>2770</v>
      </c>
      <c r="B897" t="s">
        <v>1051</v>
      </c>
      <c r="C897" t="s">
        <v>1052</v>
      </c>
      <c r="D897">
        <v>26.147478499999998</v>
      </c>
      <c r="E897">
        <v>91.814529100000001</v>
      </c>
      <c r="F897">
        <f>IF(COUNTIF($C$5:C897,C897)=1,1,0)</f>
        <v>0</v>
      </c>
      <c r="G897" s="2" t="str">
        <f t="shared" si="26"/>
        <v/>
      </c>
      <c r="H897" s="2">
        <f>MAX(0, MyBattery - (EVCleanedDataset[[#This Row],[Distance(km)]]/VehicleRangeKm)*100)</f>
        <v>0</v>
      </c>
      <c r="I897" s="2">
        <f>6371*ACOS(SIN(RADIANS(MyLat))*SIN(RADIANS(EVCleanedDataset[[#This Row],[Latitude]]))+COS(RADIANS(MyLat))*COS(RADIANS(EVCleanedDataset[[#This Row],[Latitude]]))*COS(RADIANS(EVCleanedDataset[[#This Row],[Longitude]]-MyLong)))</f>
        <v>2059.984412853401</v>
      </c>
      <c r="J897">
        <f t="shared" si="27"/>
        <v>9</v>
      </c>
      <c r="K897" s="5">
        <f>((1-(EVCleanedDataset[[#This Row],[Distance(km)]]/MAX($I$5:$I$1121)))*0.4 + (1-(EVCleanedDataset[[#This Row],[QueueLength]]/MAX($J$5:$J$1121)))*0.3 + (EVCleanedDataset[[#This Row],[EstimatedBatteryOnArrival]]/100)*0.3 + (ROW()/10000000))*100</f>
        <v>3.9279124037045796</v>
      </c>
      <c r="L897" t="str">
        <f>IF(EVCleanedDataset[[#This Row],[Score]]&gt;50,"Yes","No")</f>
        <v>No</v>
      </c>
    </row>
    <row r="898" spans="1:12" x14ac:dyDescent="0.3">
      <c r="A898" t="s">
        <v>2774</v>
      </c>
      <c r="B898" t="s">
        <v>14</v>
      </c>
      <c r="C898" t="s">
        <v>15</v>
      </c>
      <c r="D898">
        <v>27.8751</v>
      </c>
      <c r="E898">
        <v>76.275999999999996</v>
      </c>
      <c r="F898">
        <f>IF(COUNTIF($C$5:C898,C898)=1,1,0)</f>
        <v>0</v>
      </c>
      <c r="G898" s="2" t="str">
        <f t="shared" si="26"/>
        <v/>
      </c>
      <c r="H898" s="2">
        <f>MAX(0, MyBattery - (EVCleanedDataset[[#This Row],[Distance(km)]]/VehicleRangeKm)*100)</f>
        <v>0</v>
      </c>
      <c r="I898" s="2">
        <f>6371*ACOS(SIN(RADIANS(MyLat))*SIN(RADIANS(EVCleanedDataset[[#This Row],[Latitude]]))+COS(RADIANS(MyLat))*COS(RADIANS(EVCleanedDataset[[#This Row],[Latitude]]))*COS(RADIANS(EVCleanedDataset[[#This Row],[Longitude]]-MyLong)))</f>
        <v>1620.5021493976906</v>
      </c>
      <c r="J898">
        <f t="shared" si="27"/>
        <v>6</v>
      </c>
      <c r="K898" s="5">
        <f>((1-(EVCleanedDataset[[#This Row],[Distance(km)]]/MAX($I$5:$I$1121)))*0.4 + (1-(EVCleanedDataset[[#This Row],[QueueLength]]/MAX($J$5:$J$1121)))*0.3 + (EVCleanedDataset[[#This Row],[EstimatedBatteryOnArrival]]/100)*0.3 + (ROW()/10000000))*100</f>
        <v>21.625546114522546</v>
      </c>
      <c r="L898" t="str">
        <f>IF(EVCleanedDataset[[#This Row],[Score]]&gt;50,"Yes","No")</f>
        <v>No</v>
      </c>
    </row>
    <row r="899" spans="1:12" x14ac:dyDescent="0.3">
      <c r="A899" t="s">
        <v>631</v>
      </c>
      <c r="B899" t="s">
        <v>502</v>
      </c>
      <c r="C899" t="s">
        <v>1985</v>
      </c>
      <c r="D899">
        <v>17.685142899999999</v>
      </c>
      <c r="E899">
        <v>83.157866400000003</v>
      </c>
      <c r="F899">
        <f>IF(COUNTIF($C$5:C899,C899)=1,1,0)</f>
        <v>0</v>
      </c>
      <c r="G899" s="2" t="str">
        <f t="shared" si="26"/>
        <v/>
      </c>
      <c r="H899" s="2">
        <f>MAX(0, MyBattery - (EVCleanedDataset[[#This Row],[Distance(km)]]/VehicleRangeKm)*100)</f>
        <v>0</v>
      </c>
      <c r="I899" s="2">
        <f>6371*ACOS(SIN(RADIANS(MyLat))*SIN(RADIANS(EVCleanedDataset[[#This Row],[Latitude]]))+COS(RADIANS(MyLat))*COS(RADIANS(EVCleanedDataset[[#This Row],[Latitude]]))*COS(RADIANS(EVCleanedDataset[[#This Row],[Longitude]]-MyLong)))</f>
        <v>771.26178679637417</v>
      </c>
      <c r="J899">
        <f t="shared" si="27"/>
        <v>3</v>
      </c>
      <c r="K899" s="5">
        <f>((1-(EVCleanedDataset[[#This Row],[Distance(km)]]/MAX($I$5:$I$1121)))*0.4 + (1-(EVCleanedDataset[[#This Row],[QueueLength]]/MAX($J$5:$J$1121)))*0.3 + (EVCleanedDataset[[#This Row],[EstimatedBatteryOnArrival]]/100)*0.3 + (ROW()/10000000))*100</f>
        <v>46.500178584929316</v>
      </c>
      <c r="L899" t="str">
        <f>IF(EVCleanedDataset[[#This Row],[Score]]&gt;50,"Yes","No")</f>
        <v>No</v>
      </c>
    </row>
    <row r="900" spans="1:12" x14ac:dyDescent="0.3">
      <c r="A900" t="s">
        <v>2421</v>
      </c>
      <c r="B900" t="s">
        <v>502</v>
      </c>
      <c r="C900" t="s">
        <v>1985</v>
      </c>
      <c r="D900">
        <v>17.710553900000001</v>
      </c>
      <c r="E900">
        <v>83.300827499999997</v>
      </c>
      <c r="F900">
        <f>IF(COUNTIF($C$5:C900,C900)=1,1,0)</f>
        <v>0</v>
      </c>
      <c r="G900" s="2" t="str">
        <f t="shared" si="26"/>
        <v/>
      </c>
      <c r="H900" s="2">
        <f>MAX(0, MyBattery - (EVCleanedDataset[[#This Row],[Distance(km)]]/VehicleRangeKm)*100)</f>
        <v>0</v>
      </c>
      <c r="I900" s="2">
        <f>6371*ACOS(SIN(RADIANS(MyLat))*SIN(RADIANS(EVCleanedDataset[[#This Row],[Latitude]]))+COS(RADIANS(MyLat))*COS(RADIANS(EVCleanedDataset[[#This Row],[Latitude]]))*COS(RADIANS(EVCleanedDataset[[#This Row],[Longitude]]-MyLong)))</f>
        <v>784.98175250508177</v>
      </c>
      <c r="J900">
        <f t="shared" si="27"/>
        <v>0</v>
      </c>
      <c r="K900" s="5">
        <f>((1-(EVCleanedDataset[[#This Row],[Distance(km)]]/MAX($I$5:$I$1121)))*0.4 + (1-(EVCleanedDataset[[#This Row],[QueueLength]]/MAX($J$5:$J$1121)))*0.3 + (EVCleanedDataset[[#This Row],[EstimatedBatteryOnArrival]]/100)*0.3 + (ROW()/10000000))*100</f>
        <v>56.25988051761275</v>
      </c>
      <c r="L900" t="str">
        <f>IF(EVCleanedDataset[[#This Row],[Score]]&gt;50,"Yes","No")</f>
        <v>Yes</v>
      </c>
    </row>
    <row r="901" spans="1:12" x14ac:dyDescent="0.3">
      <c r="A901" t="s">
        <v>2831</v>
      </c>
      <c r="B901" t="s">
        <v>41</v>
      </c>
      <c r="C901" t="s">
        <v>221</v>
      </c>
      <c r="D901">
        <v>28.125399999999999</v>
      </c>
      <c r="E901">
        <v>76.636799999999994</v>
      </c>
      <c r="F901">
        <f>IF(COUNTIF($C$5:C901,C901)=1,1,0)</f>
        <v>0</v>
      </c>
      <c r="G901" s="2" t="str">
        <f t="shared" ref="G901:G964" si="28">IF(F901=1, IF(C901=MyCity, "", _xlfn.MINIFS($I$5:$I$1121,$C$5:$C$1121,C901)), "")</f>
        <v/>
      </c>
      <c r="H901" s="2">
        <f>MAX(0, MyBattery - (EVCleanedDataset[[#This Row],[Distance(km)]]/VehicleRangeKm)*100)</f>
        <v>0</v>
      </c>
      <c r="I901" s="2">
        <f>6371*ACOS(SIN(RADIANS(MyLat))*SIN(RADIANS(EVCleanedDataset[[#This Row],[Latitude]]))+COS(RADIANS(MyLat))*COS(RADIANS(EVCleanedDataset[[#This Row],[Latitude]]))*COS(RADIANS(EVCleanedDataset[[#This Row],[Longitude]]-MyLong)))</f>
        <v>1645.6940387154341</v>
      </c>
      <c r="J901">
        <f t="shared" ref="J901:J964" si="29">MOD(ROW()*7,10)</f>
        <v>7</v>
      </c>
      <c r="K901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17.851001573847274</v>
      </c>
      <c r="L901" t="str">
        <f>IF(EVCleanedDataset[[#This Row],[Score]]&gt;50,"Yes","No")</f>
        <v>No</v>
      </c>
    </row>
    <row r="902" spans="1:12" x14ac:dyDescent="0.3">
      <c r="A902" t="s">
        <v>2473</v>
      </c>
      <c r="B902" t="s">
        <v>14</v>
      </c>
      <c r="C902" t="s">
        <v>2474</v>
      </c>
      <c r="D902">
        <v>24.574884999999998</v>
      </c>
      <c r="E902">
        <v>73.746285</v>
      </c>
      <c r="F902">
        <f>IF(COUNTIF($C$5:C902,C902)=1,1,0)</f>
        <v>0</v>
      </c>
      <c r="G902" s="2" t="str">
        <f t="shared" si="28"/>
        <v/>
      </c>
      <c r="H902" s="2">
        <f>MAX(0, MyBattery - (EVCleanedDataset[[#This Row],[Distance(km)]]/VehicleRangeKm)*100)</f>
        <v>0</v>
      </c>
      <c r="I902" s="2">
        <f>6371*ACOS(SIN(RADIANS(MyLat))*SIN(RADIANS(EVCleanedDataset[[#This Row],[Latitude]]))+COS(RADIANS(MyLat))*COS(RADIANS(EVCleanedDataset[[#This Row],[Latitude]]))*COS(RADIANS(EVCleanedDataset[[#This Row],[Longitude]]-MyLong)))</f>
        <v>1310.1070859674667</v>
      </c>
      <c r="J902">
        <f t="shared" si="29"/>
        <v>4</v>
      </c>
      <c r="K902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33.728887200048128</v>
      </c>
      <c r="L902" t="str">
        <f>IF(EVCleanedDataset[[#This Row],[Score]]&gt;50,"Yes","No")</f>
        <v>No</v>
      </c>
    </row>
    <row r="903" spans="1:12" x14ac:dyDescent="0.3">
      <c r="A903" t="s">
        <v>2837</v>
      </c>
      <c r="B903" t="s">
        <v>41</v>
      </c>
      <c r="C903" t="s">
        <v>242</v>
      </c>
      <c r="D903">
        <v>20.8292</v>
      </c>
      <c r="E903">
        <v>74.748500000000007</v>
      </c>
      <c r="F903">
        <f>IF(COUNTIF($C$5:C903,C903)=1,1,0)</f>
        <v>1</v>
      </c>
      <c r="G903" s="2">
        <f t="shared" si="28"/>
        <v>882.900334447864</v>
      </c>
      <c r="H903" s="2">
        <f>MAX(0, MyBattery - (EVCleanedDataset[[#This Row],[Distance(km)]]/VehicleRangeKm)*100)</f>
        <v>0</v>
      </c>
      <c r="I903" s="2">
        <f>6371*ACOS(SIN(RADIANS(MyLat))*SIN(RADIANS(EVCleanedDataset[[#This Row],[Latitude]]))+COS(RADIANS(MyLat))*COS(RADIANS(EVCleanedDataset[[#This Row],[Latitude]]))*COS(RADIANS(EVCleanedDataset[[#This Row],[Longitude]]-MyLong)))</f>
        <v>882.900334447864</v>
      </c>
      <c r="J903">
        <f t="shared" si="29"/>
        <v>1</v>
      </c>
      <c r="K903" s="5">
        <f>((1-(EVCleanedDataset[[#This Row],[Distance(km)]]/MAX($I$5:$I$1121)))*0.4 + (1-(EVCleanedDataset[[#This Row],[QueueLength]]/MAX($J$5:$J$1121)))*0.3 + (EVCleanedDataset[[#This Row],[EstimatedBatteryOnArrival]]/100)*0.3 + (ROW()/10000000))*100</f>
        <v>51.211512753315425</v>
      </c>
      <c r="L903" t="str">
        <f>IF(EVCleanedDataset[[#This Row],[Score]]&gt;50,"Yes","No")</f>
        <v>Yes</v>
      </c>
    </row>
    <row r="904" spans="1:12" x14ac:dyDescent="0.3">
      <c r="A904" t="s">
        <v>3334</v>
      </c>
      <c r="B904" t="s">
        <v>511</v>
      </c>
      <c r="C904" t="s">
        <v>1136</v>
      </c>
      <c r="D904">
        <v>22.719446300000001</v>
      </c>
      <c r="E904">
        <v>75.884180999999998</v>
      </c>
      <c r="F904">
        <f>IF(COUNTIF($C$5:C904,C904)=1,1,0)</f>
        <v>0</v>
      </c>
      <c r="G904" s="2" t="str">
        <f t="shared" si="28"/>
        <v/>
      </c>
      <c r="H904" s="2">
        <f>MAX(0, MyBattery - (EVCleanedDataset[[#This Row],[Distance(km)]]/VehicleRangeKm)*100)</f>
        <v>0</v>
      </c>
      <c r="I904" s="2">
        <f>6371*ACOS(SIN(RADIANS(MyLat))*SIN(RADIANS(EVCleanedDataset[[#This Row],[Latitude]]))+COS(RADIANS(MyLat))*COS(RADIANS(EVCleanedDataset[[#This Row],[Latitude]]))*COS(RADIANS(EVCleanedDataset[[#This Row],[Longitude]]-MyLong)))</f>
        <v>1056.4528740627234</v>
      </c>
      <c r="J904">
        <f t="shared" si="29"/>
        <v>8</v>
      </c>
      <c r="K904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24.838380410382214</v>
      </c>
      <c r="L904" t="str">
        <f>IF(EVCleanedDataset[[#This Row],[Score]]&gt;50,"Yes","No")</f>
        <v>No</v>
      </c>
    </row>
    <row r="905" spans="1:12" x14ac:dyDescent="0.3">
      <c r="A905" t="s">
        <v>639</v>
      </c>
      <c r="B905" t="s">
        <v>511</v>
      </c>
      <c r="C905" t="s">
        <v>1136</v>
      </c>
      <c r="D905">
        <v>22.7431448</v>
      </c>
      <c r="E905">
        <v>75.884112299999998</v>
      </c>
      <c r="F905">
        <f>IF(COUNTIF($C$5:C905,C905)=1,1,0)</f>
        <v>0</v>
      </c>
      <c r="G905" s="2" t="str">
        <f t="shared" si="28"/>
        <v/>
      </c>
      <c r="H905" s="2">
        <f>MAX(0, MyBattery - (EVCleanedDataset[[#This Row],[Distance(km)]]/VehicleRangeKm)*100)</f>
        <v>0</v>
      </c>
      <c r="I905" s="2">
        <f>6371*ACOS(SIN(RADIANS(MyLat))*SIN(RADIANS(EVCleanedDataset[[#This Row],[Latitude]]))+COS(RADIANS(MyLat))*COS(RADIANS(EVCleanedDataset[[#This Row],[Latitude]]))*COS(RADIANS(EVCleanedDataset[[#This Row],[Longitude]]-MyLong)))</f>
        <v>1059.0509269084707</v>
      </c>
      <c r="J905">
        <f t="shared" si="29"/>
        <v>5</v>
      </c>
      <c r="K905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34.792884971709604</v>
      </c>
      <c r="L905" t="str">
        <f>IF(EVCleanedDataset[[#This Row],[Score]]&gt;50,"Yes","No")</f>
        <v>No</v>
      </c>
    </row>
    <row r="906" spans="1:12" x14ac:dyDescent="0.3">
      <c r="A906" t="s">
        <v>3238</v>
      </c>
      <c r="B906" t="s">
        <v>8</v>
      </c>
      <c r="C906" t="s">
        <v>9</v>
      </c>
      <c r="D906">
        <v>28.383022</v>
      </c>
      <c r="E906">
        <v>77.052279999999996</v>
      </c>
      <c r="F906">
        <f>IF(COUNTIF($C$5:C906,C906)=1,1,0)</f>
        <v>0</v>
      </c>
      <c r="G906" s="2" t="str">
        <f t="shared" si="28"/>
        <v/>
      </c>
      <c r="H906" s="2">
        <f>MAX(0, MyBattery - (EVCleanedDataset[[#This Row],[Distance(km)]]/VehicleRangeKm)*100)</f>
        <v>0</v>
      </c>
      <c r="I906" s="2">
        <f>6371*ACOS(SIN(RADIANS(MyLat))*SIN(RADIANS(EVCleanedDataset[[#This Row],[Latitude]]))+COS(RADIANS(MyLat))*COS(RADIANS(EVCleanedDataset[[#This Row],[Latitude]]))*COS(RADIANS(EVCleanedDataset[[#This Row],[Longitude]]-MyLong)))</f>
        <v>1672.4476394366345</v>
      </c>
      <c r="J906">
        <f t="shared" si="29"/>
        <v>2</v>
      </c>
      <c r="K906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34.049123331490897</v>
      </c>
      <c r="L906" t="str">
        <f>IF(EVCleanedDataset[[#This Row],[Score]]&gt;50,"Yes","No")</f>
        <v>No</v>
      </c>
    </row>
    <row r="907" spans="1:12" x14ac:dyDescent="0.3">
      <c r="A907" t="s">
        <v>2174</v>
      </c>
      <c r="B907" t="s">
        <v>8</v>
      </c>
      <c r="C907" t="s">
        <v>9</v>
      </c>
      <c r="D907">
        <v>28.4022133</v>
      </c>
      <c r="E907">
        <v>76.969044999999994</v>
      </c>
      <c r="F907">
        <f>IF(COUNTIF($C$5:C907,C907)=1,1,0)</f>
        <v>0</v>
      </c>
      <c r="G907" s="2" t="str">
        <f t="shared" si="28"/>
        <v/>
      </c>
      <c r="H907" s="2">
        <f>MAX(0, MyBattery - (EVCleanedDataset[[#This Row],[Distance(km)]]/VehicleRangeKm)*100)</f>
        <v>0</v>
      </c>
      <c r="I907" s="2">
        <f>6371*ACOS(SIN(RADIANS(MyLat))*SIN(RADIANS(EVCleanedDataset[[#This Row],[Latitude]]))+COS(RADIANS(MyLat))*COS(RADIANS(EVCleanedDataset[[#This Row],[Latitude]]))*COS(RADIANS(EVCleanedDataset[[#This Row],[Longitude]]-MyLong)))</f>
        <v>1674.8608435153292</v>
      </c>
      <c r="J907">
        <f t="shared" si="29"/>
        <v>9</v>
      </c>
      <c r="K90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10.67353222427942</v>
      </c>
      <c r="L907" t="str">
        <f>IF(EVCleanedDataset[[#This Row],[Score]]&gt;50,"Yes","No")</f>
        <v>No</v>
      </c>
    </row>
    <row r="908" spans="1:12" x14ac:dyDescent="0.3">
      <c r="A908" t="s">
        <v>2835</v>
      </c>
      <c r="B908" t="s">
        <v>8</v>
      </c>
      <c r="C908" t="s">
        <v>9</v>
      </c>
      <c r="D908">
        <v>28.411300000000001</v>
      </c>
      <c r="E908">
        <v>77.051000000000002</v>
      </c>
      <c r="F908">
        <f>IF(COUNTIF($C$5:C908,C908)=1,1,0)</f>
        <v>0</v>
      </c>
      <c r="G908" s="2" t="str">
        <f t="shared" si="28"/>
        <v/>
      </c>
      <c r="H908" s="2">
        <f>MAX(0, MyBattery - (EVCleanedDataset[[#This Row],[Distance(km)]]/VehicleRangeKm)*100)</f>
        <v>0</v>
      </c>
      <c r="I908" s="2">
        <f>6371*ACOS(SIN(RADIANS(MyLat))*SIN(RADIANS(EVCleanedDataset[[#This Row],[Latitude]]))+COS(RADIANS(MyLat))*COS(RADIANS(EVCleanedDataset[[#This Row],[Latitude]]))*COS(RADIANS(EVCleanedDataset[[#This Row],[Longitude]]-MyLong)))</f>
        <v>1675.5943998994519</v>
      </c>
      <c r="J908">
        <f t="shared" si="29"/>
        <v>6</v>
      </c>
      <c r="K90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20.660693830873861</v>
      </c>
      <c r="L908" t="str">
        <f>IF(EVCleanedDataset[[#This Row],[Score]]&gt;50,"Yes","No")</f>
        <v>No</v>
      </c>
    </row>
    <row r="909" spans="1:12" x14ac:dyDescent="0.3">
      <c r="A909" t="s">
        <v>2795</v>
      </c>
      <c r="B909" t="s">
        <v>8</v>
      </c>
      <c r="C909" t="s">
        <v>9</v>
      </c>
      <c r="D909">
        <v>28.433599999999998</v>
      </c>
      <c r="E909">
        <v>77.034899999999993</v>
      </c>
      <c r="F909">
        <f>IF(COUNTIF($C$5:C909,C909)=1,1,0)</f>
        <v>0</v>
      </c>
      <c r="G909" s="2" t="str">
        <f t="shared" si="28"/>
        <v/>
      </c>
      <c r="H909" s="2">
        <f>MAX(0, MyBattery - (EVCleanedDataset[[#This Row],[Distance(km)]]/VehicleRangeKm)*100)</f>
        <v>0</v>
      </c>
      <c r="I909" s="2">
        <f>6371*ACOS(SIN(RADIANS(MyLat))*SIN(RADIANS(EVCleanedDataset[[#This Row],[Latitude]]))+COS(RADIANS(MyLat))*COS(RADIANS(EVCleanedDataset[[#This Row],[Latitude]]))*COS(RADIANS(EVCleanedDataset[[#This Row],[Longitude]]-MyLong)))</f>
        <v>1678.123577079401</v>
      </c>
      <c r="J909">
        <f t="shared" si="29"/>
        <v>3</v>
      </c>
      <c r="K90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30.616404763885008</v>
      </c>
      <c r="L909" t="str">
        <f>IF(EVCleanedDataset[[#This Row],[Score]]&gt;50,"Yes","No")</f>
        <v>No</v>
      </c>
    </row>
    <row r="910" spans="1:12" x14ac:dyDescent="0.3">
      <c r="A910" t="s">
        <v>682</v>
      </c>
      <c r="B910" t="s">
        <v>8</v>
      </c>
      <c r="C910" t="s">
        <v>9</v>
      </c>
      <c r="D910">
        <v>28.434958999999999</v>
      </c>
      <c r="E910">
        <v>77.044274299999998</v>
      </c>
      <c r="F910">
        <f>IF(COUNTIF($C$5:C910,C910)=1,1,0)</f>
        <v>0</v>
      </c>
      <c r="G910" s="2" t="str">
        <f t="shared" si="28"/>
        <v/>
      </c>
      <c r="H910" s="2">
        <f>MAX(0, MyBattery - (EVCleanedDataset[[#This Row],[Distance(km)]]/VehicleRangeKm)*100)</f>
        <v>0</v>
      </c>
      <c r="I910" s="2">
        <f>6371*ACOS(SIN(RADIANS(MyLat))*SIN(RADIANS(EVCleanedDataset[[#This Row],[Latitude]]))+COS(RADIANS(MyLat))*COS(RADIANS(EVCleanedDataset[[#This Row],[Latitude]]))*COS(RADIANS(EVCleanedDataset[[#This Row],[Longitude]]-MyLong)))</f>
        <v>1678.2448445357422</v>
      </c>
      <c r="J910">
        <f t="shared" si="29"/>
        <v>0</v>
      </c>
      <c r="K91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40.614290739038267</v>
      </c>
      <c r="L910" t="str">
        <f>IF(EVCleanedDataset[[#This Row],[Score]]&gt;50,"Yes","No")</f>
        <v>No</v>
      </c>
    </row>
    <row r="911" spans="1:12" x14ac:dyDescent="0.3">
      <c r="A911" t="s">
        <v>2998</v>
      </c>
      <c r="B911" t="s">
        <v>1051</v>
      </c>
      <c r="C911" t="s">
        <v>194</v>
      </c>
      <c r="D911">
        <v>26.312331499999999</v>
      </c>
      <c r="E911">
        <v>92.640186400000005</v>
      </c>
      <c r="F911">
        <f>IF(COUNTIF($C$5:C911,C911)=1,1,0)</f>
        <v>0</v>
      </c>
      <c r="G911" s="2" t="str">
        <f t="shared" si="28"/>
        <v/>
      </c>
      <c r="H911" s="2">
        <f>MAX(0, MyBattery - (EVCleanedDataset[[#This Row],[Distance(km)]]/VehicleRangeKm)*100)</f>
        <v>0</v>
      </c>
      <c r="I911" s="2">
        <f>6371*ACOS(SIN(RADIANS(MyLat))*SIN(RADIANS(EVCleanedDataset[[#This Row],[Latitude]]))+COS(RADIANS(MyLat))*COS(RADIANS(EVCleanedDataset[[#This Row],[Latitude]]))*COS(RADIANS(EVCleanedDataset[[#This Row],[Longitude]]-MyLong)))</f>
        <v>2134.6809123134244</v>
      </c>
      <c r="J911">
        <f t="shared" si="29"/>
        <v>7</v>
      </c>
      <c r="K911" s="5">
        <f>((1-(EVCleanedDataset[[#This Row],[Distance(km)]]/MAX($I$5:$I$1121)))*0.4 + (1-(EVCleanedDataset[[#This Row],[QueueLength]]/MAX($J$5:$J$1121)))*0.3 + (EVCleanedDataset[[#This Row],[EstimatedBatteryOnArrival]]/100)*0.3 + (ROW()/10000000))*100</f>
        <v>9.286394268279377</v>
      </c>
      <c r="L911" t="str">
        <f>IF(EVCleanedDataset[[#This Row],[Score]]&gt;50,"Yes","No")</f>
        <v>No</v>
      </c>
    </row>
    <row r="912" spans="1:12" x14ac:dyDescent="0.3">
      <c r="A912" t="s">
        <v>3052</v>
      </c>
      <c r="B912" t="s">
        <v>8</v>
      </c>
      <c r="C912" t="s">
        <v>9</v>
      </c>
      <c r="D912">
        <v>28.498079839999999</v>
      </c>
      <c r="E912">
        <v>77.091169149999999</v>
      </c>
      <c r="F912">
        <f>IF(COUNTIF($C$5:C912,C912)=1,1,0)</f>
        <v>0</v>
      </c>
      <c r="G912" s="2" t="str">
        <f t="shared" si="28"/>
        <v/>
      </c>
      <c r="H912" s="2">
        <f>MAX(0, MyBattery - (EVCleanedDataset[[#This Row],[Distance(km)]]/VehicleRangeKm)*100)</f>
        <v>0</v>
      </c>
      <c r="I912" s="2">
        <f>6371*ACOS(SIN(RADIANS(MyLat))*SIN(RADIANS(EVCleanedDataset[[#This Row],[Latitude]]))+COS(RADIANS(MyLat))*COS(RADIANS(EVCleanedDataset[[#This Row],[Latitude]]))*COS(RADIANS(EVCleanedDataset[[#This Row],[Longitude]]-MyLong)))</f>
        <v>1685.1201050501347</v>
      </c>
      <c r="J912">
        <f t="shared" si="29"/>
        <v>4</v>
      </c>
      <c r="K91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27.16055578063753</v>
      </c>
      <c r="L912" t="str">
        <f>IF(EVCleanedDataset[[#This Row],[Score]]&gt;50,"Yes","No")</f>
        <v>No</v>
      </c>
    </row>
    <row r="913" spans="1:12" x14ac:dyDescent="0.3">
      <c r="A913" t="s">
        <v>2942</v>
      </c>
      <c r="B913" t="s">
        <v>45</v>
      </c>
      <c r="C913" t="s">
        <v>45</v>
      </c>
      <c r="D913">
        <v>28.578641000000001</v>
      </c>
      <c r="E913">
        <v>77.059619999999995</v>
      </c>
      <c r="F913">
        <f>IF(COUNTIF($C$5:C913,C913)=1,1,0)</f>
        <v>0</v>
      </c>
      <c r="G913" s="2" t="str">
        <f t="shared" si="28"/>
        <v/>
      </c>
      <c r="H913" s="2">
        <f>MAX(0, MyBattery - (EVCleanedDataset[[#This Row],[Distance(km)]]/VehicleRangeKm)*100)</f>
        <v>0</v>
      </c>
      <c r="I913" s="2">
        <f>6371*ACOS(SIN(RADIANS(MyLat))*SIN(RADIANS(EVCleanedDataset[[#This Row],[Latitude]]))+COS(RADIANS(MyLat))*COS(RADIANS(EVCleanedDataset[[#This Row],[Latitude]]))*COS(RADIANS(EVCleanedDataset[[#This Row],[Longitude]]-MyLong)))</f>
        <v>1694.1663464150686</v>
      </c>
      <c r="J913">
        <f t="shared" si="29"/>
        <v>1</v>
      </c>
      <c r="K91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37.002118972165782</v>
      </c>
      <c r="L913" t="str">
        <f>IF(EVCleanedDataset[[#This Row],[Score]]&gt;50,"Yes","No")</f>
        <v>No</v>
      </c>
    </row>
    <row r="914" spans="1:12" x14ac:dyDescent="0.3">
      <c r="A914" t="s">
        <v>2129</v>
      </c>
      <c r="B914" t="s">
        <v>64</v>
      </c>
      <c r="C914" t="s">
        <v>65</v>
      </c>
      <c r="D914">
        <v>30.364799000000001</v>
      </c>
      <c r="E914">
        <v>78.085352700000001</v>
      </c>
      <c r="F914">
        <f>IF(COUNTIF($C$5:C914,C914)=1,1,0)</f>
        <v>0</v>
      </c>
      <c r="G914" s="2" t="str">
        <f t="shared" si="28"/>
        <v/>
      </c>
      <c r="H914" s="2">
        <f>MAX(0, MyBattery - (EVCleanedDataset[[#This Row],[Distance(km)]]/VehicleRangeKm)*100)</f>
        <v>0</v>
      </c>
      <c r="I914" s="2">
        <f>6371*ACOS(SIN(RADIANS(MyLat))*SIN(RADIANS(EVCleanedDataset[[#This Row],[Latitude]]))+COS(RADIANS(MyLat))*COS(RADIANS(EVCleanedDataset[[#This Row],[Latitude]]))*COS(RADIANS(EVCleanedDataset[[#This Row],[Longitude]]-MyLong)))</f>
        <v>1892.8927099193486</v>
      </c>
      <c r="J914">
        <f t="shared" si="29"/>
        <v>8</v>
      </c>
      <c r="K914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10.188061841643982</v>
      </c>
      <c r="L914" t="str">
        <f>IF(EVCleanedDataset[[#This Row],[Score]]&gt;50,"Yes","No")</f>
        <v>No</v>
      </c>
    </row>
    <row r="915" spans="1:12" x14ac:dyDescent="0.3">
      <c r="A915" t="s">
        <v>3107</v>
      </c>
      <c r="B915" t="s">
        <v>45</v>
      </c>
      <c r="C915" t="s">
        <v>46</v>
      </c>
      <c r="D915">
        <v>28.573576039999999</v>
      </c>
      <c r="E915">
        <v>77.207151999999994</v>
      </c>
      <c r="F915">
        <f>IF(COUNTIF($C$5:C915,C915)=1,1,0)</f>
        <v>0</v>
      </c>
      <c r="G915" s="2" t="str">
        <f t="shared" si="28"/>
        <v/>
      </c>
      <c r="H915" s="2">
        <f>MAX(0, MyBattery - (EVCleanedDataset[[#This Row],[Distance(km)]]/VehicleRangeKm)*100)</f>
        <v>0</v>
      </c>
      <c r="I915" s="2">
        <f>6371*ACOS(SIN(RADIANS(MyLat))*SIN(RADIANS(EVCleanedDataset[[#This Row],[Latitude]]))+COS(RADIANS(MyLat))*COS(RADIANS(EVCleanedDataset[[#This Row],[Latitude]]))*COS(RADIANS(EVCleanedDataset[[#This Row],[Longitude]]-MyLong)))</f>
        <v>1693.2270364533058</v>
      </c>
      <c r="J915">
        <f t="shared" si="29"/>
        <v>5</v>
      </c>
      <c r="K91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23.685257849159701</v>
      </c>
      <c r="L915" t="str">
        <f>IF(EVCleanedDataset[[#This Row],[Score]]&gt;50,"Yes","No")</f>
        <v>No</v>
      </c>
    </row>
    <row r="916" spans="1:12" x14ac:dyDescent="0.3">
      <c r="A916" t="s">
        <v>3109</v>
      </c>
      <c r="B916" t="s">
        <v>45</v>
      </c>
      <c r="C916" t="s">
        <v>46</v>
      </c>
      <c r="D916">
        <v>28.577622999999999</v>
      </c>
      <c r="E916">
        <v>77.203898600000002</v>
      </c>
      <c r="F916">
        <f>IF(COUNTIF($C$5:C916,C916)=1,1,0)</f>
        <v>0</v>
      </c>
      <c r="G916" s="2" t="str">
        <f t="shared" si="28"/>
        <v/>
      </c>
      <c r="H916" s="2">
        <f>MAX(0, MyBattery - (EVCleanedDataset[[#This Row],[Distance(km)]]/VehicleRangeKm)*100)</f>
        <v>0</v>
      </c>
      <c r="I916" s="2">
        <f>6371*ACOS(SIN(RADIANS(MyLat))*SIN(RADIANS(EVCleanedDataset[[#This Row],[Latitude]]))+COS(RADIANS(MyLat))*COS(RADIANS(EVCleanedDataset[[#This Row],[Latitude]]))*COS(RADIANS(EVCleanedDataset[[#This Row],[Longitude]]-MyLong)))</f>
        <v>1693.6837523464876</v>
      </c>
      <c r="J916">
        <f t="shared" si="29"/>
        <v>2</v>
      </c>
      <c r="K91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33.677268374821836</v>
      </c>
      <c r="L916" t="str">
        <f>IF(EVCleanedDataset[[#This Row],[Score]]&gt;50,"Yes","No")</f>
        <v>No</v>
      </c>
    </row>
    <row r="917" spans="1:12" x14ac:dyDescent="0.3">
      <c r="A917" t="s">
        <v>3154</v>
      </c>
      <c r="B917" t="s">
        <v>18</v>
      </c>
      <c r="C917" t="s">
        <v>259</v>
      </c>
      <c r="D917">
        <v>28.567892990000001</v>
      </c>
      <c r="E917">
        <v>77.335267169999995</v>
      </c>
      <c r="F917">
        <f>IF(COUNTIF($C$5:C917,C917)=1,1,0)</f>
        <v>0</v>
      </c>
      <c r="G917" s="2" t="str">
        <f t="shared" si="28"/>
        <v/>
      </c>
      <c r="H917" s="2">
        <f>MAX(0, MyBattery - (EVCleanedDataset[[#This Row],[Distance(km)]]/VehicleRangeKm)*100)</f>
        <v>0</v>
      </c>
      <c r="I917" s="2">
        <f>6371*ACOS(SIN(RADIANS(MyLat))*SIN(RADIANS(EVCleanedDataset[[#This Row],[Latitude]]))+COS(RADIANS(MyLat))*COS(RADIANS(EVCleanedDataset[[#This Row],[Latitude]]))*COS(RADIANS(EVCleanedDataset[[#This Row],[Longitude]]-MyLong)))</f>
        <v>1692.3797500465264</v>
      </c>
      <c r="J917">
        <f t="shared" si="29"/>
        <v>9</v>
      </c>
      <c r="K91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10.366784914352117</v>
      </c>
      <c r="L917" t="str">
        <f>IF(EVCleanedDataset[[#This Row],[Score]]&gt;50,"Yes","No")</f>
        <v>No</v>
      </c>
    </row>
    <row r="918" spans="1:12" x14ac:dyDescent="0.3">
      <c r="A918" t="s">
        <v>3240</v>
      </c>
      <c r="B918" t="s">
        <v>45</v>
      </c>
      <c r="C918" t="s">
        <v>45</v>
      </c>
      <c r="D918">
        <v>28.587135</v>
      </c>
      <c r="E918">
        <v>77.241353000000004</v>
      </c>
      <c r="F918">
        <f>IF(COUNTIF($C$5:C918,C918)=1,1,0)</f>
        <v>0</v>
      </c>
      <c r="G918" s="2" t="str">
        <f t="shared" si="28"/>
        <v/>
      </c>
      <c r="H918" s="2">
        <f>MAX(0, MyBattery - (EVCleanedDataset[[#This Row],[Distance(km)]]/VehicleRangeKm)*100)</f>
        <v>0</v>
      </c>
      <c r="I918" s="2">
        <f>6371*ACOS(SIN(RADIANS(MyLat))*SIN(RADIANS(EVCleanedDataset[[#This Row],[Latitude]]))+COS(RADIANS(MyLat))*COS(RADIANS(EVCleanedDataset[[#This Row],[Latitude]]))*COS(RADIANS(EVCleanedDataset[[#This Row],[Longitude]]-MyLong)))</f>
        <v>1694.6668047278863</v>
      </c>
      <c r="J918">
        <f t="shared" si="29"/>
        <v>6</v>
      </c>
      <c r="K91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20.326736673537702</v>
      </c>
      <c r="L918" t="str">
        <f>IF(EVCleanedDataset[[#This Row],[Score]]&gt;50,"Yes","No")</f>
        <v>No</v>
      </c>
    </row>
    <row r="919" spans="1:12" x14ac:dyDescent="0.3">
      <c r="A919" t="s">
        <v>3155</v>
      </c>
      <c r="B919" t="s">
        <v>18</v>
      </c>
      <c r="C919" t="s">
        <v>259</v>
      </c>
      <c r="D919">
        <v>28.572995550000002</v>
      </c>
      <c r="E919">
        <v>77.340509539999999</v>
      </c>
      <c r="F919">
        <f>IF(COUNTIF($C$5:C919,C919)=1,1,0)</f>
        <v>0</v>
      </c>
      <c r="G919" s="2" t="str">
        <f t="shared" si="28"/>
        <v/>
      </c>
      <c r="H919" s="2">
        <f>MAX(0, MyBattery - (EVCleanedDataset[[#This Row],[Distance(km)]]/VehicleRangeKm)*100)</f>
        <v>0</v>
      </c>
      <c r="I919" s="2">
        <f>6371*ACOS(SIN(RADIANS(MyLat))*SIN(RADIANS(EVCleanedDataset[[#This Row],[Latitude]]))+COS(RADIANS(MyLat))*COS(RADIANS(EVCleanedDataset[[#This Row],[Latitude]]))*COS(RADIANS(EVCleanedDataset[[#This Row],[Longitude]]-MyLong)))</f>
        <v>1692.94047209165</v>
      </c>
      <c r="J919">
        <f t="shared" si="29"/>
        <v>3</v>
      </c>
      <c r="K91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30.356983750522243</v>
      </c>
      <c r="L919" t="str">
        <f>IF(EVCleanedDataset[[#This Row],[Score]]&gt;50,"Yes","No")</f>
        <v>No</v>
      </c>
    </row>
    <row r="920" spans="1:12" x14ac:dyDescent="0.3">
      <c r="A920" t="s">
        <v>3117</v>
      </c>
      <c r="B920" t="s">
        <v>45</v>
      </c>
      <c r="C920" t="s">
        <v>46</v>
      </c>
      <c r="D920">
        <v>28.5885055</v>
      </c>
      <c r="E920">
        <v>77.257023599999997</v>
      </c>
      <c r="F920">
        <f>IF(COUNTIF($C$5:C920,C920)=1,1,0)</f>
        <v>0</v>
      </c>
      <c r="G920" s="2" t="str">
        <f t="shared" si="28"/>
        <v/>
      </c>
      <c r="H920" s="2">
        <f>MAX(0, MyBattery - (EVCleanedDataset[[#This Row],[Distance(km)]]/VehicleRangeKm)*100)</f>
        <v>0</v>
      </c>
      <c r="I920" s="2">
        <f>6371*ACOS(SIN(RADIANS(MyLat))*SIN(RADIANS(EVCleanedDataset[[#This Row],[Latitude]]))+COS(RADIANS(MyLat))*COS(RADIANS(EVCleanedDataset[[#This Row],[Latitude]]))*COS(RADIANS(EVCleanedDataset[[#This Row],[Longitude]]-MyLong)))</f>
        <v>1694.7906736609007</v>
      </c>
      <c r="J920">
        <f t="shared" si="29"/>
        <v>0</v>
      </c>
      <c r="K92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40.324587083283227</v>
      </c>
      <c r="L920" t="str">
        <f>IF(EVCleanedDataset[[#This Row],[Score]]&gt;50,"Yes","No")</f>
        <v>No</v>
      </c>
    </row>
    <row r="921" spans="1:12" x14ac:dyDescent="0.3">
      <c r="A921" t="s">
        <v>486</v>
      </c>
      <c r="B921" t="s">
        <v>18</v>
      </c>
      <c r="C921" t="s">
        <v>259</v>
      </c>
      <c r="D921">
        <v>28.595229100000001</v>
      </c>
      <c r="E921">
        <v>77.382221299999998</v>
      </c>
      <c r="F921">
        <f>IF(COUNTIF($C$5:C921,C921)=1,1,0)</f>
        <v>0</v>
      </c>
      <c r="G921" s="2" t="str">
        <f t="shared" si="28"/>
        <v/>
      </c>
      <c r="H921" s="2">
        <f>MAX(0, MyBattery - (EVCleanedDataset[[#This Row],[Distance(km)]]/VehicleRangeKm)*100)</f>
        <v>0</v>
      </c>
      <c r="I921" s="2">
        <f>6371*ACOS(SIN(RADIANS(MyLat))*SIN(RADIANS(EVCleanedDataset[[#This Row],[Latitude]]))+COS(RADIANS(MyLat))*COS(RADIANS(EVCleanedDataset[[#This Row],[Latitude]]))*COS(RADIANS(EVCleanedDataset[[#This Row],[Longitude]]-MyLong)))</f>
        <v>1695.3662094042129</v>
      </c>
      <c r="J921">
        <f t="shared" si="29"/>
        <v>7</v>
      </c>
      <c r="K92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16.981183121099701</v>
      </c>
      <c r="L921" t="str">
        <f>IF(EVCleanedDataset[[#This Row],[Score]]&gt;50,"Yes","No")</f>
        <v>No</v>
      </c>
    </row>
    <row r="922" spans="1:12" x14ac:dyDescent="0.3">
      <c r="A922" t="s">
        <v>3175</v>
      </c>
      <c r="B922" t="s">
        <v>45</v>
      </c>
      <c r="C922" t="s">
        <v>46</v>
      </c>
      <c r="D922">
        <v>28.635470000000002</v>
      </c>
      <c r="E922">
        <v>77.221299999999999</v>
      </c>
      <c r="F922">
        <f>IF(COUNTIF($C$5:C922,C922)=1,1,0)</f>
        <v>0</v>
      </c>
      <c r="G922" s="2" t="str">
        <f t="shared" si="28"/>
        <v/>
      </c>
      <c r="H922" s="2">
        <f>MAX(0, MyBattery - (EVCleanedDataset[[#This Row],[Distance(km)]]/VehicleRangeKm)*100)</f>
        <v>0</v>
      </c>
      <c r="I922" s="2">
        <f>6371*ACOS(SIN(RADIANS(MyLat))*SIN(RADIANS(EVCleanedDataset[[#This Row],[Latitude]]))+COS(RADIANS(MyLat))*COS(RADIANS(EVCleanedDataset[[#This Row],[Latitude]]))*COS(RADIANS(EVCleanedDataset[[#This Row],[Longitude]]-MyLong)))</f>
        <v>1700.0790206382953</v>
      </c>
      <c r="J922">
        <f t="shared" si="29"/>
        <v>4</v>
      </c>
      <c r="K92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26.898647247200646</v>
      </c>
      <c r="L922" t="str">
        <f>IF(EVCleanedDataset[[#This Row],[Score]]&gt;50,"Yes","No")</f>
        <v>No</v>
      </c>
    </row>
    <row r="923" spans="1:12" x14ac:dyDescent="0.3">
      <c r="A923" t="s">
        <v>3163</v>
      </c>
      <c r="B923" t="s">
        <v>18</v>
      </c>
      <c r="C923" t="s">
        <v>259</v>
      </c>
      <c r="D923">
        <v>28.626474999999999</v>
      </c>
      <c r="E923">
        <v>77.375141999999997</v>
      </c>
      <c r="F923">
        <f>IF(COUNTIF($C$5:C923,C923)=1,1,0)</f>
        <v>0</v>
      </c>
      <c r="G923" s="2" t="str">
        <f t="shared" si="28"/>
        <v/>
      </c>
      <c r="H923" s="2">
        <f>MAX(0, MyBattery - (EVCleanedDataset[[#This Row],[Distance(km)]]/VehicleRangeKm)*100)</f>
        <v>0</v>
      </c>
      <c r="I923" s="2">
        <f>6371*ACOS(SIN(RADIANS(MyLat))*SIN(RADIANS(EVCleanedDataset[[#This Row],[Latitude]]))+COS(RADIANS(MyLat))*COS(RADIANS(EVCleanedDataset[[#This Row],[Latitude]]))*COS(RADIANS(EVCleanedDataset[[#This Row],[Longitude]]-MyLong)))</f>
        <v>1698.8474930721702</v>
      </c>
      <c r="J923">
        <f t="shared" si="29"/>
        <v>1</v>
      </c>
      <c r="K92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36.920227709951497</v>
      </c>
      <c r="L923" t="str">
        <f>IF(EVCleanedDataset[[#This Row],[Score]]&gt;50,"Yes","No")</f>
        <v>No</v>
      </c>
    </row>
    <row r="924" spans="1:12" x14ac:dyDescent="0.3">
      <c r="A924" t="s">
        <v>497</v>
      </c>
      <c r="B924" t="s">
        <v>45</v>
      </c>
      <c r="C924" t="s">
        <v>45</v>
      </c>
      <c r="D924">
        <v>28.646011000000001</v>
      </c>
      <c r="E924">
        <v>77.296796000000001</v>
      </c>
      <c r="F924">
        <f>IF(COUNTIF($C$5:C924,C924)=1,1,0)</f>
        <v>0</v>
      </c>
      <c r="G924" s="2" t="str">
        <f t="shared" si="28"/>
        <v/>
      </c>
      <c r="H924" s="2">
        <f>MAX(0, MyBattery - (EVCleanedDataset[[#This Row],[Distance(km)]]/VehicleRangeKm)*100)</f>
        <v>0</v>
      </c>
      <c r="I924" s="2">
        <f>6371*ACOS(SIN(RADIANS(MyLat))*SIN(RADIANS(EVCleanedDataset[[#This Row],[Latitude]]))+COS(RADIANS(MyLat))*COS(RADIANS(EVCleanedDataset[[#This Row],[Latitude]]))*COS(RADIANS(EVCleanedDataset[[#This Row],[Longitude]]-MyLong)))</f>
        <v>1701.1188520350101</v>
      </c>
      <c r="J924">
        <f t="shared" si="29"/>
        <v>8</v>
      </c>
      <c r="K92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13.547121049594555</v>
      </c>
      <c r="L924" t="str">
        <f>IF(EVCleanedDataset[[#This Row],[Score]]&gt;50,"Yes","No")</f>
        <v>No</v>
      </c>
    </row>
    <row r="925" spans="1:12" x14ac:dyDescent="0.3">
      <c r="A925" t="s">
        <v>3003</v>
      </c>
      <c r="B925" t="s">
        <v>45</v>
      </c>
      <c r="C925" t="s">
        <v>45</v>
      </c>
      <c r="D925">
        <v>28.6868847</v>
      </c>
      <c r="E925">
        <v>76.984928600000003</v>
      </c>
      <c r="F925">
        <f>IF(COUNTIF($C$5:C925,C925)=1,1,0)</f>
        <v>0</v>
      </c>
      <c r="G925" s="2" t="str">
        <f t="shared" si="28"/>
        <v/>
      </c>
      <c r="H925" s="2">
        <f>MAX(0, MyBattery - (EVCleanedDataset[[#This Row],[Distance(km)]]/VehicleRangeKm)*100)</f>
        <v>0</v>
      </c>
      <c r="I925" s="2">
        <f>6371*ACOS(SIN(RADIANS(MyLat))*SIN(RADIANS(EVCleanedDataset[[#This Row],[Latitude]]))+COS(RADIANS(MyLat))*COS(RADIANS(EVCleanedDataset[[#This Row],[Latitude]]))*COS(RADIANS(EVCleanedDataset[[#This Row],[Longitude]]-MyLong)))</f>
        <v>1706.4376837441091</v>
      </c>
      <c r="J925">
        <f t="shared" si="29"/>
        <v>5</v>
      </c>
      <c r="K92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23.453970600397184</v>
      </c>
      <c r="L925" t="str">
        <f>IF(EVCleanedDataset[[#This Row],[Score]]&gt;50,"Yes","No")</f>
        <v>No</v>
      </c>
    </row>
    <row r="926" spans="1:12" x14ac:dyDescent="0.3">
      <c r="A926" t="s">
        <v>2770</v>
      </c>
      <c r="B926" t="s">
        <v>463</v>
      </c>
      <c r="C926" t="s">
        <v>2671</v>
      </c>
      <c r="D926">
        <v>23.498815</v>
      </c>
      <c r="E926">
        <v>87.377674999999996</v>
      </c>
      <c r="F926">
        <f>IF(COUNTIF($C$5:C926,C926)=1,1,0)</f>
        <v>1</v>
      </c>
      <c r="G926" s="2">
        <f t="shared" si="28"/>
        <v>1532.101912486632</v>
      </c>
      <c r="H926" s="2">
        <f>MAX(0, MyBattery - (EVCleanedDataset[[#This Row],[Distance(km)]]/VehicleRangeKm)*100)</f>
        <v>0</v>
      </c>
      <c r="I926" s="2">
        <f>6371*ACOS(SIN(RADIANS(MyLat))*SIN(RADIANS(EVCleanedDataset[[#This Row],[Latitude]]))+COS(RADIANS(MyLat))*COS(RADIANS(EVCleanedDataset[[#This Row],[Latitude]]))*COS(RADIANS(EVCleanedDataset[[#This Row],[Longitude]]-MyLong)))</f>
        <v>1532.101912486632</v>
      </c>
      <c r="J926">
        <f t="shared" si="29"/>
        <v>2</v>
      </c>
      <c r="K92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36.507508075938944</v>
      </c>
      <c r="L926" t="str">
        <f>IF(EVCleanedDataset[[#This Row],[Score]]&gt;50,"Yes","No")</f>
        <v>No</v>
      </c>
    </row>
    <row r="927" spans="1:12" x14ac:dyDescent="0.3">
      <c r="A927" t="s">
        <v>2141</v>
      </c>
      <c r="B927" t="s">
        <v>45</v>
      </c>
      <c r="C927" t="s">
        <v>45</v>
      </c>
      <c r="D927">
        <v>28.709288999999998</v>
      </c>
      <c r="E927">
        <v>77.135498999999996</v>
      </c>
      <c r="F927">
        <f>IF(COUNTIF($C$5:C927,C927)=1,1,0)</f>
        <v>0</v>
      </c>
      <c r="G927" s="2" t="str">
        <f t="shared" si="28"/>
        <v/>
      </c>
      <c r="H927" s="2">
        <f>MAX(0, MyBattery - (EVCleanedDataset[[#This Row],[Distance(km)]]/VehicleRangeKm)*100)</f>
        <v>0</v>
      </c>
      <c r="I927" s="2">
        <f>6371*ACOS(SIN(RADIANS(MyLat))*SIN(RADIANS(EVCleanedDataset[[#This Row],[Latitude]]))+COS(RADIANS(MyLat))*COS(RADIANS(EVCleanedDataset[[#This Row],[Latitude]]))*COS(RADIANS(EVCleanedDataset[[#This Row],[Longitude]]-MyLong)))</f>
        <v>1708.478224485124</v>
      </c>
      <c r="J927">
        <f t="shared" si="29"/>
        <v>9</v>
      </c>
      <c r="K92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10.084916769444183</v>
      </c>
      <c r="L927" t="str">
        <f>IF(EVCleanedDataset[[#This Row],[Score]]&gt;50,"Yes","No")</f>
        <v>No</v>
      </c>
    </row>
    <row r="928" spans="1:12" x14ac:dyDescent="0.3">
      <c r="A928" t="s">
        <v>3293</v>
      </c>
      <c r="B928" t="s">
        <v>181</v>
      </c>
      <c r="C928" t="s">
        <v>2424</v>
      </c>
      <c r="D928">
        <v>30.679836000000002</v>
      </c>
      <c r="E928">
        <v>76.746633000000003</v>
      </c>
      <c r="F928">
        <f>IF(COUNTIF($C$5:C928,C928)=1,1,0)</f>
        <v>0</v>
      </c>
      <c r="G928" s="2" t="str">
        <f t="shared" si="28"/>
        <v/>
      </c>
      <c r="H928" s="2">
        <f>MAX(0, MyBattery - (EVCleanedDataset[[#This Row],[Distance(km)]]/VehicleRangeKm)*100)</f>
        <v>0</v>
      </c>
      <c r="I928" s="2">
        <f>6371*ACOS(SIN(RADIANS(MyLat))*SIN(RADIANS(EVCleanedDataset[[#This Row],[Latitude]]))+COS(RADIANS(MyLat))*COS(RADIANS(EVCleanedDataset[[#This Row],[Latitude]]))*COS(RADIANS(EVCleanedDataset[[#This Row],[Longitude]]-MyLong)))</f>
        <v>1928.7921157057954</v>
      </c>
      <c r="J928">
        <f t="shared" si="29"/>
        <v>6</v>
      </c>
      <c r="K928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16.226082911792762</v>
      </c>
      <c r="L928" t="str">
        <f>IF(EVCleanedDataset[[#This Row],[Score]]&gt;50,"Yes","No")</f>
        <v>No</v>
      </c>
    </row>
    <row r="929" spans="1:12" x14ac:dyDescent="0.3">
      <c r="A929" t="s">
        <v>3317</v>
      </c>
      <c r="B929" t="s">
        <v>18</v>
      </c>
      <c r="C929" t="s">
        <v>2561</v>
      </c>
      <c r="D929">
        <v>28.3826</v>
      </c>
      <c r="E929">
        <v>79.386066</v>
      </c>
      <c r="F929">
        <f>IF(COUNTIF($C$5:C929,C929)=1,1,0)</f>
        <v>1</v>
      </c>
      <c r="G929" s="2">
        <f t="shared" si="28"/>
        <v>1682.5365215322661</v>
      </c>
      <c r="H929" s="2">
        <f>MAX(0, MyBattery - (EVCleanedDataset[[#This Row],[Distance(km)]]/VehicleRangeKm)*100)</f>
        <v>0</v>
      </c>
      <c r="I929" s="2">
        <f>6371*ACOS(SIN(RADIANS(MyLat))*SIN(RADIANS(EVCleanedDataset[[#This Row],[Latitude]]))+COS(RADIANS(MyLat))*COS(RADIANS(EVCleanedDataset[[#This Row],[Latitude]]))*COS(RADIANS(EVCleanedDataset[[#This Row],[Longitude]]-MyLong)))</f>
        <v>1682.5543255194793</v>
      </c>
      <c r="J929">
        <f t="shared" si="29"/>
        <v>3</v>
      </c>
      <c r="K92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30.538999278783439</v>
      </c>
      <c r="L929" t="str">
        <f>IF(EVCleanedDataset[[#This Row],[Score]]&gt;50,"Yes","No")</f>
        <v>No</v>
      </c>
    </row>
    <row r="930" spans="1:12" x14ac:dyDescent="0.3">
      <c r="A930" t="s">
        <v>696</v>
      </c>
      <c r="B930" t="s">
        <v>68</v>
      </c>
      <c r="C930" t="s">
        <v>69</v>
      </c>
      <c r="D930">
        <v>23.116852300000001</v>
      </c>
      <c r="E930">
        <v>72.628852199999997</v>
      </c>
      <c r="F930">
        <f>IF(COUNTIF($C$5:C930,C930)=1,1,0)</f>
        <v>0</v>
      </c>
      <c r="G930" s="2" t="str">
        <f t="shared" si="28"/>
        <v/>
      </c>
      <c r="H930" s="2">
        <f>MAX(0, MyBattery - (EVCleanedDataset[[#This Row],[Distance(km)]]/VehicleRangeKm)*100)</f>
        <v>0</v>
      </c>
      <c r="I930" s="2">
        <f>6371*ACOS(SIN(RADIANS(MyLat))*SIN(RADIANS(EVCleanedDataset[[#This Row],[Latitude]]))+COS(RADIANS(MyLat))*COS(RADIANS(EVCleanedDataset[[#This Row],[Latitude]]))*COS(RADIANS(EVCleanedDataset[[#This Row],[Longitude]]-MyLong)))</f>
        <v>1203.1352883992545</v>
      </c>
      <c r="J930">
        <f t="shared" si="29"/>
        <v>0</v>
      </c>
      <c r="K930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48.936133928447639</v>
      </c>
      <c r="L930" t="str">
        <f>IF(EVCleanedDataset[[#This Row],[Score]]&gt;50,"Yes","No")</f>
        <v>No</v>
      </c>
    </row>
    <row r="931" spans="1:12" x14ac:dyDescent="0.3">
      <c r="A931" t="s">
        <v>3093</v>
      </c>
      <c r="B931" t="s">
        <v>463</v>
      </c>
      <c r="C931" t="s">
        <v>1160</v>
      </c>
      <c r="D931">
        <v>22.61075181</v>
      </c>
      <c r="E931">
        <v>88.46672221</v>
      </c>
      <c r="F931">
        <f>IF(COUNTIF($C$5:C931,C931)=1,1,0)</f>
        <v>0</v>
      </c>
      <c r="G931" s="2" t="str">
        <f t="shared" si="28"/>
        <v/>
      </c>
      <c r="H931" s="2">
        <f>MAX(0, MyBattery - (EVCleanedDataset[[#This Row],[Distance(km)]]/VehicleRangeKm)*100)</f>
        <v>0</v>
      </c>
      <c r="I931" s="2">
        <f>6371*ACOS(SIN(RADIANS(MyLat))*SIN(RADIANS(EVCleanedDataset[[#This Row],[Latitude]]))+COS(RADIANS(MyLat))*COS(RADIANS(EVCleanedDataset[[#This Row],[Latitude]]))*COS(RADIANS(EVCleanedDataset[[#This Row],[Longitude]]-MyLong)))</f>
        <v>1546.77866745029</v>
      </c>
      <c r="J931">
        <f t="shared" si="29"/>
        <v>7</v>
      </c>
      <c r="K931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19.583824978154507</v>
      </c>
      <c r="L931" t="str">
        <f>IF(EVCleanedDataset[[#This Row],[Score]]&gt;50,"Yes","No")</f>
        <v>No</v>
      </c>
    </row>
    <row r="932" spans="1:12" x14ac:dyDescent="0.3">
      <c r="A932" t="s">
        <v>2776</v>
      </c>
      <c r="B932" t="s">
        <v>24</v>
      </c>
      <c r="C932" t="s">
        <v>28</v>
      </c>
      <c r="D932">
        <v>30.879000000000001</v>
      </c>
      <c r="E932">
        <v>76.994799999999998</v>
      </c>
      <c r="F932">
        <f>IF(COUNTIF($C$5:C932,C932)=1,1,0)</f>
        <v>1</v>
      </c>
      <c r="G932" s="2">
        <f t="shared" si="28"/>
        <v>1950.0261350448816</v>
      </c>
      <c r="H932" s="2">
        <f>MAX(0, MyBattery - (EVCleanedDataset[[#This Row],[Distance(km)]]/VehicleRangeKm)*100)</f>
        <v>0</v>
      </c>
      <c r="I932" s="2">
        <f>6371*ACOS(SIN(RADIANS(MyLat))*SIN(RADIANS(EVCleanedDataset[[#This Row],[Latitude]]))+COS(RADIANS(MyLat))*COS(RADIANS(EVCleanedDataset[[#This Row],[Latitude]]))*COS(RADIANS(EVCleanedDataset[[#This Row],[Longitude]]-MyLong)))</f>
        <v>1950.0261350448816</v>
      </c>
      <c r="J932">
        <f t="shared" si="29"/>
        <v>4</v>
      </c>
      <c r="K932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22.520871291119967</v>
      </c>
      <c r="L932" t="str">
        <f>IF(EVCleanedDataset[[#This Row],[Score]]&gt;50,"Yes","No")</f>
        <v>No</v>
      </c>
    </row>
    <row r="933" spans="1:12" x14ac:dyDescent="0.3">
      <c r="A933" t="s">
        <v>2841</v>
      </c>
      <c r="B933" t="s">
        <v>2745</v>
      </c>
      <c r="C933" t="s">
        <v>252</v>
      </c>
      <c r="D933">
        <v>32.989899999999999</v>
      </c>
      <c r="E933">
        <v>74.9255</v>
      </c>
      <c r="F933">
        <f>IF(COUNTIF($C$5:C933,C933)=1,1,0)</f>
        <v>1</v>
      </c>
      <c r="G933" s="2">
        <f t="shared" si="28"/>
        <v>2199.9703604113029</v>
      </c>
      <c r="H933" s="2">
        <f>MAX(0, MyBattery - (EVCleanedDataset[[#This Row],[Distance(km)]]/VehicleRangeKm)*100)</f>
        <v>0</v>
      </c>
      <c r="I933" s="2">
        <f>6371*ACOS(SIN(RADIANS(MyLat))*SIN(RADIANS(EVCleanedDataset[[#This Row],[Latitude]]))+COS(RADIANS(MyLat))*COS(RADIANS(EVCleanedDataset[[#This Row],[Latitude]]))*COS(RADIANS(EVCleanedDataset[[#This Row],[Longitude]]-MyLong)))</f>
        <v>2199.9703604113029</v>
      </c>
      <c r="J933">
        <f t="shared" si="29"/>
        <v>1</v>
      </c>
      <c r="K933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28.143055937181689</v>
      </c>
      <c r="L933" t="str">
        <f>IF(EVCleanedDataset[[#This Row],[Score]]&gt;50,"Yes","No")</f>
        <v>No</v>
      </c>
    </row>
    <row r="934" spans="1:12" x14ac:dyDescent="0.3">
      <c r="A934" t="s">
        <v>1485</v>
      </c>
      <c r="B934" t="s">
        <v>14</v>
      </c>
      <c r="C934" t="s">
        <v>262</v>
      </c>
      <c r="D934">
        <v>27.4914624</v>
      </c>
      <c r="E934">
        <v>76.053007699999995</v>
      </c>
      <c r="F934">
        <f>IF(COUNTIF($C$5:C934,C934)=1,1,0)</f>
        <v>0</v>
      </c>
      <c r="G934" s="2" t="str">
        <f t="shared" si="28"/>
        <v/>
      </c>
      <c r="H934" s="2">
        <f>MAX(0, MyBattery - (EVCleanedDataset[[#This Row],[Distance(km)]]/VehicleRangeKm)*100)</f>
        <v>0</v>
      </c>
      <c r="I934" s="2">
        <f>6371*ACOS(SIN(RADIANS(MyLat))*SIN(RADIANS(EVCleanedDataset[[#This Row],[Latitude]]))+COS(RADIANS(MyLat))*COS(RADIANS(EVCleanedDataset[[#This Row],[Latitude]]))*COS(RADIANS(EVCleanedDataset[[#This Row],[Longitude]]-MyLong)))</f>
        <v>1580.0928853653461</v>
      </c>
      <c r="J934">
        <f t="shared" si="29"/>
        <v>8</v>
      </c>
      <c r="K934" s="5">
        <f>((1-(EVCleanedDataset[[#This Row],[Distance(km)]]/MAX($I$5:$I$1121)))*0.4 + (1-(EVCleanedDataset[[#This Row],[QueueLength]]/MAX($J$5:$J$1121)))*0.3 + (EVCleanedDataset[[#This Row],[EstimatedBatteryOnArrival]]/100)*0.3 + (ROW()/10000000))*100</f>
        <v>15.667016154260835</v>
      </c>
      <c r="L934" t="str">
        <f>IF(EVCleanedDataset[[#This Row],[Score]]&gt;50,"Yes","No")</f>
        <v>No</v>
      </c>
    </row>
    <row r="935" spans="1:12" x14ac:dyDescent="0.3">
      <c r="A935" t="s">
        <v>1450</v>
      </c>
      <c r="B935" t="s">
        <v>41</v>
      </c>
      <c r="C935" t="s">
        <v>987</v>
      </c>
      <c r="D935">
        <v>20.928620500000001</v>
      </c>
      <c r="E935">
        <v>79.001812000000001</v>
      </c>
      <c r="F935">
        <f>IF(COUNTIF($C$5:C935,C935)=1,1,0)</f>
        <v>0</v>
      </c>
      <c r="G935" s="2" t="str">
        <f t="shared" si="28"/>
        <v/>
      </c>
      <c r="H935" s="2">
        <f>MAX(0, MyBattery - (EVCleanedDataset[[#This Row],[Distance(km)]]/VehicleRangeKm)*100)</f>
        <v>0</v>
      </c>
      <c r="I935" s="2">
        <f>6371*ACOS(SIN(RADIANS(MyLat))*SIN(RADIANS(EVCleanedDataset[[#This Row],[Latitude]]))+COS(RADIANS(MyLat))*COS(RADIANS(EVCleanedDataset[[#This Row],[Latitude]]))*COS(RADIANS(EVCleanedDataset[[#This Row],[Longitude]]-MyLong)))</f>
        <v>857.01758607116358</v>
      </c>
      <c r="J935">
        <f t="shared" si="29"/>
        <v>5</v>
      </c>
      <c r="K935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38.331841168154149</v>
      </c>
      <c r="L935" t="str">
        <f>IF(EVCleanedDataset[[#This Row],[Score]]&gt;50,"Yes","No")</f>
        <v>No</v>
      </c>
    </row>
    <row r="936" spans="1:12" x14ac:dyDescent="0.3">
      <c r="A936" t="s">
        <v>2968</v>
      </c>
      <c r="B936" t="s">
        <v>68</v>
      </c>
      <c r="C936" t="s">
        <v>1117</v>
      </c>
      <c r="D936">
        <v>21.885704</v>
      </c>
      <c r="E936">
        <v>73.688136</v>
      </c>
      <c r="F936">
        <f>IF(COUNTIF($C$5:C936,C936)=1,1,0)</f>
        <v>1</v>
      </c>
      <c r="G936" s="2">
        <f t="shared" si="28"/>
        <v>1032.9805398726839</v>
      </c>
      <c r="H936" s="2">
        <f>MAX(0, MyBattery - (EVCleanedDataset[[#This Row],[Distance(km)]]/VehicleRangeKm)*100)</f>
        <v>0</v>
      </c>
      <c r="I936" s="2">
        <f>6371*ACOS(SIN(RADIANS(MyLat))*SIN(RADIANS(EVCleanedDataset[[#This Row],[Latitude]]))+COS(RADIANS(MyLat))*COS(RADIANS(EVCleanedDataset[[#This Row],[Latitude]]))*COS(RADIANS(EVCleanedDataset[[#This Row],[Longitude]]-MyLong)))</f>
        <v>1032.9805398726839</v>
      </c>
      <c r="J936">
        <f t="shared" si="29"/>
        <v>2</v>
      </c>
      <c r="K936" s="5">
        <f>((1-(EVCleanedDataset[[#This Row],[Distance(km)]]/MAX($I$5:$I$1121)))*0.4 + (1-(EVCleanedDataset[[#This Row],[QueueLength]]/MAX($J$5:$J$1121)))*0.3 + (EVCleanedDataset[[#This Row],[EstimatedBatteryOnArrival]]/100)*0.3 + (ROW()/10000000))*100</f>
        <v>45.249823250218277</v>
      </c>
      <c r="L936" t="str">
        <f>IF(EVCleanedDataset[[#This Row],[Score]]&gt;50,"Yes","No")</f>
        <v>No</v>
      </c>
    </row>
    <row r="937" spans="1:12" x14ac:dyDescent="0.3">
      <c r="A937" t="s">
        <v>3015</v>
      </c>
      <c r="B937" t="s">
        <v>313</v>
      </c>
      <c r="C937" t="s">
        <v>1110</v>
      </c>
      <c r="D937">
        <v>20.306664699999999</v>
      </c>
      <c r="E937">
        <v>85.852818900000003</v>
      </c>
      <c r="F937">
        <f>IF(COUNTIF($C$5:C937,C937)=1,1,0)</f>
        <v>0</v>
      </c>
      <c r="G937" s="2" t="str">
        <f t="shared" si="28"/>
        <v/>
      </c>
      <c r="H937" s="2">
        <f>MAX(0, MyBattery - (EVCleanedDataset[[#This Row],[Distance(km)]]/VehicleRangeKm)*100)</f>
        <v>0</v>
      </c>
      <c r="I937" s="2">
        <f>6371*ACOS(SIN(RADIANS(MyLat))*SIN(RADIANS(EVCleanedDataset[[#This Row],[Latitude]]))+COS(RADIANS(MyLat))*COS(RADIANS(EVCleanedDataset[[#This Row],[Latitude]]))*COS(RADIANS(EVCleanedDataset[[#This Row],[Longitude]]-MyLong)))</f>
        <v>1174.9273486147474</v>
      </c>
      <c r="J937">
        <f t="shared" si="29"/>
        <v>9</v>
      </c>
      <c r="K937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19.430271890169671</v>
      </c>
      <c r="L937" t="str">
        <f>IF(EVCleanedDataset[[#This Row],[Score]]&gt;50,"Yes","No")</f>
        <v>No</v>
      </c>
    </row>
    <row r="938" spans="1:12" x14ac:dyDescent="0.3">
      <c r="A938" t="s">
        <v>2361</v>
      </c>
      <c r="B938" t="s">
        <v>41</v>
      </c>
      <c r="C938" t="s">
        <v>987</v>
      </c>
      <c r="D938">
        <v>21.134589999999999</v>
      </c>
      <c r="E938">
        <v>79.004423000000003</v>
      </c>
      <c r="F938">
        <f>IF(COUNTIF($C$5:C938,C938)=1,1,0)</f>
        <v>0</v>
      </c>
      <c r="G938" s="2" t="str">
        <f t="shared" si="28"/>
        <v/>
      </c>
      <c r="H938" s="2">
        <f>MAX(0, MyBattery - (EVCleanedDataset[[#This Row],[Distance(km)]]/VehicleRangeKm)*100)</f>
        <v>0</v>
      </c>
      <c r="I938" s="2">
        <f>6371*ACOS(SIN(RADIANS(MyLat))*SIN(RADIANS(EVCleanedDataset[[#This Row],[Latitude]]))+COS(RADIANS(MyLat))*COS(RADIANS(EVCleanedDataset[[#This Row],[Latitude]]))*COS(RADIANS(EVCleanedDataset[[#This Row],[Longitude]]-MyLong)))</f>
        <v>879.58247291213536</v>
      </c>
      <c r="J938">
        <f t="shared" si="29"/>
        <v>6</v>
      </c>
      <c r="K938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34.603309124990311</v>
      </c>
      <c r="L938" t="str">
        <f>IF(EVCleanedDataset[[#This Row],[Score]]&gt;50,"Yes","No")</f>
        <v>No</v>
      </c>
    </row>
    <row r="939" spans="1:12" x14ac:dyDescent="0.3">
      <c r="A939" t="s">
        <v>2770</v>
      </c>
      <c r="B939" t="s">
        <v>463</v>
      </c>
      <c r="C939" t="s">
        <v>1354</v>
      </c>
      <c r="D939">
        <v>21.623311999999999</v>
      </c>
      <c r="E939">
        <v>87.508938999999998</v>
      </c>
      <c r="F939">
        <f>IF(COUNTIF($C$5:C939,C939)=1,1,0)</f>
        <v>0</v>
      </c>
      <c r="G939" s="2" t="str">
        <f t="shared" si="28"/>
        <v/>
      </c>
      <c r="H939" s="2">
        <f>MAX(0, MyBattery - (EVCleanedDataset[[#This Row],[Distance(km)]]/VehicleRangeKm)*100)</f>
        <v>0</v>
      </c>
      <c r="I939" s="2">
        <f>6371*ACOS(SIN(RADIANS(MyLat))*SIN(RADIANS(EVCleanedDataset[[#This Row],[Latitude]]))+COS(RADIANS(MyLat))*COS(RADIANS(EVCleanedDataset[[#This Row],[Latitude]]))*COS(RADIANS(EVCleanedDataset[[#This Row],[Longitude]]-MyLong)))</f>
        <v>1400.7457925754989</v>
      </c>
      <c r="J939">
        <f t="shared" si="29"/>
        <v>3</v>
      </c>
      <c r="K939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35.475034640641383</v>
      </c>
      <c r="L939" t="str">
        <f>IF(EVCleanedDataset[[#This Row],[Score]]&gt;50,"Yes","No")</f>
        <v>No</v>
      </c>
    </row>
    <row r="940" spans="1:12" x14ac:dyDescent="0.3">
      <c r="A940" t="s">
        <v>1246</v>
      </c>
      <c r="B940" t="s">
        <v>418</v>
      </c>
      <c r="C940" t="s">
        <v>1247</v>
      </c>
      <c r="D940">
        <v>25.252209400000002</v>
      </c>
      <c r="E940">
        <v>87.045028900000005</v>
      </c>
      <c r="F940">
        <f>IF(COUNTIF($C$5:C940,C940)=1,1,0)</f>
        <v>1</v>
      </c>
      <c r="G940" s="2">
        <f t="shared" si="28"/>
        <v>1655.9615315427616</v>
      </c>
      <c r="H940" s="2">
        <f>MAX(0, MyBattery - (EVCleanedDataset[[#This Row],[Distance(km)]]/VehicleRangeKm)*100)</f>
        <v>0</v>
      </c>
      <c r="I940" s="2">
        <f>6371*ACOS(SIN(RADIANS(MyLat))*SIN(RADIANS(EVCleanedDataset[[#This Row],[Latitude]]))+COS(RADIANS(MyLat))*COS(RADIANS(EVCleanedDataset[[#This Row],[Latitude]]))*COS(RADIANS(EVCleanedDataset[[#This Row],[Longitude]]-MyLong)))</f>
        <v>1655.9615315427616</v>
      </c>
      <c r="J940">
        <f t="shared" si="29"/>
        <v>0</v>
      </c>
      <c r="K940" s="5">
        <f>((1-(EVCleanedDataset[[#This Row],[Distance(km)]]/MAX($I$5:$I$1121)))*0.4 + (1-(EVCleanedDataset[[#This Row],[QueueLength]]/MAX($J$5:$J$1121)))*0.3 + (EVCleanedDataset[[#This Row],[EstimatedBatteryOnArrival]]/100)*0.3 + (ROW()/10000000))*100</f>
        <v>41.004887624062917</v>
      </c>
      <c r="L940" t="str">
        <f>IF(EVCleanedDataset[[#This Row],[Score]]&gt;50,"Yes","No")</f>
        <v>No</v>
      </c>
    </row>
    <row r="941" spans="1:12" x14ac:dyDescent="0.3">
      <c r="A941" t="s">
        <v>758</v>
      </c>
      <c r="B941" t="s">
        <v>18</v>
      </c>
      <c r="C941" t="s">
        <v>1085</v>
      </c>
      <c r="D941">
        <v>26.845889499999998</v>
      </c>
      <c r="E941">
        <v>80.937918400000001</v>
      </c>
      <c r="F941">
        <f>IF(COUNTIF($C$5:C941,C941)=1,1,0)</f>
        <v>0</v>
      </c>
      <c r="G941" s="2" t="str">
        <f t="shared" si="28"/>
        <v/>
      </c>
      <c r="H941" s="2">
        <f>MAX(0, MyBattery - (EVCleanedDataset[[#This Row],[Distance(km)]]/VehicleRangeKm)*100)</f>
        <v>0</v>
      </c>
      <c r="I941" s="2">
        <f>6371*ACOS(SIN(RADIANS(MyLat))*SIN(RADIANS(EVCleanedDataset[[#This Row],[Latitude]]))+COS(RADIANS(MyLat))*COS(RADIANS(EVCleanedDataset[[#This Row],[Latitude]]))*COS(RADIANS(EVCleanedDataset[[#This Row],[Longitude]]-MyLong)))</f>
        <v>1541.9404076603512</v>
      </c>
      <c r="J941">
        <f t="shared" si="29"/>
        <v>7</v>
      </c>
      <c r="K941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19.668668109732295</v>
      </c>
      <c r="L941" t="str">
        <f>IF(EVCleanedDataset[[#This Row],[Score]]&gt;50,"Yes","No")</f>
        <v>No</v>
      </c>
    </row>
    <row r="942" spans="1:12" x14ac:dyDescent="0.3">
      <c r="A942" t="s">
        <v>629</v>
      </c>
      <c r="B942" t="s">
        <v>502</v>
      </c>
      <c r="C942" t="s">
        <v>1985</v>
      </c>
      <c r="D942">
        <v>17.686180499999999</v>
      </c>
      <c r="E942">
        <v>83.206528500000005</v>
      </c>
      <c r="F942">
        <f>IF(COUNTIF($C$5:C942,C942)=1,1,0)</f>
        <v>0</v>
      </c>
      <c r="G942" s="2" t="str">
        <f t="shared" si="28"/>
        <v/>
      </c>
      <c r="H942" s="2">
        <f>MAX(0, MyBattery - (EVCleanedDataset[[#This Row],[Distance(km)]]/VehicleRangeKm)*100)</f>
        <v>0</v>
      </c>
      <c r="I942" s="2">
        <f>6371*ACOS(SIN(RADIANS(MyLat))*SIN(RADIANS(EVCleanedDataset[[#This Row],[Latitude]]))+COS(RADIANS(MyLat))*COS(RADIANS(EVCleanedDataset[[#This Row],[Latitude]]))*COS(RADIANS(EVCleanedDataset[[#This Row],[Longitude]]-MyLong)))</f>
        <v>775.40698128314727</v>
      </c>
      <c r="J942">
        <f t="shared" si="29"/>
        <v>4</v>
      </c>
      <c r="K942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43.094671303676819</v>
      </c>
      <c r="L942" t="str">
        <f>IF(EVCleanedDataset[[#This Row],[Score]]&gt;50,"Yes","No")</f>
        <v>No</v>
      </c>
    </row>
    <row r="943" spans="1:12" x14ac:dyDescent="0.3">
      <c r="A943" t="s">
        <v>1398</v>
      </c>
      <c r="B943" t="s">
        <v>18</v>
      </c>
      <c r="C943" t="s">
        <v>1399</v>
      </c>
      <c r="D943">
        <v>28.0088483</v>
      </c>
      <c r="E943">
        <v>76.463978299999994</v>
      </c>
      <c r="F943">
        <f>IF(COUNTIF($C$5:C943,C943)=1,1,0)</f>
        <v>1</v>
      </c>
      <c r="G943" s="2">
        <f t="shared" si="28"/>
        <v>1633.879058439659</v>
      </c>
      <c r="H943" s="2">
        <f>MAX(0, MyBattery - (EVCleanedDataset[[#This Row],[Distance(km)]]/VehicleRangeKm)*100)</f>
        <v>0</v>
      </c>
      <c r="I943" s="2">
        <f>6371*ACOS(SIN(RADIANS(MyLat))*SIN(RADIANS(EVCleanedDataset[[#This Row],[Latitude]]))+COS(RADIANS(MyLat))*COS(RADIANS(EVCleanedDataset[[#This Row],[Latitude]]))*COS(RADIANS(EVCleanedDataset[[#This Row],[Longitude]]-MyLong)))</f>
        <v>1633.879058439659</v>
      </c>
      <c r="J943">
        <f t="shared" si="29"/>
        <v>1</v>
      </c>
      <c r="K943" s="5">
        <f>((1-(EVCleanedDataset[[#This Row],[Distance(km)]]/MAX($I$5:$I$1121)))*0.4 + (1-(EVCleanedDataset[[#This Row],[QueueLength]]/MAX($J$5:$J$1121)))*0.3 + (EVCleanedDataset[[#This Row],[EstimatedBatteryOnArrival]]/100)*0.3 + (ROW()/10000000))*100</f>
        <v>38.058363423100808</v>
      </c>
      <c r="L943" t="str">
        <f>IF(EVCleanedDataset[[#This Row],[Score]]&gt;50,"Yes","No")</f>
        <v>No</v>
      </c>
    </row>
    <row r="944" spans="1:12" x14ac:dyDescent="0.3">
      <c r="A944" t="s">
        <v>591</v>
      </c>
      <c r="B944" t="s">
        <v>502</v>
      </c>
      <c r="C944" t="s">
        <v>1985</v>
      </c>
      <c r="D944">
        <v>17.731454500000002</v>
      </c>
      <c r="E944">
        <v>83.340574899999993</v>
      </c>
      <c r="F944">
        <f>IF(COUNTIF($C$5:C944,C944)=1,1,0)</f>
        <v>0</v>
      </c>
      <c r="G944" s="2" t="str">
        <f t="shared" si="28"/>
        <v/>
      </c>
      <c r="H944" s="2">
        <f>MAX(0, MyBattery - (EVCleanedDataset[[#This Row],[Distance(km)]]/VehicleRangeKm)*100)</f>
        <v>0</v>
      </c>
      <c r="I944" s="2">
        <f>6371*ACOS(SIN(RADIANS(MyLat))*SIN(RADIANS(EVCleanedDataset[[#This Row],[Latitude]]))+COS(RADIANS(MyLat))*COS(RADIANS(EVCleanedDataset[[#This Row],[Latitude]]))*COS(RADIANS(EVCleanedDataset[[#This Row],[Longitude]]-MyLong)))</f>
        <v>789.73887553201507</v>
      </c>
      <c r="J944">
        <f t="shared" si="29"/>
        <v>8</v>
      </c>
      <c r="K944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29.510331846732612</v>
      </c>
      <c r="L944" t="str">
        <f>IF(EVCleanedDataset[[#This Row],[Score]]&gt;50,"Yes","No")</f>
        <v>No</v>
      </c>
    </row>
    <row r="945" spans="1:12" x14ac:dyDescent="0.3">
      <c r="A945" t="s">
        <v>2770</v>
      </c>
      <c r="B945" t="s">
        <v>2684</v>
      </c>
      <c r="C945" t="s">
        <v>2685</v>
      </c>
      <c r="D945">
        <v>23.862068300000001</v>
      </c>
      <c r="E945">
        <v>91.282239099999998</v>
      </c>
      <c r="F945">
        <f>IF(COUNTIF($C$5:C945,C945)=1,1,0)</f>
        <v>1</v>
      </c>
      <c r="G945" s="2">
        <f t="shared" si="28"/>
        <v>1858.9395874035918</v>
      </c>
      <c r="H945" s="2">
        <f>MAX(0, MyBattery - (EVCleanedDataset[[#This Row],[Distance(km)]]/VehicleRangeKm)*100)</f>
        <v>0</v>
      </c>
      <c r="I945" s="2">
        <f>6371*ACOS(SIN(RADIANS(MyLat))*SIN(RADIANS(EVCleanedDataset[[#This Row],[Latitude]]))+COS(RADIANS(MyLat))*COS(RADIANS(EVCleanedDataset[[#This Row],[Latitude]]))*COS(RADIANS(EVCleanedDataset[[#This Row],[Longitude]]-MyLong)))</f>
        <v>1858.9395874035918</v>
      </c>
      <c r="J945">
        <f t="shared" si="29"/>
        <v>5</v>
      </c>
      <c r="K945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20.783067879837873</v>
      </c>
      <c r="L945" t="str">
        <f>IF(EVCleanedDataset[[#This Row],[Score]]&gt;50,"Yes","No")</f>
        <v>No</v>
      </c>
    </row>
    <row r="946" spans="1:12" x14ac:dyDescent="0.3">
      <c r="A946" t="s">
        <v>627</v>
      </c>
      <c r="B946" t="s">
        <v>502</v>
      </c>
      <c r="C946" t="s">
        <v>1985</v>
      </c>
      <c r="D946">
        <v>17.800083799999999</v>
      </c>
      <c r="E946">
        <v>83.3473927</v>
      </c>
      <c r="F946">
        <f>IF(COUNTIF($C$5:C946,C946)=1,1,0)</f>
        <v>0</v>
      </c>
      <c r="G946" s="2" t="str">
        <f t="shared" si="28"/>
        <v/>
      </c>
      <c r="H946" s="2">
        <f>MAX(0, MyBattery - (EVCleanedDataset[[#This Row],[Distance(km)]]/VehicleRangeKm)*100)</f>
        <v>0</v>
      </c>
      <c r="I946" s="2">
        <f>6371*ACOS(SIN(RADIANS(MyLat))*SIN(RADIANS(EVCleanedDataset[[#This Row],[Latitude]]))+COS(RADIANS(MyLat))*COS(RADIANS(EVCleanedDataset[[#This Row],[Latitude]]))*COS(RADIANS(EVCleanedDataset[[#This Row],[Longitude]]-MyLong)))</f>
        <v>794.95553515654115</v>
      </c>
      <c r="J946">
        <f t="shared" si="29"/>
        <v>2</v>
      </c>
      <c r="K946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49.418980962953889</v>
      </c>
      <c r="L946" t="str">
        <f>IF(EVCleanedDataset[[#This Row],[Score]]&gt;50,"Yes","No")</f>
        <v>No</v>
      </c>
    </row>
    <row r="947" spans="1:12" x14ac:dyDescent="0.3">
      <c r="A947" t="s">
        <v>3286</v>
      </c>
      <c r="B947" t="s">
        <v>313</v>
      </c>
      <c r="C947" t="s">
        <v>2442</v>
      </c>
      <c r="D947">
        <v>20.950256199999998</v>
      </c>
      <c r="E947">
        <v>85.989752999999993</v>
      </c>
      <c r="F947">
        <f>IF(COUNTIF($C$5:C947,C947)=1,1,0)</f>
        <v>1</v>
      </c>
      <c r="G947" s="2">
        <f t="shared" si="28"/>
        <v>1232.5731799685743</v>
      </c>
      <c r="H947" s="2">
        <f>MAX(0, MyBattery - (EVCleanedDataset[[#This Row],[Distance(km)]]/VehicleRangeKm)*100)</f>
        <v>0</v>
      </c>
      <c r="I947" s="2">
        <f>6371*ACOS(SIN(RADIANS(MyLat))*SIN(RADIANS(EVCleanedDataset[[#This Row],[Latitude]]))+COS(RADIANS(MyLat))*COS(RADIANS(EVCleanedDataset[[#This Row],[Latitude]]))*COS(RADIANS(EVCleanedDataset[[#This Row],[Longitude]]-MyLong)))</f>
        <v>1232.5731799685743</v>
      </c>
      <c r="J947">
        <f t="shared" si="29"/>
        <v>9</v>
      </c>
      <c r="K947" s="5">
        <f>((1-(EVCleanedDataset[[#This Row],[Distance(km)]]/MAX($I$5:$I$1121)))*0.4 + (1-(EVCleanedDataset[[#This Row],[QueueLength]]/MAX($J$5:$J$1121)))*0.3 + (EVCleanedDataset[[#This Row],[EstimatedBatteryOnArrival]]/100)*0.3 + (ROW()/10000000))*100</f>
        <v>18.420693104113834</v>
      </c>
      <c r="L947" t="str">
        <f>IF(EVCleanedDataset[[#This Row],[Score]]&gt;50,"Yes","No")</f>
        <v>No</v>
      </c>
    </row>
    <row r="948" spans="1:12" x14ac:dyDescent="0.3">
      <c r="A948" t="s">
        <v>1469</v>
      </c>
      <c r="B948" t="s">
        <v>68</v>
      </c>
      <c r="C948" t="s">
        <v>185</v>
      </c>
      <c r="D948">
        <v>22.3205834</v>
      </c>
      <c r="E948">
        <v>73.188377900000006</v>
      </c>
      <c r="F948">
        <f>IF(COUNTIF($C$5:C948,C948)=1,1,0)</f>
        <v>0</v>
      </c>
      <c r="G948" s="2" t="str">
        <f t="shared" si="28"/>
        <v/>
      </c>
      <c r="H948" s="2">
        <f>MAX(0, MyBattery - (EVCleanedDataset[[#This Row],[Distance(km)]]/VehicleRangeKm)*100)</f>
        <v>0</v>
      </c>
      <c r="I948" s="2">
        <f>6371*ACOS(SIN(RADIANS(MyLat))*SIN(RADIANS(EVCleanedDataset[[#This Row],[Latitude]]))+COS(RADIANS(MyLat))*COS(RADIANS(EVCleanedDataset[[#This Row],[Latitude]]))*COS(RADIANS(EVCleanedDataset[[#This Row],[Longitude]]-MyLong)))</f>
        <v>1098.4185671705461</v>
      </c>
      <c r="J948">
        <f t="shared" si="29"/>
        <v>6</v>
      </c>
      <c r="K948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30.770449190041543</v>
      </c>
      <c r="L948" t="str">
        <f>IF(EVCleanedDataset[[#This Row],[Score]]&gt;50,"Yes","No")</f>
        <v>No</v>
      </c>
    </row>
    <row r="949" spans="1:12" x14ac:dyDescent="0.3">
      <c r="A949" t="s">
        <v>2985</v>
      </c>
      <c r="B949" t="s">
        <v>68</v>
      </c>
      <c r="C949" t="s">
        <v>185</v>
      </c>
      <c r="D949">
        <v>22.321698600000001</v>
      </c>
      <c r="E949">
        <v>73.154985999999994</v>
      </c>
      <c r="F949">
        <f>IF(COUNTIF($C$5:C949,C949)=1,1,0)</f>
        <v>0</v>
      </c>
      <c r="G949" s="2" t="str">
        <f t="shared" si="28"/>
        <v/>
      </c>
      <c r="H949" s="2">
        <f>MAX(0, MyBattery - (EVCleanedDataset[[#This Row],[Distance(km)]]/VehicleRangeKm)*100)</f>
        <v>0</v>
      </c>
      <c r="I949" s="2">
        <f>6371*ACOS(SIN(RADIANS(MyLat))*SIN(RADIANS(EVCleanedDataset[[#This Row],[Latitude]]))+COS(RADIANS(MyLat))*COS(RADIANS(EVCleanedDataset[[#This Row],[Latitude]]))*COS(RADIANS(EVCleanedDataset[[#This Row],[Longitude]]-MyLong)))</f>
        <v>1100.0123073857765</v>
      </c>
      <c r="J949">
        <f t="shared" si="29"/>
        <v>3</v>
      </c>
      <c r="K949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40.74254449702714</v>
      </c>
      <c r="L949" t="str">
        <f>IF(EVCleanedDataset[[#This Row],[Score]]&gt;50,"Yes","No")</f>
        <v>No</v>
      </c>
    </row>
    <row r="950" spans="1:12" x14ac:dyDescent="0.3">
      <c r="A950" t="s">
        <v>2770</v>
      </c>
      <c r="B950" t="s">
        <v>313</v>
      </c>
      <c r="C950" t="s">
        <v>2442</v>
      </c>
      <c r="D950">
        <v>20.979188329999999</v>
      </c>
      <c r="E950">
        <v>86.027299999999997</v>
      </c>
      <c r="F950">
        <f>IF(COUNTIF($C$5:C950,C950)=1,1,0)</f>
        <v>0</v>
      </c>
      <c r="G950" s="2" t="str">
        <f t="shared" si="28"/>
        <v/>
      </c>
      <c r="H950" s="2">
        <f>MAX(0, MyBattery - (EVCleanedDataset[[#This Row],[Distance(km)]]/VehicleRangeKm)*100)</f>
        <v>0</v>
      </c>
      <c r="I950" s="2">
        <f>6371*ACOS(SIN(RADIANS(MyLat))*SIN(RADIANS(EVCleanedDataset[[#This Row],[Latitude]]))+COS(RADIANS(MyLat))*COS(RADIANS(EVCleanedDataset[[#This Row],[Latitude]]))*COS(RADIANS(EVCleanedDataset[[#This Row],[Longitude]]-MyLong)))</f>
        <v>1237.6233769968326</v>
      </c>
      <c r="J950">
        <f t="shared" si="29"/>
        <v>0</v>
      </c>
      <c r="K950" s="5">
        <f>((1-(EVCleanedDataset[[#This Row],[Distance(km)]]/MAX($I$5:$I$1121)))*0.4 + (1-(EVCleanedDataset[[#This Row],[QueueLength]]/MAX($J$5:$J$1121)))*0.3 + (EVCleanedDataset[[#This Row],[EstimatedBatteryOnArrival]]/100)*0.3 + (ROW()/10000000))*100</f>
        <v>48.332267847504959</v>
      </c>
      <c r="L950" t="str">
        <f>IF(EVCleanedDataset[[#This Row],[Score]]&gt;50,"Yes","No")</f>
        <v>No</v>
      </c>
    </row>
    <row r="951" spans="1:12" x14ac:dyDescent="0.3">
      <c r="A951" t="s">
        <v>3298</v>
      </c>
      <c r="B951" t="s">
        <v>14</v>
      </c>
      <c r="C951" t="s">
        <v>2490</v>
      </c>
      <c r="D951">
        <v>26.209769999999999</v>
      </c>
      <c r="E951">
        <v>73.065008300000002</v>
      </c>
      <c r="F951">
        <f>IF(COUNTIF($C$5:C951,C951)=1,1,0)</f>
        <v>1</v>
      </c>
      <c r="G951" s="2">
        <f t="shared" si="28"/>
        <v>1504.2356081275352</v>
      </c>
      <c r="H951" s="2">
        <f>MAX(0, MyBattery - (EVCleanedDataset[[#This Row],[Distance(km)]]/VehicleRangeKm)*100)</f>
        <v>0</v>
      </c>
      <c r="I951" s="2">
        <f>6371*ACOS(SIN(RADIANS(MyLat))*SIN(RADIANS(EVCleanedDataset[[#This Row],[Latitude]]))+COS(RADIANS(MyLat))*COS(RADIANS(EVCleanedDataset[[#This Row],[Latitude]]))*COS(RADIANS(EVCleanedDataset[[#This Row],[Longitude]]-MyLong)))</f>
        <v>1504.2356081275352</v>
      </c>
      <c r="J951">
        <f t="shared" si="29"/>
        <v>7</v>
      </c>
      <c r="K951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20.329175555105092</v>
      </c>
      <c r="L951" t="str">
        <f>IF(EVCleanedDataset[[#This Row],[Score]]&gt;50,"Yes","No")</f>
        <v>No</v>
      </c>
    </row>
    <row r="952" spans="1:12" x14ac:dyDescent="0.3">
      <c r="A952" t="s">
        <v>2807</v>
      </c>
      <c r="B952" t="s">
        <v>18</v>
      </c>
      <c r="C952" t="s">
        <v>134</v>
      </c>
      <c r="D952">
        <v>29.977</v>
      </c>
      <c r="E952">
        <v>77.575299999999999</v>
      </c>
      <c r="F952">
        <f>IF(COUNTIF($C$5:C952,C952)=1,1,0)</f>
        <v>1</v>
      </c>
      <c r="G952" s="2">
        <f t="shared" si="28"/>
        <v>1848.9401893303375</v>
      </c>
      <c r="H952" s="2">
        <f>MAX(0, MyBattery - (EVCleanedDataset[[#This Row],[Distance(km)]]/VehicleRangeKm)*100)</f>
        <v>0</v>
      </c>
      <c r="I952" s="2">
        <f>6371*ACOS(SIN(RADIANS(MyLat))*SIN(RADIANS(EVCleanedDataset[[#This Row],[Latitude]]))+COS(RADIANS(MyLat))*COS(RADIANS(EVCleanedDataset[[#This Row],[Latitude]]))*COS(RADIANS(EVCleanedDataset[[#This Row],[Longitude]]-MyLong)))</f>
        <v>1848.9401893303375</v>
      </c>
      <c r="J952">
        <f t="shared" si="29"/>
        <v>4</v>
      </c>
      <c r="K952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24.291612760630603</v>
      </c>
      <c r="L952" t="str">
        <f>IF(EVCleanedDataset[[#This Row],[Score]]&gt;50,"Yes","No")</f>
        <v>No</v>
      </c>
    </row>
    <row r="953" spans="1:12" x14ac:dyDescent="0.3">
      <c r="A953" t="s">
        <v>1367</v>
      </c>
      <c r="B953" t="s">
        <v>313</v>
      </c>
      <c r="C953" t="s">
        <v>1110</v>
      </c>
      <c r="D953">
        <v>20.240856000000001</v>
      </c>
      <c r="E953">
        <v>86.758381999999997</v>
      </c>
      <c r="F953">
        <f>IF(COUNTIF($C$5:C953,C953)=1,1,0)</f>
        <v>0</v>
      </c>
      <c r="G953" s="2" t="str">
        <f t="shared" si="28"/>
        <v/>
      </c>
      <c r="H953" s="2">
        <f>MAX(0, MyBattery - (EVCleanedDataset[[#This Row],[Distance(km)]]/VehicleRangeKm)*100)</f>
        <v>0</v>
      </c>
      <c r="I953" s="2">
        <f>6371*ACOS(SIN(RADIANS(MyLat))*SIN(RADIANS(EVCleanedDataset[[#This Row],[Latitude]]))+COS(RADIANS(MyLat))*COS(RADIANS(EVCleanedDataset[[#This Row],[Latitude]]))*COS(RADIANS(EVCleanedDataset[[#This Row],[Longitude]]-MyLong)))</f>
        <v>1244.6282117224748</v>
      </c>
      <c r="J953">
        <f t="shared" si="29"/>
        <v>1</v>
      </c>
      <c r="K953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44.876273369708869</v>
      </c>
      <c r="L953" t="str">
        <f>IF(EVCleanedDataset[[#This Row],[Score]]&gt;50,"Yes","No")</f>
        <v>No</v>
      </c>
    </row>
    <row r="954" spans="1:12" x14ac:dyDescent="0.3">
      <c r="A954" t="s">
        <v>2881</v>
      </c>
      <c r="B954" t="s">
        <v>511</v>
      </c>
      <c r="C954" t="s">
        <v>1136</v>
      </c>
      <c r="D954">
        <v>22.689781</v>
      </c>
      <c r="E954">
        <v>75.866901999999996</v>
      </c>
      <c r="F954">
        <f>IF(COUNTIF($C$5:C954,C954)=1,1,0)</f>
        <v>0</v>
      </c>
      <c r="G954" s="2" t="str">
        <f t="shared" si="28"/>
        <v/>
      </c>
      <c r="H954" s="2">
        <f>MAX(0, MyBattery - (EVCleanedDataset[[#This Row],[Distance(km)]]/VehicleRangeKm)*100)</f>
        <v>0</v>
      </c>
      <c r="I954" s="2">
        <f>6371*ACOS(SIN(RADIANS(MyLat))*SIN(RADIANS(EVCleanedDataset[[#This Row],[Latitude]]))+COS(RADIANS(MyLat))*COS(RADIANS(EVCleanedDataset[[#This Row],[Latitude]]))*COS(RADIANS(EVCleanedDataset[[#This Row],[Longitude]]-MyLong)))</f>
        <v>1053.5063787463689</v>
      </c>
      <c r="J954">
        <f t="shared" si="29"/>
        <v>8</v>
      </c>
      <c r="K954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24.890488891763557</v>
      </c>
      <c r="L954" t="str">
        <f>IF(EVCleanedDataset[[#This Row],[Score]]&gt;50,"Yes","No")</f>
        <v>No</v>
      </c>
    </row>
    <row r="955" spans="1:12" x14ac:dyDescent="0.3">
      <c r="A955" t="s">
        <v>3029</v>
      </c>
      <c r="B955" t="s">
        <v>8</v>
      </c>
      <c r="C955" t="s">
        <v>9</v>
      </c>
      <c r="D955">
        <v>28.443819600000001</v>
      </c>
      <c r="E955">
        <v>77.111725300000003</v>
      </c>
      <c r="F955">
        <f>IF(COUNTIF($C$5:C955,C955)=1,1,0)</f>
        <v>0</v>
      </c>
      <c r="G955" s="2" t="str">
        <f t="shared" si="28"/>
        <v/>
      </c>
      <c r="H955" s="2">
        <f>MAX(0, MyBattery - (EVCleanedDataset[[#This Row],[Distance(km)]]/VehicleRangeKm)*100)</f>
        <v>0</v>
      </c>
      <c r="I955" s="2">
        <f>6371*ACOS(SIN(RADIANS(MyLat))*SIN(RADIANS(EVCleanedDataset[[#This Row],[Latitude]]))+COS(RADIANS(MyLat))*COS(RADIANS(EVCleanedDataset[[#This Row],[Latitude]]))*COS(RADIANS(EVCleanedDataset[[#This Row],[Longitude]]-MyLong)))</f>
        <v>1679.0320572888056</v>
      </c>
      <c r="J955">
        <f t="shared" si="29"/>
        <v>5</v>
      </c>
      <c r="K95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23.934285876448079</v>
      </c>
      <c r="L955" t="str">
        <f>IF(EVCleanedDataset[[#This Row],[Score]]&gt;50,"Yes","No")</f>
        <v>No</v>
      </c>
    </row>
    <row r="956" spans="1:12" x14ac:dyDescent="0.3">
      <c r="A956" t="s">
        <v>2854</v>
      </c>
      <c r="B956" t="s">
        <v>8</v>
      </c>
      <c r="C956" t="s">
        <v>9</v>
      </c>
      <c r="D956">
        <v>28.459700000000002</v>
      </c>
      <c r="E956">
        <v>77.075800000000001</v>
      </c>
      <c r="F956">
        <f>IF(COUNTIF($C$5:C956,C956)=1,1,0)</f>
        <v>0</v>
      </c>
      <c r="G956" s="2" t="str">
        <f t="shared" si="28"/>
        <v/>
      </c>
      <c r="H956" s="2">
        <f>MAX(0, MyBattery - (EVCleanedDataset[[#This Row],[Distance(km)]]/VehicleRangeKm)*100)</f>
        <v>0</v>
      </c>
      <c r="I956" s="2">
        <f>6371*ACOS(SIN(RADIANS(MyLat))*SIN(RADIANS(EVCleanedDataset[[#This Row],[Latitude]]))+COS(RADIANS(MyLat))*COS(RADIANS(EVCleanedDataset[[#This Row],[Latitude]]))*COS(RADIANS(EVCleanedDataset[[#This Row],[Longitude]]-MyLong)))</f>
        <v>1680.8986798962408</v>
      </c>
      <c r="J956">
        <f t="shared" si="29"/>
        <v>2</v>
      </c>
      <c r="K95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33.901601591292724</v>
      </c>
      <c r="L956" t="str">
        <f>IF(EVCleanedDataset[[#This Row],[Score]]&gt;50,"Yes","No")</f>
        <v>No</v>
      </c>
    </row>
    <row r="957" spans="1:12" x14ac:dyDescent="0.3">
      <c r="A957" t="s">
        <v>2773</v>
      </c>
      <c r="B957" t="s">
        <v>8</v>
      </c>
      <c r="C957" t="s">
        <v>9</v>
      </c>
      <c r="D957">
        <v>28.467300000000002</v>
      </c>
      <c r="E957">
        <v>77.081800000000001</v>
      </c>
      <c r="F957">
        <f>IF(COUNTIF($C$5:C957,C957)=1,1,0)</f>
        <v>0</v>
      </c>
      <c r="G957" s="2" t="str">
        <f t="shared" si="28"/>
        <v/>
      </c>
      <c r="H957" s="2">
        <f>MAX(0, MyBattery - (EVCleanedDataset[[#This Row],[Distance(km)]]/VehicleRangeKm)*100)</f>
        <v>0</v>
      </c>
      <c r="I957" s="2">
        <f>6371*ACOS(SIN(RADIANS(MyLat))*SIN(RADIANS(EVCleanedDataset[[#This Row],[Latitude]]))+COS(RADIANS(MyLat))*COS(RADIANS(EVCleanedDataset[[#This Row],[Latitude]]))*COS(RADIANS(EVCleanedDataset[[#This Row],[Longitude]]-MyLong)))</f>
        <v>1681.7258694106408</v>
      </c>
      <c r="J957">
        <f t="shared" si="29"/>
        <v>9</v>
      </c>
      <c r="K95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10.553789860704592</v>
      </c>
      <c r="L957" t="str">
        <f>IF(EVCleanedDataset[[#This Row],[Score]]&gt;50,"Yes","No")</f>
        <v>No</v>
      </c>
    </row>
    <row r="958" spans="1:12" x14ac:dyDescent="0.3">
      <c r="A958" t="s">
        <v>2210</v>
      </c>
      <c r="B958" t="s">
        <v>8</v>
      </c>
      <c r="C958" t="s">
        <v>9</v>
      </c>
      <c r="D958">
        <v>28.481146800000001</v>
      </c>
      <c r="E958">
        <v>77.083120199999996</v>
      </c>
      <c r="F958">
        <f>IF(COUNTIF($C$5:C958,C958)=1,1,0)</f>
        <v>0</v>
      </c>
      <c r="G958" s="2" t="str">
        <f t="shared" si="28"/>
        <v/>
      </c>
      <c r="H958" s="2">
        <f>MAX(0, MyBattery - (EVCleanedDataset[[#This Row],[Distance(km)]]/VehicleRangeKm)*100)</f>
        <v>0</v>
      </c>
      <c r="I958" s="2">
        <f>6371*ACOS(SIN(RADIANS(MyLat))*SIN(RADIANS(EVCleanedDataset[[#This Row],[Latitude]]))+COS(RADIANS(MyLat))*COS(RADIANS(EVCleanedDataset[[#This Row],[Latitude]]))*COS(RADIANS(EVCleanedDataset[[#This Row],[Longitude]]-MyLong)))</f>
        <v>1683.261068355484</v>
      </c>
      <c r="J958">
        <f t="shared" si="29"/>
        <v>6</v>
      </c>
      <c r="K95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20.526910530278091</v>
      </c>
      <c r="L958" t="str">
        <f>IF(EVCleanedDataset[[#This Row],[Score]]&gt;50,"Yes","No")</f>
        <v>No</v>
      </c>
    </row>
    <row r="959" spans="1:12" x14ac:dyDescent="0.3">
      <c r="A959" t="s">
        <v>3310</v>
      </c>
      <c r="B959" t="s">
        <v>18</v>
      </c>
      <c r="C959" t="s">
        <v>259</v>
      </c>
      <c r="D959">
        <v>28.457820000000002</v>
      </c>
      <c r="E959">
        <v>77.523219999999995</v>
      </c>
      <c r="F959">
        <f>IF(COUNTIF($C$5:C959,C959)=1,1,0)</f>
        <v>0</v>
      </c>
      <c r="G959" s="2" t="str">
        <f t="shared" si="28"/>
        <v/>
      </c>
      <c r="H959" s="2">
        <f>MAX(0, MyBattery - (EVCleanedDataset[[#This Row],[Distance(km)]]/VehicleRangeKm)*100)</f>
        <v>0</v>
      </c>
      <c r="I959" s="2">
        <f>6371*ACOS(SIN(RADIANS(MyLat))*SIN(RADIANS(EVCleanedDataset[[#This Row],[Latitude]]))+COS(RADIANS(MyLat))*COS(RADIANS(EVCleanedDataset[[#This Row],[Latitude]]))*COS(RADIANS(EVCleanedDataset[[#This Row],[Longitude]]-MyLong)))</f>
        <v>1680.0116489423065</v>
      </c>
      <c r="J959">
        <f t="shared" si="29"/>
        <v>3</v>
      </c>
      <c r="K95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30.583834790536486</v>
      </c>
      <c r="L959" t="str">
        <f>IF(EVCleanedDataset[[#This Row],[Score]]&gt;50,"Yes","No")</f>
        <v>No</v>
      </c>
    </row>
    <row r="960" spans="1:12" x14ac:dyDescent="0.3">
      <c r="A960" t="s">
        <v>260</v>
      </c>
      <c r="B960" t="s">
        <v>18</v>
      </c>
      <c r="C960" t="s">
        <v>211</v>
      </c>
      <c r="D960">
        <v>28.4648</v>
      </c>
      <c r="E960">
        <v>77.508399999999995</v>
      </c>
      <c r="F960">
        <f>IF(COUNTIF($C$5:C960,C960)=1,1,0)</f>
        <v>1</v>
      </c>
      <c r="G960" s="2">
        <f t="shared" si="28"/>
        <v>1680.7898362424614</v>
      </c>
      <c r="H960" s="2">
        <f>MAX(0, MyBattery - (EVCleanedDataset[[#This Row],[Distance(km)]]/VehicleRangeKm)*100)</f>
        <v>0</v>
      </c>
      <c r="I960" s="2">
        <f>6371*ACOS(SIN(RADIANS(MyLat))*SIN(RADIANS(EVCleanedDataset[[#This Row],[Latitude]]))+COS(RADIANS(MyLat))*COS(RADIANS(EVCleanedDataset[[#This Row],[Latitude]]))*COS(RADIANS(EVCleanedDataset[[#This Row],[Longitude]]-MyLong)))</f>
        <v>1680.7898362424614</v>
      </c>
      <c r="J960">
        <f t="shared" si="29"/>
        <v>0</v>
      </c>
      <c r="K96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40.570214677307277</v>
      </c>
      <c r="L960" t="str">
        <f>IF(EVCleanedDataset[[#This Row],[Score]]&gt;50,"Yes","No")</f>
        <v>No</v>
      </c>
    </row>
    <row r="961" spans="1:12" x14ac:dyDescent="0.3">
      <c r="A961" t="s">
        <v>2588</v>
      </c>
      <c r="B961" t="s">
        <v>64</v>
      </c>
      <c r="C961" t="s">
        <v>65</v>
      </c>
      <c r="D961">
        <v>30.343019699999999</v>
      </c>
      <c r="E961">
        <v>77.953941700000001</v>
      </c>
      <c r="F961">
        <f>IF(COUNTIF($C$5:C961,C961)=1,1,0)</f>
        <v>0</v>
      </c>
      <c r="G961" s="2" t="str">
        <f t="shared" si="28"/>
        <v/>
      </c>
      <c r="H961" s="2">
        <f>MAX(0, MyBattery - (EVCleanedDataset[[#This Row],[Distance(km)]]/VehicleRangeKm)*100)</f>
        <v>0</v>
      </c>
      <c r="I961" s="2">
        <f>6371*ACOS(SIN(RADIANS(MyLat))*SIN(RADIANS(EVCleanedDataset[[#This Row],[Latitude]]))+COS(RADIANS(MyLat))*COS(RADIANS(EVCleanedDataset[[#This Row],[Latitude]]))*COS(RADIANS(EVCleanedDataset[[#This Row],[Longitude]]-MyLong)))</f>
        <v>1890.1190416547911</v>
      </c>
      <c r="J961">
        <f t="shared" si="29"/>
        <v>7</v>
      </c>
      <c r="K961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13.570446554419838</v>
      </c>
      <c r="L961" t="str">
        <f>IF(EVCleanedDataset[[#This Row],[Score]]&gt;50,"Yes","No")</f>
        <v>No</v>
      </c>
    </row>
    <row r="962" spans="1:12" x14ac:dyDescent="0.3">
      <c r="A962" t="s">
        <v>2828</v>
      </c>
      <c r="B962" t="s">
        <v>18</v>
      </c>
      <c r="C962" t="s">
        <v>211</v>
      </c>
      <c r="D962">
        <v>28.500699999999998</v>
      </c>
      <c r="E962">
        <v>77.410200000000003</v>
      </c>
      <c r="F962">
        <f>IF(COUNTIF($C$5:C962,C962)=1,1,0)</f>
        <v>0</v>
      </c>
      <c r="G962" s="2" t="str">
        <f t="shared" si="28"/>
        <v/>
      </c>
      <c r="H962" s="2">
        <f>MAX(0, MyBattery - (EVCleanedDataset[[#This Row],[Distance(km)]]/VehicleRangeKm)*100)</f>
        <v>0</v>
      </c>
      <c r="I962" s="2">
        <f>6371*ACOS(SIN(RADIANS(MyLat))*SIN(RADIANS(EVCleanedDataset[[#This Row],[Latitude]]))+COS(RADIANS(MyLat))*COS(RADIANS(EVCleanedDataset[[#This Row],[Latitude]]))*COS(RADIANS(EVCleanedDataset[[#This Row],[Longitude]]-MyLong)))</f>
        <v>1684.830486325046</v>
      </c>
      <c r="J962">
        <f t="shared" si="29"/>
        <v>4</v>
      </c>
      <c r="K96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27.166128513147392</v>
      </c>
      <c r="L962" t="str">
        <f>IF(EVCleanedDataset[[#This Row],[Score]]&gt;50,"Yes","No")</f>
        <v>No</v>
      </c>
    </row>
    <row r="963" spans="1:12" x14ac:dyDescent="0.3">
      <c r="A963" t="s">
        <v>3098</v>
      </c>
      <c r="B963" t="s">
        <v>45</v>
      </c>
      <c r="C963" t="s">
        <v>46</v>
      </c>
      <c r="D963">
        <v>28.548518040000001</v>
      </c>
      <c r="E963">
        <v>77.104357480000004</v>
      </c>
      <c r="F963">
        <f>IF(COUNTIF($C$5:C963,C963)=1,1,0)</f>
        <v>0</v>
      </c>
      <c r="G963" s="2" t="str">
        <f t="shared" si="28"/>
        <v/>
      </c>
      <c r="H963" s="2">
        <f>MAX(0, MyBattery - (EVCleanedDataset[[#This Row],[Distance(km)]]/VehicleRangeKm)*100)</f>
        <v>0</v>
      </c>
      <c r="I963" s="2">
        <f>6371*ACOS(SIN(RADIANS(MyLat))*SIN(RADIANS(EVCleanedDataset[[#This Row],[Latitude]]))+COS(RADIANS(MyLat))*COS(RADIANS(EVCleanedDataset[[#This Row],[Latitude]]))*COS(RADIANS(EVCleanedDataset[[#This Row],[Longitude]]-MyLong)))</f>
        <v>1690.6895493383861</v>
      </c>
      <c r="J963">
        <f t="shared" si="29"/>
        <v>1</v>
      </c>
      <c r="K96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37.063515799729949</v>
      </c>
      <c r="L963" t="str">
        <f>IF(EVCleanedDataset[[#This Row],[Score]]&gt;50,"Yes","No")</f>
        <v>No</v>
      </c>
    </row>
    <row r="964" spans="1:12" x14ac:dyDescent="0.3">
      <c r="A964" t="s">
        <v>3078</v>
      </c>
      <c r="B964" t="s">
        <v>45</v>
      </c>
      <c r="C964" t="s">
        <v>45</v>
      </c>
      <c r="D964">
        <v>28.55155916</v>
      </c>
      <c r="E964">
        <v>77.244698740000004</v>
      </c>
      <c r="F964">
        <f>IF(COUNTIF($C$5:C964,C964)=1,1,0)</f>
        <v>0</v>
      </c>
      <c r="G964" s="2" t="str">
        <f t="shared" si="28"/>
        <v/>
      </c>
      <c r="H964" s="2">
        <f>MAX(0, MyBattery - (EVCleanedDataset[[#This Row],[Distance(km)]]/VehicleRangeKm)*100)</f>
        <v>0</v>
      </c>
      <c r="I964" s="2">
        <f>6371*ACOS(SIN(RADIANS(MyLat))*SIN(RADIANS(EVCleanedDataset[[#This Row],[Latitude]]))+COS(RADIANS(MyLat))*COS(RADIANS(EVCleanedDataset[[#This Row],[Latitude]]))*COS(RADIANS(EVCleanedDataset[[#This Row],[Longitude]]-MyLong)))</f>
        <v>1690.7054465999527</v>
      </c>
      <c r="J964">
        <f t="shared" si="29"/>
        <v>8</v>
      </c>
      <c r="K96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13.729914022537223</v>
      </c>
      <c r="L964" t="str">
        <f>IF(EVCleanedDataset[[#This Row],[Score]]&gt;50,"Yes","No")</f>
        <v>No</v>
      </c>
    </row>
    <row r="965" spans="1:12" x14ac:dyDescent="0.3">
      <c r="A965" t="s">
        <v>2770</v>
      </c>
      <c r="B965" t="s">
        <v>68</v>
      </c>
      <c r="C965" t="s">
        <v>1288</v>
      </c>
      <c r="D965">
        <v>22.269901999999998</v>
      </c>
      <c r="E965">
        <v>70.741577000000007</v>
      </c>
      <c r="F965">
        <f>IF(COUNTIF($C$5:C965,C965)=1,1,0)</f>
        <v>0</v>
      </c>
      <c r="G965" s="2" t="str">
        <f t="shared" ref="G965:G1028" si="30">IF(F965=1, IF(C965=MyCity, "", _xlfn.MINIFS($I$5:$I$1121,$C$5:$C$1121,C965)), "")</f>
        <v/>
      </c>
      <c r="H965" s="2">
        <f>MAX(0, MyBattery - (EVCleanedDataset[[#This Row],[Distance(km)]]/VehicleRangeKm)*100)</f>
        <v>0</v>
      </c>
      <c r="I965" s="2">
        <f>6371*ACOS(SIN(RADIANS(MyLat))*SIN(RADIANS(EVCleanedDataset[[#This Row],[Latitude]]))+COS(RADIANS(MyLat))*COS(RADIANS(EVCleanedDataset[[#This Row],[Latitude]]))*COS(RADIANS(EVCleanedDataset[[#This Row],[Longitude]]-MyLong)))</f>
        <v>1224.8068955660021</v>
      </c>
      <c r="J965">
        <f t="shared" ref="J965:J1028" si="31">MOD(ROW()*7,10)</f>
        <v>5</v>
      </c>
      <c r="K965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31.890234532169632</v>
      </c>
      <c r="L965" t="str">
        <f>IF(EVCleanedDataset[[#This Row],[Score]]&gt;50,"Yes","No")</f>
        <v>No</v>
      </c>
    </row>
    <row r="966" spans="1:12" x14ac:dyDescent="0.3">
      <c r="A966" t="s">
        <v>3153</v>
      </c>
      <c r="B966" t="s">
        <v>18</v>
      </c>
      <c r="C966" t="s">
        <v>259</v>
      </c>
      <c r="D966">
        <v>28.577408500000001</v>
      </c>
      <c r="E966">
        <v>77.360975249999996</v>
      </c>
      <c r="F966">
        <f>IF(COUNTIF($C$5:C966,C966)=1,1,0)</f>
        <v>0</v>
      </c>
      <c r="G966" s="2" t="str">
        <f t="shared" si="30"/>
        <v/>
      </c>
      <c r="H966" s="2">
        <f>MAX(0, MyBattery - (EVCleanedDataset[[#This Row],[Distance(km)]]/VehicleRangeKm)*100)</f>
        <v>0</v>
      </c>
      <c r="I966" s="2">
        <f>6371*ACOS(SIN(RADIANS(MyLat))*SIN(RADIANS(EVCleanedDataset[[#This Row],[Latitude]]))+COS(RADIANS(MyLat))*COS(RADIANS(EVCleanedDataset[[#This Row],[Latitude]]))*COS(RADIANS(EVCleanedDataset[[#This Row],[Longitude]]-MyLong)))</f>
        <v>1693.4070009560419</v>
      </c>
      <c r="J966">
        <f t="shared" si="31"/>
        <v>2</v>
      </c>
      <c r="K96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33.682615733275725</v>
      </c>
      <c r="L966" t="str">
        <f>IF(EVCleanedDataset[[#This Row],[Score]]&gt;50,"Yes","No")</f>
        <v>No</v>
      </c>
    </row>
    <row r="967" spans="1:12" x14ac:dyDescent="0.3">
      <c r="A967" t="s">
        <v>3118</v>
      </c>
      <c r="B967" t="s">
        <v>45</v>
      </c>
      <c r="C967" t="s">
        <v>46</v>
      </c>
      <c r="D967">
        <v>28.601808999999999</v>
      </c>
      <c r="E967">
        <v>77.186431999999996</v>
      </c>
      <c r="F967">
        <f>IF(COUNTIF($C$5:C967,C967)=1,1,0)</f>
        <v>0</v>
      </c>
      <c r="G967" s="2" t="str">
        <f t="shared" si="30"/>
        <v/>
      </c>
      <c r="H967" s="2">
        <f>MAX(0, MyBattery - (EVCleanedDataset[[#This Row],[Distance(km)]]/VehicleRangeKm)*100)</f>
        <v>0</v>
      </c>
      <c r="I967" s="2">
        <f>6371*ACOS(SIN(RADIANS(MyLat))*SIN(RADIANS(EVCleanedDataset[[#This Row],[Latitude]]))+COS(RADIANS(MyLat))*COS(RADIANS(EVCleanedDataset[[#This Row],[Latitude]]))*COS(RADIANS(EVCleanedDataset[[#This Row],[Longitude]]-MyLong)))</f>
        <v>1696.4101621744701</v>
      </c>
      <c r="J967">
        <f t="shared" si="31"/>
        <v>9</v>
      </c>
      <c r="K96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10.296691403441169</v>
      </c>
      <c r="L967" t="str">
        <f>IF(EVCleanedDataset[[#This Row],[Score]]&gt;50,"Yes","No")</f>
        <v>No</v>
      </c>
    </row>
    <row r="968" spans="1:12" x14ac:dyDescent="0.3">
      <c r="A968" t="s">
        <v>3119</v>
      </c>
      <c r="B968" t="s">
        <v>45</v>
      </c>
      <c r="C968" t="s">
        <v>46</v>
      </c>
      <c r="D968">
        <v>28.600324000000001</v>
      </c>
      <c r="E968">
        <v>77.226883000000001</v>
      </c>
      <c r="F968">
        <f>IF(COUNTIF($C$5:C968,C968)=1,1,0)</f>
        <v>0</v>
      </c>
      <c r="G968" s="2" t="str">
        <f t="shared" si="30"/>
        <v/>
      </c>
      <c r="H968" s="2">
        <f>MAX(0, MyBattery - (EVCleanedDataset[[#This Row],[Distance(km)]]/VehicleRangeKm)*100)</f>
        <v>0</v>
      </c>
      <c r="I968" s="2">
        <f>6371*ACOS(SIN(RADIANS(MyLat))*SIN(RADIANS(EVCleanedDataset[[#This Row],[Latitude]]))+COS(RADIANS(MyLat))*COS(RADIANS(EVCleanedDataset[[#This Row],[Latitude]]))*COS(RADIANS(EVCleanedDataset[[#This Row],[Longitude]]-MyLong)))</f>
        <v>1696.1607498745598</v>
      </c>
      <c r="J968">
        <f t="shared" si="31"/>
        <v>6</v>
      </c>
      <c r="K96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20.301069912009552</v>
      </c>
      <c r="L968" t="str">
        <f>IF(EVCleanedDataset[[#This Row],[Score]]&gt;50,"Yes","No")</f>
        <v>No</v>
      </c>
    </row>
    <row r="969" spans="1:12" x14ac:dyDescent="0.3">
      <c r="A969" t="s">
        <v>1129</v>
      </c>
      <c r="B969" t="s">
        <v>18</v>
      </c>
      <c r="C969" t="s">
        <v>259</v>
      </c>
      <c r="D969">
        <v>28.59093</v>
      </c>
      <c r="E969">
        <v>77.319689999999994</v>
      </c>
      <c r="F969">
        <f>IF(COUNTIF($C$5:C969,C969)=1,1,0)</f>
        <v>0</v>
      </c>
      <c r="G969" s="2" t="str">
        <f t="shared" si="30"/>
        <v/>
      </c>
      <c r="H969" s="2">
        <f>MAX(0, MyBattery - (EVCleanedDataset[[#This Row],[Distance(km)]]/VehicleRangeKm)*100)</f>
        <v>0</v>
      </c>
      <c r="I969" s="2">
        <f>6371*ACOS(SIN(RADIANS(MyLat))*SIN(RADIANS(EVCleanedDataset[[#This Row],[Latitude]]))+COS(RADIANS(MyLat))*COS(RADIANS(EVCleanedDataset[[#This Row],[Latitude]]))*COS(RADIANS(EVCleanedDataset[[#This Row],[Longitude]]-MyLong)))</f>
        <v>1694.9617619395538</v>
      </c>
      <c r="J969">
        <f t="shared" si="31"/>
        <v>3</v>
      </c>
      <c r="K96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30.322080436319492</v>
      </c>
      <c r="L969" t="str">
        <f>IF(EVCleanedDataset[[#This Row],[Score]]&gt;50,"Yes","No")</f>
        <v>No</v>
      </c>
    </row>
    <row r="970" spans="1:12" x14ac:dyDescent="0.3">
      <c r="A970" t="s">
        <v>3236</v>
      </c>
      <c r="B970" t="s">
        <v>45</v>
      </c>
      <c r="C970" t="s">
        <v>45</v>
      </c>
      <c r="D970">
        <v>28.602589999999999</v>
      </c>
      <c r="E970">
        <v>77.237904</v>
      </c>
      <c r="F970">
        <f>IF(COUNTIF($C$5:C970,C970)=1,1,0)</f>
        <v>0</v>
      </c>
      <c r="G970" s="2" t="str">
        <f t="shared" si="30"/>
        <v/>
      </c>
      <c r="H970" s="2">
        <f>MAX(0, MyBattery - (EVCleanedDataset[[#This Row],[Distance(km)]]/VehicleRangeKm)*100)</f>
        <v>0</v>
      </c>
      <c r="I970" s="2">
        <f>6371*ACOS(SIN(RADIANS(MyLat))*SIN(RADIANS(EVCleanedDataset[[#This Row],[Latitude]]))+COS(RADIANS(MyLat))*COS(RADIANS(EVCleanedDataset[[#This Row],[Latitude]]))*COS(RADIANS(EVCleanedDataset[[#This Row],[Longitude]]-MyLong)))</f>
        <v>1696.3914810189283</v>
      </c>
      <c r="J970">
        <f t="shared" si="31"/>
        <v>0</v>
      </c>
      <c r="K97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40.29704860778547</v>
      </c>
      <c r="L970" t="str">
        <f>IF(EVCleanedDataset[[#This Row],[Score]]&gt;50,"Yes","No")</f>
        <v>No</v>
      </c>
    </row>
    <row r="971" spans="1:12" x14ac:dyDescent="0.3">
      <c r="A971" t="s">
        <v>2829</v>
      </c>
      <c r="B971" t="s">
        <v>14</v>
      </c>
      <c r="C971" t="s">
        <v>214</v>
      </c>
      <c r="D971">
        <v>26.831199999999999</v>
      </c>
      <c r="E971">
        <v>75.866299999999995</v>
      </c>
      <c r="F971">
        <f>IF(COUNTIF($C$5:C971,C971)=1,1,0)</f>
        <v>0</v>
      </c>
      <c r="G971" s="2" t="str">
        <f t="shared" si="30"/>
        <v/>
      </c>
      <c r="H971" s="2">
        <f>MAX(0, MyBattery - (EVCleanedDataset[[#This Row],[Distance(km)]]/VehicleRangeKm)*100)</f>
        <v>0</v>
      </c>
      <c r="I971" s="2">
        <f>6371*ACOS(SIN(RADIANS(MyLat))*SIN(RADIANS(EVCleanedDataset[[#This Row],[Latitude]]))+COS(RADIANS(MyLat))*COS(RADIANS(EVCleanedDataset[[#This Row],[Latitude]]))*COS(RADIANS(EVCleanedDataset[[#This Row],[Longitude]]-MyLong)))</f>
        <v>1509.1980194676939</v>
      </c>
      <c r="J971">
        <f t="shared" si="31"/>
        <v>7</v>
      </c>
      <c r="K971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20.242457883173412</v>
      </c>
      <c r="L971" t="str">
        <f>IF(EVCleanedDataset[[#This Row],[Score]]&gt;50,"Yes","No")</f>
        <v>No</v>
      </c>
    </row>
    <row r="972" spans="1:12" x14ac:dyDescent="0.3">
      <c r="A972" t="s">
        <v>3125</v>
      </c>
      <c r="B972" t="s">
        <v>45</v>
      </c>
      <c r="C972" t="s">
        <v>46</v>
      </c>
      <c r="D972">
        <v>28.619199040000002</v>
      </c>
      <c r="E972">
        <v>77.212529349999997</v>
      </c>
      <c r="F972">
        <f>IF(COUNTIF($C$5:C972,C972)=1,1,0)</f>
        <v>0</v>
      </c>
      <c r="G972" s="2" t="str">
        <f t="shared" si="30"/>
        <v/>
      </c>
      <c r="H972" s="2">
        <f>MAX(0, MyBattery - (EVCleanedDataset[[#This Row],[Distance(km)]]/VehicleRangeKm)*100)</f>
        <v>0</v>
      </c>
      <c r="I972" s="2">
        <f>6371*ACOS(SIN(RADIANS(MyLat))*SIN(RADIANS(EVCleanedDataset[[#This Row],[Latitude]]))+COS(RADIANS(MyLat))*COS(RADIANS(EVCleanedDataset[[#This Row],[Latitude]]))*COS(RADIANS(EVCleanedDataset[[#This Row],[Longitude]]-MyLong)))</f>
        <v>1698.2878414236225</v>
      </c>
      <c r="J972">
        <f t="shared" si="31"/>
        <v>4</v>
      </c>
      <c r="K97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26.930520125561603</v>
      </c>
      <c r="L972" t="str">
        <f>IF(EVCleanedDataset[[#This Row],[Score]]&gt;50,"Yes","No")</f>
        <v>No</v>
      </c>
    </row>
    <row r="973" spans="1:12" x14ac:dyDescent="0.3">
      <c r="A973" t="s">
        <v>3123</v>
      </c>
      <c r="B973" t="s">
        <v>45</v>
      </c>
      <c r="C973" t="s">
        <v>46</v>
      </c>
      <c r="D973">
        <v>28.62394449</v>
      </c>
      <c r="E973">
        <v>77.195098529999996</v>
      </c>
      <c r="F973">
        <f>IF(COUNTIF($C$5:C973,C973)=1,1,0)</f>
        <v>0</v>
      </c>
      <c r="G973" s="2" t="str">
        <f t="shared" si="30"/>
        <v/>
      </c>
      <c r="H973" s="2">
        <f>MAX(0, MyBattery - (EVCleanedDataset[[#This Row],[Distance(km)]]/VehicleRangeKm)*100)</f>
        <v>0</v>
      </c>
      <c r="I973" s="2">
        <f>6371*ACOS(SIN(RADIANS(MyLat))*SIN(RADIANS(EVCleanedDataset[[#This Row],[Latitude]]))+COS(RADIANS(MyLat))*COS(RADIANS(EVCleanedDataset[[#This Row],[Latitude]]))*COS(RADIANS(EVCleanedDataset[[#This Row],[Longitude]]-MyLong)))</f>
        <v>1698.8519831960557</v>
      </c>
      <c r="J973">
        <f t="shared" si="31"/>
        <v>1</v>
      </c>
      <c r="K97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36.92064906449307</v>
      </c>
      <c r="L973" t="str">
        <f>IF(EVCleanedDataset[[#This Row],[Score]]&gt;50,"Yes","No")</f>
        <v>No</v>
      </c>
    </row>
    <row r="974" spans="1:12" x14ac:dyDescent="0.3">
      <c r="A974" t="s">
        <v>3158</v>
      </c>
      <c r="B974" t="s">
        <v>18</v>
      </c>
      <c r="C974" t="s">
        <v>259</v>
      </c>
      <c r="D974">
        <v>28.60488569</v>
      </c>
      <c r="E974">
        <v>77.359584389999995</v>
      </c>
      <c r="F974">
        <f>IF(COUNTIF($C$5:C974,C974)=1,1,0)</f>
        <v>0</v>
      </c>
      <c r="G974" s="2" t="str">
        <f t="shared" si="30"/>
        <v/>
      </c>
      <c r="H974" s="2">
        <f>MAX(0, MyBattery - (EVCleanedDataset[[#This Row],[Distance(km)]]/VehicleRangeKm)*100)</f>
        <v>0</v>
      </c>
      <c r="I974" s="2">
        <f>6371*ACOS(SIN(RADIANS(MyLat))*SIN(RADIANS(EVCleanedDataset[[#This Row],[Latitude]]))+COS(RADIANS(MyLat))*COS(RADIANS(EVCleanedDataset[[#This Row],[Latitude]]))*COS(RADIANS(EVCleanedDataset[[#This Row],[Longitude]]-MyLong)))</f>
        <v>1696.4636794036537</v>
      </c>
      <c r="J974">
        <f t="shared" si="31"/>
        <v>8</v>
      </c>
      <c r="K97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13.629157371318474</v>
      </c>
      <c r="L974" t="str">
        <f>IF(EVCleanedDataset[[#This Row],[Score]]&gt;50,"Yes","No")</f>
        <v>No</v>
      </c>
    </row>
    <row r="975" spans="1:12" x14ac:dyDescent="0.3">
      <c r="A975" t="s">
        <v>2863</v>
      </c>
      <c r="B975" t="s">
        <v>45</v>
      </c>
      <c r="C975" t="s">
        <v>45</v>
      </c>
      <c r="D975">
        <v>28.633714000000001</v>
      </c>
      <c r="E975">
        <v>77.221903999999995</v>
      </c>
      <c r="F975">
        <f>IF(COUNTIF($C$5:C975,C975)=1,1,0)</f>
        <v>0</v>
      </c>
      <c r="G975" s="2" t="str">
        <f t="shared" si="30"/>
        <v/>
      </c>
      <c r="H975" s="2">
        <f>MAX(0, MyBattery - (EVCleanedDataset[[#This Row],[Distance(km)]]/VehicleRangeKm)*100)</f>
        <v>0</v>
      </c>
      <c r="I975" s="2">
        <f>6371*ACOS(SIN(RADIANS(MyLat))*SIN(RADIANS(EVCleanedDataset[[#This Row],[Latitude]]))+COS(RADIANS(MyLat))*COS(RADIANS(EVCleanedDataset[[#This Row],[Latitude]]))*COS(RADIANS(EVCleanedDataset[[#This Row],[Longitude]]-MyLong)))</f>
        <v>1699.8826034513168</v>
      </c>
      <c r="J975">
        <f t="shared" si="31"/>
        <v>5</v>
      </c>
      <c r="K97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23.569284201954964</v>
      </c>
      <c r="L975" t="str">
        <f>IF(EVCleanedDataset[[#This Row],[Score]]&gt;50,"Yes","No")</f>
        <v>No</v>
      </c>
    </row>
    <row r="976" spans="1:12" x14ac:dyDescent="0.3">
      <c r="A976" t="s">
        <v>949</v>
      </c>
      <c r="B976" t="s">
        <v>14</v>
      </c>
      <c r="C976" t="s">
        <v>214</v>
      </c>
      <c r="D976">
        <v>26.883879990811401</v>
      </c>
      <c r="E976">
        <v>75.739791815292094</v>
      </c>
      <c r="F976">
        <f>IF(COUNTIF($C$5:C976,C976)=1,1,0)</f>
        <v>0</v>
      </c>
      <c r="G976" s="2" t="str">
        <f t="shared" si="30"/>
        <v/>
      </c>
      <c r="H976" s="2">
        <f>MAX(0, MyBattery - (EVCleanedDataset[[#This Row],[Distance(km)]]/VehicleRangeKm)*100)</f>
        <v>0</v>
      </c>
      <c r="I976" s="2">
        <f>6371*ACOS(SIN(RADIANS(MyLat))*SIN(RADIANS(EVCleanedDataset[[#This Row],[Latitude]]))+COS(RADIANS(MyLat))*COS(RADIANS(EVCleanedDataset[[#This Row],[Latitude]]))*COS(RADIANS(EVCleanedDataset[[#This Row],[Longitude]]-MyLong)))</f>
        <v>1516.5807256729122</v>
      </c>
      <c r="J976">
        <f t="shared" si="31"/>
        <v>2</v>
      </c>
      <c r="K97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36.779864907424844</v>
      </c>
      <c r="L976" t="str">
        <f>IF(EVCleanedDataset[[#This Row],[Score]]&gt;50,"Yes","No")</f>
        <v>No</v>
      </c>
    </row>
    <row r="977" spans="1:12" x14ac:dyDescent="0.3">
      <c r="A977" t="s">
        <v>2165</v>
      </c>
      <c r="B977" t="s">
        <v>45</v>
      </c>
      <c r="C977" t="s">
        <v>45</v>
      </c>
      <c r="D977">
        <v>28.687417700000001</v>
      </c>
      <c r="E977">
        <v>77.134116300000002</v>
      </c>
      <c r="F977">
        <f>IF(COUNTIF($C$5:C977,C977)=1,1,0)</f>
        <v>0</v>
      </c>
      <c r="G977" s="2" t="str">
        <f t="shared" si="30"/>
        <v/>
      </c>
      <c r="H977" s="2">
        <f>MAX(0, MyBattery - (EVCleanedDataset[[#This Row],[Distance(km)]]/VehicleRangeKm)*100)</f>
        <v>0</v>
      </c>
      <c r="I977" s="2">
        <f>6371*ACOS(SIN(RADIANS(MyLat))*SIN(RADIANS(EVCleanedDataset[[#This Row],[Latitude]]))+COS(RADIANS(MyLat))*COS(RADIANS(EVCleanedDataset[[#This Row],[Latitude]]))*COS(RADIANS(EVCleanedDataset[[#This Row],[Longitude]]-MyLong)))</f>
        <v>1706.0505412742871</v>
      </c>
      <c r="J977">
        <f t="shared" si="31"/>
        <v>9</v>
      </c>
      <c r="K97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10.127938148348424</v>
      </c>
      <c r="L977" t="str">
        <f>IF(EVCleanedDataset[[#This Row],[Score]]&gt;50,"Yes","No")</f>
        <v>No</v>
      </c>
    </row>
    <row r="978" spans="1:12" x14ac:dyDescent="0.3">
      <c r="A978" t="s">
        <v>2770</v>
      </c>
      <c r="B978" t="s">
        <v>45</v>
      </c>
      <c r="C978" t="s">
        <v>45</v>
      </c>
      <c r="D978">
        <v>28.735847</v>
      </c>
      <c r="E978">
        <v>77.093262999999993</v>
      </c>
      <c r="F978">
        <f>IF(COUNTIF($C$5:C978,C978)=1,1,0)</f>
        <v>0</v>
      </c>
      <c r="G978" s="2" t="str">
        <f t="shared" si="30"/>
        <v/>
      </c>
      <c r="H978" s="2">
        <f>MAX(0, MyBattery - (EVCleanedDataset[[#This Row],[Distance(km)]]/VehicleRangeKm)*100)</f>
        <v>0</v>
      </c>
      <c r="I978" s="2">
        <f>6371*ACOS(SIN(RADIANS(MyLat))*SIN(RADIANS(EVCleanedDataset[[#This Row],[Latitude]]))+COS(RADIANS(MyLat))*COS(RADIANS(EVCleanedDataset[[#This Row],[Latitude]]))*COS(RADIANS(EVCleanedDataset[[#This Row],[Longitude]]-MyLong)))</f>
        <v>1711.5418440401345</v>
      </c>
      <c r="J978">
        <f t="shared" si="31"/>
        <v>6</v>
      </c>
      <c r="K97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20.031766832539926</v>
      </c>
      <c r="L978" t="str">
        <f>IF(EVCleanedDataset[[#This Row],[Score]]&gt;50,"Yes","No")</f>
        <v>No</v>
      </c>
    </row>
    <row r="979" spans="1:12" x14ac:dyDescent="0.3">
      <c r="A979" t="s">
        <v>544</v>
      </c>
      <c r="B979" t="s">
        <v>18</v>
      </c>
      <c r="C979" t="s">
        <v>1259</v>
      </c>
      <c r="D979">
        <v>28.691014213153601</v>
      </c>
      <c r="E979">
        <v>77.486384992674004</v>
      </c>
      <c r="F979">
        <f>IF(COUNTIF($C$5:C979,C979)=1,1,0)</f>
        <v>0</v>
      </c>
      <c r="G979" s="2" t="str">
        <f t="shared" si="30"/>
        <v/>
      </c>
      <c r="H979" s="2">
        <f>MAX(0, MyBattery - (EVCleanedDataset[[#This Row],[Distance(km)]]/VehicleRangeKm)*100)</f>
        <v>0</v>
      </c>
      <c r="I979" s="2">
        <f>6371*ACOS(SIN(RADIANS(MyLat))*SIN(RADIANS(EVCleanedDataset[[#This Row],[Latitude]]))+COS(RADIANS(MyLat))*COS(RADIANS(EVCleanedDataset[[#This Row],[Latitude]]))*COS(RADIANS(EVCleanedDataset[[#This Row],[Longitude]]-MyLong)))</f>
        <v>1705.9491936442873</v>
      </c>
      <c r="J979">
        <f t="shared" si="31"/>
        <v>3</v>
      </c>
      <c r="K97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30.12973327327289</v>
      </c>
      <c r="L979" t="str">
        <f>IF(EVCleanedDataset[[#This Row],[Score]]&gt;50,"Yes","No")</f>
        <v>No</v>
      </c>
    </row>
    <row r="980" spans="1:12" x14ac:dyDescent="0.3">
      <c r="A980" t="s">
        <v>2983</v>
      </c>
      <c r="B980" t="s">
        <v>68</v>
      </c>
      <c r="C980" t="s">
        <v>1196</v>
      </c>
      <c r="D980">
        <v>22.937813899999998</v>
      </c>
      <c r="E980">
        <v>72.455668000000003</v>
      </c>
      <c r="F980">
        <f>IF(COUNTIF($C$5:C980,C980)=1,1,0)</f>
        <v>1</v>
      </c>
      <c r="G980" s="2">
        <f t="shared" si="30"/>
        <v>1193.4196897076447</v>
      </c>
      <c r="H980" s="2">
        <f>MAX(0, MyBattery - (EVCleanedDataset[[#This Row],[Distance(km)]]/VehicleRangeKm)*100)</f>
        <v>0</v>
      </c>
      <c r="I980" s="2">
        <f>6371*ACOS(SIN(RADIANS(MyLat))*SIN(RADIANS(EVCleanedDataset[[#This Row],[Latitude]]))+COS(RADIANS(MyLat))*COS(RADIANS(EVCleanedDataset[[#This Row],[Latitude]]))*COS(RADIANS(EVCleanedDataset[[#This Row],[Longitude]]-MyLong)))</f>
        <v>1193.4196897076447</v>
      </c>
      <c r="J980">
        <f t="shared" si="31"/>
        <v>0</v>
      </c>
      <c r="K980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49.106804670414029</v>
      </c>
      <c r="L980" t="str">
        <f>IF(EVCleanedDataset[[#This Row],[Score]]&gt;50,"Yes","No")</f>
        <v>No</v>
      </c>
    </row>
    <row r="981" spans="1:12" x14ac:dyDescent="0.3">
      <c r="A981" t="s">
        <v>2770</v>
      </c>
      <c r="B981" t="s">
        <v>463</v>
      </c>
      <c r="C981" t="s">
        <v>1160</v>
      </c>
      <c r="D981">
        <v>22.52299</v>
      </c>
      <c r="E981">
        <v>88.290809999999993</v>
      </c>
      <c r="F981">
        <f>IF(COUNTIF($C$5:C981,C981)=1,1,0)</f>
        <v>0</v>
      </c>
      <c r="G981" s="2" t="str">
        <f t="shared" si="30"/>
        <v/>
      </c>
      <c r="H981" s="2">
        <f>MAX(0, MyBattery - (EVCleanedDataset[[#This Row],[Distance(km)]]/VehicleRangeKm)*100)</f>
        <v>0</v>
      </c>
      <c r="I981" s="2">
        <f>6371*ACOS(SIN(RADIANS(MyLat))*SIN(RADIANS(EVCleanedDataset[[#This Row],[Latitude]]))+COS(RADIANS(MyLat))*COS(RADIANS(EVCleanedDataset[[#This Row],[Latitude]]))*COS(RADIANS(EVCleanedDataset[[#This Row],[Longitude]]-MyLong)))</f>
        <v>1526.6685049562193</v>
      </c>
      <c r="J981">
        <f t="shared" si="31"/>
        <v>7</v>
      </c>
      <c r="K981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19.936558677930112</v>
      </c>
      <c r="L981" t="str">
        <f>IF(EVCleanedDataset[[#This Row],[Score]]&gt;50,"Yes","No")</f>
        <v>No</v>
      </c>
    </row>
    <row r="982" spans="1:12" x14ac:dyDescent="0.3">
      <c r="A982" t="s">
        <v>648</v>
      </c>
      <c r="B982" t="s">
        <v>68</v>
      </c>
      <c r="C982" t="s">
        <v>69</v>
      </c>
      <c r="D982">
        <v>22.999239800000002</v>
      </c>
      <c r="E982">
        <v>72.659458400000005</v>
      </c>
      <c r="F982">
        <f>IF(COUNTIF($C$5:C982,C982)=1,1,0)</f>
        <v>0</v>
      </c>
      <c r="G982" s="2" t="str">
        <f t="shared" si="30"/>
        <v/>
      </c>
      <c r="H982" s="2">
        <f>MAX(0, MyBattery - (EVCleanedDataset[[#This Row],[Distance(km)]]/VehicleRangeKm)*100)</f>
        <v>0</v>
      </c>
      <c r="I982" s="2">
        <f>6371*ACOS(SIN(RADIANS(MyLat))*SIN(RADIANS(EVCleanedDataset[[#This Row],[Latitude]]))+COS(RADIANS(MyLat))*COS(RADIANS(EVCleanedDataset[[#This Row],[Latitude]]))*COS(RADIANS(EVCleanedDataset[[#This Row],[Longitude]]-MyLong)))</f>
        <v>1190.0285237407275</v>
      </c>
      <c r="J982">
        <f t="shared" si="31"/>
        <v>4</v>
      </c>
      <c r="K982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35.832888317857581</v>
      </c>
      <c r="L982" t="str">
        <f>IF(EVCleanedDataset[[#This Row],[Score]]&gt;50,"Yes","No")</f>
        <v>No</v>
      </c>
    </row>
    <row r="983" spans="1:12" x14ac:dyDescent="0.3">
      <c r="A983" t="s">
        <v>1626</v>
      </c>
      <c r="B983" t="s">
        <v>463</v>
      </c>
      <c r="C983" t="s">
        <v>1160</v>
      </c>
      <c r="D983">
        <v>22.509557170000001</v>
      </c>
      <c r="E983">
        <v>88.366721010000006</v>
      </c>
      <c r="F983">
        <f>IF(COUNTIF($C$5:C983,C983)=1,1,0)</f>
        <v>0</v>
      </c>
      <c r="G983" s="2" t="str">
        <f t="shared" si="30"/>
        <v/>
      </c>
      <c r="H983" s="2">
        <f>MAX(0, MyBattery - (EVCleanedDataset[[#This Row],[Distance(km)]]/VehicleRangeKm)*100)</f>
        <v>0</v>
      </c>
      <c r="I983" s="2">
        <f>6371*ACOS(SIN(RADIANS(MyLat))*SIN(RADIANS(EVCleanedDataset[[#This Row],[Latitude]]))+COS(RADIANS(MyLat))*COS(RADIANS(EVCleanedDataset[[#This Row],[Latitude]]))*COS(RADIANS(EVCleanedDataset[[#This Row],[Longitude]]-MyLong)))</f>
        <v>1531.6842727535857</v>
      </c>
      <c r="J983">
        <f t="shared" si="31"/>
        <v>1</v>
      </c>
      <c r="K983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39.848726456497161</v>
      </c>
      <c r="L983" t="str">
        <f>IF(EVCleanedDataset[[#This Row],[Score]]&gt;50,"Yes","No")</f>
        <v>No</v>
      </c>
    </row>
    <row r="984" spans="1:12" x14ac:dyDescent="0.3">
      <c r="A984" t="s">
        <v>2560</v>
      </c>
      <c r="B984" t="s">
        <v>18</v>
      </c>
      <c r="C984" t="s">
        <v>2561</v>
      </c>
      <c r="D984">
        <v>28.382444</v>
      </c>
      <c r="E984">
        <v>79.386016400000003</v>
      </c>
      <c r="F984">
        <f>IF(COUNTIF($C$5:C984,C984)=1,1,0)</f>
        <v>0</v>
      </c>
      <c r="G984" s="2" t="str">
        <f t="shared" si="30"/>
        <v/>
      </c>
      <c r="H984" s="2">
        <f>MAX(0, MyBattery - (EVCleanedDataset[[#This Row],[Distance(km)]]/VehicleRangeKm)*100)</f>
        <v>0</v>
      </c>
      <c r="I984" s="2">
        <f>6371*ACOS(SIN(RADIANS(MyLat))*SIN(RADIANS(EVCleanedDataset[[#This Row],[Latitude]]))+COS(RADIANS(MyLat))*COS(RADIANS(EVCleanedDataset[[#This Row],[Latitude]]))*COS(RADIANS(EVCleanedDataset[[#This Row],[Longitude]]-MyLong)))</f>
        <v>1682.5365215322661</v>
      </c>
      <c r="J984">
        <f t="shared" si="31"/>
        <v>8</v>
      </c>
      <c r="K98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13.873194452674436</v>
      </c>
      <c r="L984" t="str">
        <f>IF(EVCleanedDataset[[#This Row],[Score]]&gt;50,"Yes","No")</f>
        <v>No</v>
      </c>
    </row>
    <row r="985" spans="1:12" x14ac:dyDescent="0.3">
      <c r="A985" t="s">
        <v>700</v>
      </c>
      <c r="B985" t="s">
        <v>68</v>
      </c>
      <c r="C985" t="s">
        <v>69</v>
      </c>
      <c r="D985">
        <v>23.040248999999999</v>
      </c>
      <c r="E985">
        <v>72.630711199999993</v>
      </c>
      <c r="F985">
        <f>IF(COUNTIF($C$5:C985,C985)=1,1,0)</f>
        <v>0</v>
      </c>
      <c r="G985" s="2" t="str">
        <f t="shared" si="30"/>
        <v/>
      </c>
      <c r="H985" s="2">
        <f>MAX(0, MyBattery - (EVCleanedDataset[[#This Row],[Distance(km)]]/VehicleRangeKm)*100)</f>
        <v>0</v>
      </c>
      <c r="I985" s="2">
        <f>6371*ACOS(SIN(RADIANS(MyLat))*SIN(RADIANS(EVCleanedDataset[[#This Row],[Latitude]]))+COS(RADIANS(MyLat))*COS(RADIANS(EVCleanedDataset[[#This Row],[Latitude]]))*COS(RADIANS(EVCleanedDataset[[#This Row],[Longitude]]-MyLong)))</f>
        <v>1195.4219171925099</v>
      </c>
      <c r="J985">
        <f t="shared" si="31"/>
        <v>5</v>
      </c>
      <c r="K985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32.405118570817891</v>
      </c>
      <c r="L985" t="str">
        <f>IF(EVCleanedDataset[[#This Row],[Score]]&gt;50,"Yes","No")</f>
        <v>No</v>
      </c>
    </row>
    <row r="986" spans="1:12" x14ac:dyDescent="0.3">
      <c r="A986" t="s">
        <v>3290</v>
      </c>
      <c r="B986" t="s">
        <v>181</v>
      </c>
      <c r="C986" t="s">
        <v>2456</v>
      </c>
      <c r="D986">
        <v>30.857873000000001</v>
      </c>
      <c r="E986">
        <v>75.936632000000003</v>
      </c>
      <c r="F986">
        <f>IF(COUNTIF($C$5:C986,C986)=1,1,0)</f>
        <v>1</v>
      </c>
      <c r="G986" s="2">
        <f t="shared" si="30"/>
        <v>1953.7766183824053</v>
      </c>
      <c r="H986" s="2">
        <f>MAX(0, MyBattery - (EVCleanedDataset[[#This Row],[Distance(km)]]/VehicleRangeKm)*100)</f>
        <v>0</v>
      </c>
      <c r="I986" s="2">
        <f>6371*ACOS(SIN(RADIANS(MyLat))*SIN(RADIANS(EVCleanedDataset[[#This Row],[Latitude]]))+COS(RADIANS(MyLat))*COS(RADIANS(EVCleanedDataset[[#This Row],[Latitude]]))*COS(RADIANS(EVCleanedDataset[[#This Row],[Longitude]]-MyLong)))</f>
        <v>1953.7766183824053</v>
      </c>
      <c r="J986">
        <f t="shared" si="31"/>
        <v>2</v>
      </c>
      <c r="K986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29.122387458154314</v>
      </c>
      <c r="L986" t="str">
        <f>IF(EVCleanedDataset[[#This Row],[Score]]&gt;50,"Yes","No")</f>
        <v>No</v>
      </c>
    </row>
    <row r="987" spans="1:12" x14ac:dyDescent="0.3">
      <c r="A987" t="s">
        <v>2408</v>
      </c>
      <c r="B987" t="s">
        <v>463</v>
      </c>
      <c r="C987" t="s">
        <v>1160</v>
      </c>
      <c r="D987">
        <v>22.561997000000002</v>
      </c>
      <c r="E987">
        <v>88.492902999999998</v>
      </c>
      <c r="F987">
        <f>IF(COUNTIF($C$5:C987,C987)=1,1,0)</f>
        <v>0</v>
      </c>
      <c r="G987" s="2" t="str">
        <f t="shared" si="30"/>
        <v/>
      </c>
      <c r="H987" s="2">
        <f>MAX(0, MyBattery - (EVCleanedDataset[[#This Row],[Distance(km)]]/VehicleRangeKm)*100)</f>
        <v>0</v>
      </c>
      <c r="I987" s="2">
        <f>6371*ACOS(SIN(RADIANS(MyLat))*SIN(RADIANS(EVCleanedDataset[[#This Row],[Latitude]]))+COS(RADIANS(MyLat))*COS(RADIANS(EVCleanedDataset[[#This Row],[Latitude]]))*COS(RADIANS(EVCleanedDataset[[#This Row],[Longitude]]-MyLong)))</f>
        <v>1545.3763459120464</v>
      </c>
      <c r="J987">
        <f t="shared" si="31"/>
        <v>9</v>
      </c>
      <c r="K987" s="5">
        <f>((1-(EVCleanedDataset[[#This Row],[Distance(km)]]/MAX($I$5:$I$1121)))*0.4 + (1-(EVCleanedDataset[[#This Row],[QueueLength]]/MAX($J$5:$J$1121)))*0.3 + (EVCleanedDataset[[#This Row],[EstimatedBatteryOnArrival]]/100)*0.3 + (ROW()/10000000))*100</f>
        <v>12.94228026636196</v>
      </c>
      <c r="L987" t="str">
        <f>IF(EVCleanedDataset[[#This Row],[Score]]&gt;50,"Yes","No")</f>
        <v>No</v>
      </c>
    </row>
    <row r="988" spans="1:12" x14ac:dyDescent="0.3">
      <c r="A988" t="s">
        <v>3092</v>
      </c>
      <c r="B988" t="s">
        <v>463</v>
      </c>
      <c r="C988" t="s">
        <v>1160</v>
      </c>
      <c r="D988">
        <v>22.607625110000001</v>
      </c>
      <c r="E988">
        <v>88.463414470000004</v>
      </c>
      <c r="F988">
        <f>IF(COUNTIF($C$5:C988,C988)=1,1,0)</f>
        <v>0</v>
      </c>
      <c r="G988" s="2" t="str">
        <f t="shared" si="30"/>
        <v/>
      </c>
      <c r="H988" s="2">
        <f>MAX(0, MyBattery - (EVCleanedDataset[[#This Row],[Distance(km)]]/VehicleRangeKm)*100)</f>
        <v>0</v>
      </c>
      <c r="I988" s="2">
        <f>6371*ACOS(SIN(RADIANS(MyLat))*SIN(RADIANS(EVCleanedDataset[[#This Row],[Latitude]]))+COS(RADIANS(MyLat))*COS(RADIANS(EVCleanedDataset[[#This Row],[Latitude]]))*COS(RADIANS(EVCleanedDataset[[#This Row],[Longitude]]-MyLong)))</f>
        <v>1546.2951847959609</v>
      </c>
      <c r="J988">
        <f t="shared" si="31"/>
        <v>6</v>
      </c>
      <c r="K988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22.92619661124235</v>
      </c>
      <c r="L988" t="str">
        <f>IF(EVCleanedDataset[[#This Row],[Score]]&gt;50,"Yes","No")</f>
        <v>No</v>
      </c>
    </row>
    <row r="989" spans="1:12" x14ac:dyDescent="0.3">
      <c r="A989" t="s">
        <v>3358</v>
      </c>
      <c r="B989" t="s">
        <v>41</v>
      </c>
      <c r="C989" t="s">
        <v>125</v>
      </c>
      <c r="D989">
        <v>29.133199999999999</v>
      </c>
      <c r="E989">
        <v>75.753500000000003</v>
      </c>
      <c r="F989">
        <f>IF(COUNTIF($C$5:C989,C989)=1,1,0)</f>
        <v>0</v>
      </c>
      <c r="G989" s="2" t="str">
        <f t="shared" si="30"/>
        <v/>
      </c>
      <c r="H989" s="2">
        <f>MAX(0, MyBattery - (EVCleanedDataset[[#This Row],[Distance(km)]]/VehicleRangeKm)*100)</f>
        <v>0</v>
      </c>
      <c r="I989" s="2">
        <f>6371*ACOS(SIN(RADIANS(MyLat))*SIN(RADIANS(EVCleanedDataset[[#This Row],[Latitude]]))+COS(RADIANS(MyLat))*COS(RADIANS(EVCleanedDataset[[#This Row],[Latitude]]))*COS(RADIANS(EVCleanedDataset[[#This Row],[Longitude]]-MyLong)))</f>
        <v>1764.7327169994503</v>
      </c>
      <c r="J989">
        <f t="shared" si="31"/>
        <v>3</v>
      </c>
      <c r="K989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29.100227573998239</v>
      </c>
      <c r="L989" t="str">
        <f>IF(EVCleanedDataset[[#This Row],[Score]]&gt;50,"Yes","No")</f>
        <v>No</v>
      </c>
    </row>
    <row r="990" spans="1:12" x14ac:dyDescent="0.3">
      <c r="A990" t="s">
        <v>752</v>
      </c>
      <c r="B990" t="s">
        <v>506</v>
      </c>
      <c r="C990" t="s">
        <v>1236</v>
      </c>
      <c r="D990">
        <v>21.243932000000001</v>
      </c>
      <c r="E990">
        <v>81.634728300000006</v>
      </c>
      <c r="F990">
        <f>IF(COUNTIF($C$5:C990,C990)=1,1,0)</f>
        <v>0</v>
      </c>
      <c r="G990" s="2" t="str">
        <f t="shared" si="30"/>
        <v/>
      </c>
      <c r="H990" s="2">
        <f>MAX(0, MyBattery - (EVCleanedDataset[[#This Row],[Distance(km)]]/VehicleRangeKm)*100)</f>
        <v>0</v>
      </c>
      <c r="I990" s="2">
        <f>6371*ACOS(SIN(RADIANS(MyLat))*SIN(RADIANS(EVCleanedDataset[[#This Row],[Latitude]]))+COS(RADIANS(MyLat))*COS(RADIANS(EVCleanedDataset[[#This Row],[Latitude]]))*COS(RADIANS(EVCleanedDataset[[#This Row],[Longitude]]-MyLong)))</f>
        <v>979.52252357730026</v>
      </c>
      <c r="J990">
        <f t="shared" si="31"/>
        <v>0</v>
      </c>
      <c r="K990" s="5">
        <f>((1-(EVCleanedDataset[[#This Row],[Distance(km)]]/MAX($I$5:$I$1121)))*0.4 + (1-(EVCleanedDataset[[#This Row],[QueueLength]]/MAX($J$5:$J$1121)))*0.3 + (EVCleanedDataset[[#This Row],[EstimatedBatteryOnArrival]]/100)*0.3 + (ROW()/10000000))*100</f>
        <v>52.853358246799672</v>
      </c>
      <c r="L990" t="str">
        <f>IF(EVCleanedDataset[[#This Row],[Score]]&gt;50,"Yes","No")</f>
        <v>Yes</v>
      </c>
    </row>
    <row r="991" spans="1:12" x14ac:dyDescent="0.3">
      <c r="A991" t="s">
        <v>501</v>
      </c>
      <c r="B991" t="s">
        <v>506</v>
      </c>
      <c r="C991" t="s">
        <v>1236</v>
      </c>
      <c r="D991">
        <v>21.2404762</v>
      </c>
      <c r="E991">
        <v>81.657497500000005</v>
      </c>
      <c r="F991">
        <f>IF(COUNTIF($C$5:C991,C991)=1,1,0)</f>
        <v>0</v>
      </c>
      <c r="G991" s="2" t="str">
        <f t="shared" si="30"/>
        <v/>
      </c>
      <c r="H991" s="2">
        <f>MAX(0, MyBattery - (EVCleanedDataset[[#This Row],[Distance(km)]]/VehicleRangeKm)*100)</f>
        <v>0</v>
      </c>
      <c r="I991" s="2">
        <f>6371*ACOS(SIN(RADIANS(MyLat))*SIN(RADIANS(EVCleanedDataset[[#This Row],[Latitude]]))+COS(RADIANS(MyLat))*COS(RADIANS(EVCleanedDataset[[#This Row],[Latitude]]))*COS(RADIANS(EVCleanedDataset[[#This Row],[Longitude]]-MyLong)))</f>
        <v>980.25414587311423</v>
      </c>
      <c r="J991">
        <f t="shared" si="31"/>
        <v>7</v>
      </c>
      <c r="K991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29.507220396021811</v>
      </c>
      <c r="L991" t="str">
        <f>IF(EVCleanedDataset[[#This Row],[Score]]&gt;50,"Yes","No")</f>
        <v>No</v>
      </c>
    </row>
    <row r="992" spans="1:12" x14ac:dyDescent="0.3">
      <c r="A992" t="s">
        <v>2820</v>
      </c>
      <c r="B992" t="s">
        <v>45</v>
      </c>
      <c r="C992" t="s">
        <v>46</v>
      </c>
      <c r="D992">
        <v>32.991799999999998</v>
      </c>
      <c r="E992">
        <v>74.930599999999998</v>
      </c>
      <c r="F992">
        <f>IF(COUNTIF($C$5:C992,C992)=1,1,0)</f>
        <v>0</v>
      </c>
      <c r="G992" s="2" t="str">
        <f t="shared" si="30"/>
        <v/>
      </c>
      <c r="H992" s="2">
        <f>MAX(0, MyBattery - (EVCleanedDataset[[#This Row],[Distance(km)]]/VehicleRangeKm)*100)</f>
        <v>0</v>
      </c>
      <c r="I992" s="2">
        <f>6371*ACOS(SIN(RADIANS(MyLat))*SIN(RADIANS(EVCleanedDataset[[#This Row],[Latitude]]))+COS(RADIANS(MyLat))*COS(RADIANS(EVCleanedDataset[[#This Row],[Latitude]]))*COS(RADIANS(EVCleanedDataset[[#This Row],[Longitude]]-MyLong)))</f>
        <v>2200.1175672477257</v>
      </c>
      <c r="J992">
        <f t="shared" si="31"/>
        <v>4</v>
      </c>
      <c r="K992" s="5">
        <f>((1-(EVCleanedDataset[[#This Row],[Distance(km)]]/MAX($I$5:$I$1121)))*0.4 + (1-(EVCleanedDataset[[#This Row],[QueueLength]]/MAX($J$5:$J$1121)))*0.3 + (EVCleanedDataset[[#This Row],[EstimatedBatteryOnArrival]]/100)*0.3 + (ROW()/10000000))*100</f>
        <v>18.141067578670622</v>
      </c>
      <c r="L992" t="str">
        <f>IF(EVCleanedDataset[[#This Row],[Score]]&gt;50,"Yes","No")</f>
        <v>No</v>
      </c>
    </row>
    <row r="993" spans="1:12" x14ac:dyDescent="0.3">
      <c r="A993" t="s">
        <v>3280</v>
      </c>
      <c r="B993" t="s">
        <v>18</v>
      </c>
      <c r="C993" t="s">
        <v>2406</v>
      </c>
      <c r="D993">
        <v>26.968707999999999</v>
      </c>
      <c r="E993">
        <v>79.019513000000003</v>
      </c>
      <c r="F993">
        <f>IF(COUNTIF($C$5:C993,C993)=1,1,0)</f>
        <v>1</v>
      </c>
      <c r="G993" s="2">
        <f t="shared" si="30"/>
        <v>1522.2576441941233</v>
      </c>
      <c r="H993" s="2">
        <f>MAX(0, MyBattery - (EVCleanedDataset[[#This Row],[Distance(km)]]/VehicleRangeKm)*100)</f>
        <v>0</v>
      </c>
      <c r="I993" s="2">
        <f>6371*ACOS(SIN(RADIANS(MyLat))*SIN(RADIANS(EVCleanedDataset[[#This Row],[Latitude]]))+COS(RADIANS(MyLat))*COS(RADIANS(EVCleanedDataset[[#This Row],[Latitude]]))*COS(RADIANS(EVCleanedDataset[[#This Row],[Longitude]]-MyLong)))</f>
        <v>1522.2576441941233</v>
      </c>
      <c r="J993">
        <f t="shared" si="31"/>
        <v>1</v>
      </c>
      <c r="K993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40.013935826194633</v>
      </c>
      <c r="L993" t="str">
        <f>IF(EVCleanedDataset[[#This Row],[Score]]&gt;50,"Yes","No")</f>
        <v>No</v>
      </c>
    </row>
    <row r="994" spans="1:12" x14ac:dyDescent="0.3">
      <c r="A994" t="s">
        <v>1063</v>
      </c>
      <c r="B994" t="s">
        <v>405</v>
      </c>
      <c r="C994" t="s">
        <v>1064</v>
      </c>
      <c r="D994">
        <v>22.800098999999999</v>
      </c>
      <c r="E994">
        <v>86.188305</v>
      </c>
      <c r="F994">
        <f>IF(COUNTIF($C$5:C994,C994)=1,1,0)</f>
        <v>0</v>
      </c>
      <c r="G994" s="2" t="str">
        <f t="shared" si="30"/>
        <v/>
      </c>
      <c r="H994" s="2">
        <f>MAX(0, MyBattery - (EVCleanedDataset[[#This Row],[Distance(km)]]/VehicleRangeKm)*100)</f>
        <v>0</v>
      </c>
      <c r="I994" s="2">
        <f>6371*ACOS(SIN(RADIANS(MyLat))*SIN(RADIANS(EVCleanedDataset[[#This Row],[Latitude]]))+COS(RADIANS(MyLat))*COS(RADIANS(EVCleanedDataset[[#This Row],[Latitude]]))*COS(RADIANS(EVCleanedDataset[[#This Row],[Longitude]]-MyLong)))</f>
        <v>1392.1084765753105</v>
      </c>
      <c r="J994">
        <f t="shared" si="31"/>
        <v>8</v>
      </c>
      <c r="K994" s="5">
        <f>((1-(EVCleanedDataset[[#This Row],[Distance(km)]]/MAX($I$5:$I$1121)))*0.4 + (1-(EVCleanedDataset[[#This Row],[QueueLength]]/MAX($J$5:$J$1121)))*0.3 + (EVCleanedDataset[[#This Row],[EstimatedBatteryOnArrival]]/100)*0.3 + (ROW()/10000000))*100</f>
        <v>18.960202369203966</v>
      </c>
      <c r="L994" t="str">
        <f>IF(EVCleanedDataset[[#This Row],[Score]]&gt;50,"Yes","No")</f>
        <v>No</v>
      </c>
    </row>
    <row r="995" spans="1:12" x14ac:dyDescent="0.3">
      <c r="A995" t="s">
        <v>3357</v>
      </c>
      <c r="B995" t="s">
        <v>18</v>
      </c>
      <c r="C995" t="s">
        <v>19</v>
      </c>
      <c r="D995">
        <v>29.310500000000001</v>
      </c>
      <c r="E995">
        <v>77.721800000000002</v>
      </c>
      <c r="F995">
        <f>IF(COUNTIF($C$5:C995,C995)=1,1,0)</f>
        <v>1</v>
      </c>
      <c r="G995" s="2">
        <f t="shared" si="30"/>
        <v>1774.9263666761333</v>
      </c>
      <c r="H995" s="2">
        <f>MAX(0, MyBattery - (EVCleanedDataset[[#This Row],[Distance(km)]]/VehicleRangeKm)*100)</f>
        <v>0</v>
      </c>
      <c r="I995" s="2">
        <f>6371*ACOS(SIN(RADIANS(MyLat))*SIN(RADIANS(EVCleanedDataset[[#This Row],[Latitude]]))+COS(RADIANS(MyLat))*COS(RADIANS(EVCleanedDataset[[#This Row],[Latitude]]))*COS(RADIANS(EVCleanedDataset[[#This Row],[Longitude]]-MyLong)))</f>
        <v>1774.9263666761333</v>
      </c>
      <c r="J995">
        <f t="shared" si="31"/>
        <v>5</v>
      </c>
      <c r="K995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22.255077002433087</v>
      </c>
      <c r="L995" t="str">
        <f>IF(EVCleanedDataset[[#This Row],[Score]]&gt;50,"Yes","No")</f>
        <v>No</v>
      </c>
    </row>
    <row r="996" spans="1:12" x14ac:dyDescent="0.3">
      <c r="A996" t="s">
        <v>2966</v>
      </c>
      <c r="B996" t="s">
        <v>313</v>
      </c>
      <c r="C996" t="s">
        <v>1110</v>
      </c>
      <c r="D996">
        <v>20.352134</v>
      </c>
      <c r="E996">
        <v>85.890374300000005</v>
      </c>
      <c r="F996">
        <f>IF(COUNTIF($C$5:C996,C996)=1,1,0)</f>
        <v>0</v>
      </c>
      <c r="G996" s="2" t="str">
        <f t="shared" si="30"/>
        <v/>
      </c>
      <c r="H996" s="2">
        <f>MAX(0, MyBattery - (EVCleanedDataset[[#This Row],[Distance(km)]]/VehicleRangeKm)*100)</f>
        <v>0</v>
      </c>
      <c r="I996" s="2">
        <f>6371*ACOS(SIN(RADIANS(MyLat))*SIN(RADIANS(EVCleanedDataset[[#This Row],[Latitude]]))+COS(RADIANS(MyLat))*COS(RADIANS(EVCleanedDataset[[#This Row],[Latitude]]))*COS(RADIANS(EVCleanedDataset[[#This Row],[Longitude]]-MyLong)))</f>
        <v>1181.1748206036837</v>
      </c>
      <c r="J996">
        <f t="shared" si="31"/>
        <v>2</v>
      </c>
      <c r="K996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42.654769445687613</v>
      </c>
      <c r="L996" t="str">
        <f>IF(EVCleanedDataset[[#This Row],[Score]]&gt;50,"Yes","No")</f>
        <v>No</v>
      </c>
    </row>
    <row r="997" spans="1:12" x14ac:dyDescent="0.3">
      <c r="A997" t="s">
        <v>2810</v>
      </c>
      <c r="B997" t="s">
        <v>18</v>
      </c>
      <c r="C997" t="s">
        <v>140</v>
      </c>
      <c r="D997">
        <v>31.5153</v>
      </c>
      <c r="E997">
        <v>76.876499999999993</v>
      </c>
      <c r="F997">
        <f>IF(COUNTIF($C$5:C997,C997)=1,1,0)</f>
        <v>0</v>
      </c>
      <c r="G997" s="2" t="str">
        <f t="shared" si="30"/>
        <v/>
      </c>
      <c r="H997" s="2">
        <f>MAX(0, MyBattery - (EVCleanedDataset[[#This Row],[Distance(km)]]/VehicleRangeKm)*100)</f>
        <v>0</v>
      </c>
      <c r="I997" s="2">
        <f>6371*ACOS(SIN(RADIANS(MyLat))*SIN(RADIANS(EVCleanedDataset[[#This Row],[Latitude]]))+COS(RADIANS(MyLat))*COS(RADIANS(EVCleanedDataset[[#This Row],[Latitude]]))*COS(RADIANS(EVCleanedDataset[[#This Row],[Longitude]]-MyLong)))</f>
        <v>2021.1149364733324</v>
      </c>
      <c r="J997">
        <f t="shared" si="31"/>
        <v>9</v>
      </c>
      <c r="K997" s="5">
        <f>((1-(EVCleanedDataset[[#This Row],[Distance(km)]]/MAX($I$5:$I$1121)))*0.4 + (1-(EVCleanedDataset[[#This Row],[QueueLength]]/MAX($J$5:$J$1121)))*0.3 + (EVCleanedDataset[[#This Row],[EstimatedBatteryOnArrival]]/100)*0.3 + (ROW()/10000000))*100</f>
        <v>4.6097194075131593</v>
      </c>
      <c r="L997" t="str">
        <f>IF(EVCleanedDataset[[#This Row],[Score]]&gt;50,"Yes","No")</f>
        <v>No</v>
      </c>
    </row>
    <row r="998" spans="1:12" x14ac:dyDescent="0.3">
      <c r="A998" t="s">
        <v>3022</v>
      </c>
      <c r="B998" t="s">
        <v>463</v>
      </c>
      <c r="C998" t="s">
        <v>1413</v>
      </c>
      <c r="D998">
        <v>26.7006026</v>
      </c>
      <c r="E998">
        <v>88.329352400000005</v>
      </c>
      <c r="F998">
        <f>IF(COUNTIF($C$5:C998,C998)=1,1,0)</f>
        <v>1</v>
      </c>
      <c r="G998" s="2">
        <f t="shared" si="30"/>
        <v>1861.9149010826357</v>
      </c>
      <c r="H998" s="2">
        <f>MAX(0, MyBattery - (EVCleanedDataset[[#This Row],[Distance(km)]]/VehicleRangeKm)*100)</f>
        <v>0</v>
      </c>
      <c r="I998" s="2">
        <f>6371*ACOS(SIN(RADIANS(MyLat))*SIN(RADIANS(EVCleanedDataset[[#This Row],[Latitude]]))+COS(RADIANS(MyLat))*COS(RADIANS(EVCleanedDataset[[#This Row],[Latitude]]))*COS(RADIANS(EVCleanedDataset[[#This Row],[Longitude]]-MyLong)))</f>
        <v>1861.9149010826357</v>
      </c>
      <c r="J998">
        <f t="shared" si="31"/>
        <v>6</v>
      </c>
      <c r="K998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17.398151305476702</v>
      </c>
      <c r="L998" t="str">
        <f>IF(EVCleanedDataset[[#This Row],[Score]]&gt;50,"Yes","No")</f>
        <v>No</v>
      </c>
    </row>
    <row r="999" spans="1:12" x14ac:dyDescent="0.3">
      <c r="A999" t="s">
        <v>2466</v>
      </c>
      <c r="B999" t="s">
        <v>181</v>
      </c>
      <c r="C999" t="s">
        <v>2467</v>
      </c>
      <c r="D999">
        <v>31.646175899999999</v>
      </c>
      <c r="E999">
        <v>74.878269000000003</v>
      </c>
      <c r="F999">
        <f>IF(COUNTIF($C$5:C999,C999)=1,1,0)</f>
        <v>1</v>
      </c>
      <c r="G999" s="2">
        <f t="shared" si="30"/>
        <v>2047.2162346977148</v>
      </c>
      <c r="H999" s="2">
        <f>MAX(0, MyBattery - (EVCleanedDataset[[#This Row],[Distance(km)]]/VehicleRangeKm)*100)</f>
        <v>0</v>
      </c>
      <c r="I999" s="2">
        <f>6371*ACOS(SIN(RADIANS(MyLat))*SIN(RADIANS(EVCleanedDataset[[#This Row],[Latitude]]))+COS(RADIANS(MyLat))*COS(RADIANS(EVCleanedDataset[[#This Row],[Latitude]]))*COS(RADIANS(EVCleanedDataset[[#This Row],[Longitude]]-MyLong)))</f>
        <v>2052.5640942962582</v>
      </c>
      <c r="J999">
        <f t="shared" si="31"/>
        <v>3</v>
      </c>
      <c r="K999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24.058900834325993</v>
      </c>
      <c r="L999" t="str">
        <f>IF(EVCleanedDataset[[#This Row],[Score]]&gt;50,"Yes","No")</f>
        <v>No</v>
      </c>
    </row>
    <row r="1000" spans="1:12" x14ac:dyDescent="0.3">
      <c r="A1000" t="s">
        <v>3285</v>
      </c>
      <c r="B1000" t="s">
        <v>313</v>
      </c>
      <c r="C1000" t="s">
        <v>981</v>
      </c>
      <c r="D1000">
        <v>20.529316000000001</v>
      </c>
      <c r="E1000">
        <v>85.949236999999997</v>
      </c>
      <c r="F1000">
        <f>IF(COUNTIF($C$5:C1000,C1000)=1,1,0)</f>
        <v>1</v>
      </c>
      <c r="G1000" s="2">
        <f t="shared" si="30"/>
        <v>1184.1254933820946</v>
      </c>
      <c r="H1000" s="2">
        <f>MAX(0, MyBattery - (EVCleanedDataset[[#This Row],[Distance(km)]]/VehicleRangeKm)*100)</f>
        <v>0</v>
      </c>
      <c r="I1000" s="2">
        <f>6371*ACOS(SIN(RADIANS(MyLat))*SIN(RADIANS(EVCleanedDataset[[#This Row],[Latitude]]))+COS(RADIANS(MyLat))*COS(RADIANS(EVCleanedDataset[[#This Row],[Latitude]]))*COS(RADIANS(EVCleanedDataset[[#This Row],[Longitude]]-MyLong)))</f>
        <v>1198.5740450683111</v>
      </c>
      <c r="J1000">
        <f t="shared" si="31"/>
        <v>0</v>
      </c>
      <c r="K1000" s="5">
        <f>((1-(EVCleanedDataset[[#This Row],[Distance(km)]]/MAX($I$5:$I$1121)))*0.4 + (1-(EVCleanedDataset[[#This Row],[QueueLength]]/MAX($J$5:$J$1121)))*0.3 + (EVCleanedDataset[[#This Row],[EstimatedBatteryOnArrival]]/100)*0.3 + (ROW()/10000000))*100</f>
        <v>49.016725058840478</v>
      </c>
      <c r="L1000" t="str">
        <f>IF(EVCleanedDataset[[#This Row],[Score]]&gt;50,"Yes","No")</f>
        <v>No</v>
      </c>
    </row>
    <row r="1001" spans="1:12" x14ac:dyDescent="0.3">
      <c r="A1001" t="s">
        <v>2935</v>
      </c>
      <c r="B1001" t="s">
        <v>463</v>
      </c>
      <c r="C1001" t="s">
        <v>1157</v>
      </c>
      <c r="D1001">
        <v>26.7055489</v>
      </c>
      <c r="E1001">
        <v>88.438044700000006</v>
      </c>
      <c r="F1001">
        <f>IF(COUNTIF($C$5:C1001,C1001)=1,1,0)</f>
        <v>0</v>
      </c>
      <c r="G1001" s="2" t="str">
        <f t="shared" si="30"/>
        <v/>
      </c>
      <c r="H1001" s="2">
        <f>MAX(0, MyBattery - (EVCleanedDataset[[#This Row],[Distance(km)]]/VehicleRangeKm)*100)</f>
        <v>0</v>
      </c>
      <c r="I1001" s="2">
        <f>6371*ACOS(SIN(RADIANS(MyLat))*SIN(RADIANS(EVCleanedDataset[[#This Row],[Latitude]]))+COS(RADIANS(MyLat))*COS(RADIANS(EVCleanedDataset[[#This Row],[Latitude]]))*COS(RADIANS(EVCleanedDataset[[#This Row],[Longitude]]-MyLong)))</f>
        <v>1869.1885282194187</v>
      </c>
      <c r="J1001">
        <f t="shared" si="31"/>
        <v>7</v>
      </c>
      <c r="K1001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13.937448872412938</v>
      </c>
      <c r="L1001" t="str">
        <f>IF(EVCleanedDataset[[#This Row],[Score]]&gt;50,"Yes","No")</f>
        <v>No</v>
      </c>
    </row>
    <row r="1002" spans="1:12" x14ac:dyDescent="0.3">
      <c r="A1002" t="s">
        <v>850</v>
      </c>
      <c r="B1002" t="s">
        <v>1051</v>
      </c>
      <c r="C1002" t="s">
        <v>1052</v>
      </c>
      <c r="D1002">
        <v>26.176336200000001</v>
      </c>
      <c r="E1002">
        <v>91.740470799999997</v>
      </c>
      <c r="F1002">
        <f>IF(COUNTIF($C$5:C1002,C1002)=1,1,0)</f>
        <v>0</v>
      </c>
      <c r="G1002" s="2" t="str">
        <f t="shared" si="30"/>
        <v/>
      </c>
      <c r="H1002" s="2">
        <f>MAX(0, MyBattery - (EVCleanedDataset[[#This Row],[Distance(km)]]/VehicleRangeKm)*100)</f>
        <v>0</v>
      </c>
      <c r="I1002" s="2">
        <f>6371*ACOS(SIN(RADIANS(MyLat))*SIN(RADIANS(EVCleanedDataset[[#This Row],[Latitude]]))+COS(RADIANS(MyLat))*COS(RADIANS(EVCleanedDataset[[#This Row],[Latitude]]))*COS(RADIANS(EVCleanedDataset[[#This Row],[Longitude]]-MyLong)))</f>
        <v>2056.5205402518627</v>
      </c>
      <c r="J1002">
        <f t="shared" si="31"/>
        <v>4</v>
      </c>
      <c r="K1002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20.656299523051615</v>
      </c>
      <c r="L1002" t="str">
        <f>IF(EVCleanedDataset[[#This Row],[Score]]&gt;50,"Yes","No")</f>
        <v>No</v>
      </c>
    </row>
    <row r="1003" spans="1:12" x14ac:dyDescent="0.3">
      <c r="A1003" t="s">
        <v>1156</v>
      </c>
      <c r="B1003" t="s">
        <v>463</v>
      </c>
      <c r="C1003" t="s">
        <v>1157</v>
      </c>
      <c r="D1003">
        <v>26.750937</v>
      </c>
      <c r="E1003">
        <v>88.439994999999996</v>
      </c>
      <c r="F1003">
        <f>IF(COUNTIF($C$5:C1003,C1003)=1,1,0)</f>
        <v>0</v>
      </c>
      <c r="G1003" s="2" t="str">
        <f t="shared" si="30"/>
        <v/>
      </c>
      <c r="H1003" s="2">
        <f>MAX(0, MyBattery - (EVCleanedDataset[[#This Row],[Distance(km)]]/VehicleRangeKm)*100)</f>
        <v>0</v>
      </c>
      <c r="I1003" s="2">
        <f>6371*ACOS(SIN(RADIANS(MyLat))*SIN(RADIANS(EVCleanedDataset[[#This Row],[Latitude]]))+COS(RADIANS(MyLat))*COS(RADIANS(EVCleanedDataset[[#This Row],[Latitude]]))*COS(RADIANS(EVCleanedDataset[[#This Row],[Longitude]]-MyLong)))</f>
        <v>1873.2078938789853</v>
      </c>
      <c r="J1003">
        <f t="shared" si="31"/>
        <v>1</v>
      </c>
      <c r="K1003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33.867068842704697</v>
      </c>
      <c r="L1003" t="str">
        <f>IF(EVCleanedDataset[[#This Row],[Score]]&gt;50,"Yes","No")</f>
        <v>No</v>
      </c>
    </row>
    <row r="1004" spans="1:12" x14ac:dyDescent="0.3">
      <c r="A1004" t="s">
        <v>3177</v>
      </c>
      <c r="B1004" t="s">
        <v>18</v>
      </c>
      <c r="C1004" t="s">
        <v>271</v>
      </c>
      <c r="D1004">
        <v>27.832687</v>
      </c>
      <c r="E1004">
        <v>77.418785</v>
      </c>
      <c r="F1004">
        <f>IF(COUNTIF($C$5:C1004,C1004)=1,1,0)</f>
        <v>0</v>
      </c>
      <c r="G1004" s="2" t="str">
        <f t="shared" si="30"/>
        <v/>
      </c>
      <c r="H1004" s="2">
        <f>MAX(0, MyBattery - (EVCleanedDataset[[#This Row],[Distance(km)]]/VehicleRangeKm)*100)</f>
        <v>0</v>
      </c>
      <c r="I1004" s="2">
        <f>6371*ACOS(SIN(RADIANS(MyLat))*SIN(RADIANS(EVCleanedDataset[[#This Row],[Latitude]]))+COS(RADIANS(MyLat))*COS(RADIANS(EVCleanedDataset[[#This Row],[Latitude]]))*COS(RADIANS(EVCleanedDataset[[#This Row],[Longitude]]-MyLong)))</f>
        <v>1610.5464341735155</v>
      </c>
      <c r="J1004">
        <f t="shared" si="31"/>
        <v>8</v>
      </c>
      <c r="K1004" s="5">
        <f>((1-(EVCleanedDataset[[#This Row],[Distance(km)]]/MAX($I$5:$I$1121)))*0.4 + (1-(EVCleanedDataset[[#This Row],[QueueLength]]/MAX($J$5:$J$1121)))*0.3 + (EVCleanedDataset[[#This Row],[EstimatedBatteryOnArrival]]/100)*0.3 + (ROW()/10000000))*100</f>
        <v>15.134315881082481</v>
      </c>
      <c r="L1004" t="str">
        <f>IF(EVCleanedDataset[[#This Row],[Score]]&gt;50,"Yes","No")</f>
        <v>No</v>
      </c>
    </row>
    <row r="1005" spans="1:12" x14ac:dyDescent="0.3">
      <c r="A1005" t="s">
        <v>2849</v>
      </c>
      <c r="B1005" t="s">
        <v>18</v>
      </c>
      <c r="C1005" t="s">
        <v>273</v>
      </c>
      <c r="D1005">
        <v>27.846800000000002</v>
      </c>
      <c r="E1005">
        <v>77.408199999999994</v>
      </c>
      <c r="F1005">
        <f>IF(COUNTIF($C$5:C1005,C1005)=1,1,0)</f>
        <v>1</v>
      </c>
      <c r="G1005" s="2">
        <f t="shared" si="30"/>
        <v>1612.1244319000482</v>
      </c>
      <c r="H1005" s="2">
        <f>MAX(0, MyBattery - (EVCleanedDataset[[#This Row],[Distance(km)]]/VehicleRangeKm)*100)</f>
        <v>0</v>
      </c>
      <c r="I1005" s="2">
        <f>6371*ACOS(SIN(RADIANS(MyLat))*SIN(RADIANS(EVCleanedDataset[[#This Row],[Latitude]]))+COS(RADIANS(MyLat))*COS(RADIANS(EVCleanedDataset[[#This Row],[Latitude]]))*COS(RADIANS(EVCleanedDataset[[#This Row],[Longitude]]-MyLong)))</f>
        <v>1612.1244319000482</v>
      </c>
      <c r="J1005">
        <f t="shared" si="31"/>
        <v>5</v>
      </c>
      <c r="K1005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25.106686921048322</v>
      </c>
      <c r="L1005" t="str">
        <f>IF(EVCleanedDataset[[#This Row],[Score]]&gt;50,"Yes","No")</f>
        <v>No</v>
      </c>
    </row>
    <row r="1006" spans="1:12" x14ac:dyDescent="0.3">
      <c r="A1006" t="s">
        <v>1415</v>
      </c>
      <c r="B1006" t="s">
        <v>506</v>
      </c>
      <c r="C1006" t="s">
        <v>1416</v>
      </c>
      <c r="D1006">
        <v>22.013661200000001</v>
      </c>
      <c r="E1006">
        <v>82.0487988</v>
      </c>
      <c r="F1006">
        <f>IF(COUNTIF($C$5:C1006,C1006)=1,1,0)</f>
        <v>1</v>
      </c>
      <c r="G1006" s="2">
        <f t="shared" si="30"/>
        <v>1075.2139972999116</v>
      </c>
      <c r="H1006" s="2">
        <f>MAX(0, MyBattery - (EVCleanedDataset[[#This Row],[Distance(km)]]/VehicleRangeKm)*100)</f>
        <v>0</v>
      </c>
      <c r="I1006" s="2">
        <f>6371*ACOS(SIN(RADIANS(MyLat))*SIN(RADIANS(EVCleanedDataset[[#This Row],[Latitude]]))+COS(RADIANS(MyLat))*COS(RADIANS(EVCleanedDataset[[#This Row],[Latitude]]))*COS(RADIANS(EVCleanedDataset[[#This Row],[Longitude]]-MyLong)))</f>
        <v>1075.2139972999116</v>
      </c>
      <c r="J1006">
        <f t="shared" si="31"/>
        <v>2</v>
      </c>
      <c r="K1006" s="5">
        <f>((1-(EVCleanedDataset[[#This Row],[Distance(km)]]/MAX($I$5:$I$1121)))*0.4 + (1-(EVCleanedDataset[[#This Row],[QueueLength]]/MAX($J$5:$J$1121)))*0.3 + (EVCleanedDataset[[#This Row],[EstimatedBatteryOnArrival]]/100)*0.3 + (ROW()/10000000))*100</f>
        <v>44.510795415184923</v>
      </c>
      <c r="L1006" t="str">
        <f>IF(EVCleanedDataset[[#This Row],[Score]]&gt;50,"Yes","No")</f>
        <v>No</v>
      </c>
    </row>
    <row r="1007" spans="1:12" x14ac:dyDescent="0.3">
      <c r="A1007" t="s">
        <v>2999</v>
      </c>
      <c r="B1007" t="s">
        <v>463</v>
      </c>
      <c r="C1007" t="s">
        <v>1298</v>
      </c>
      <c r="D1007">
        <v>22.380721000000001</v>
      </c>
      <c r="E1007">
        <v>87.365967999999995</v>
      </c>
      <c r="F1007">
        <f>IF(COUNTIF($C$5:C1007,C1007)=1,1,0)</f>
        <v>1</v>
      </c>
      <c r="G1007" s="2">
        <f t="shared" si="30"/>
        <v>1444.7610058494683</v>
      </c>
      <c r="H1007" s="2">
        <f>MAX(0, MyBattery - (EVCleanedDataset[[#This Row],[Distance(km)]]/VehicleRangeKm)*100)</f>
        <v>0</v>
      </c>
      <c r="I1007" s="2">
        <f>6371*ACOS(SIN(RADIANS(MyLat))*SIN(RADIANS(EVCleanedDataset[[#This Row],[Latitude]]))+COS(RADIANS(MyLat))*COS(RADIANS(EVCleanedDataset[[#This Row],[Latitude]]))*COS(RADIANS(EVCleanedDataset[[#This Row],[Longitude]]-MyLong)))</f>
        <v>1444.7610058494683</v>
      </c>
      <c r="J1007">
        <f t="shared" si="31"/>
        <v>9</v>
      </c>
      <c r="K1007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14.704778979506198</v>
      </c>
      <c r="L1007" t="str">
        <f>IF(EVCleanedDataset[[#This Row],[Score]]&gt;50,"Yes","No")</f>
        <v>No</v>
      </c>
    </row>
    <row r="1008" spans="1:12" x14ac:dyDescent="0.3">
      <c r="A1008" t="s">
        <v>1087</v>
      </c>
      <c r="B1008" t="s">
        <v>18</v>
      </c>
      <c r="C1008" t="s">
        <v>1088</v>
      </c>
      <c r="D1008">
        <v>26.755089000000002</v>
      </c>
      <c r="E1008">
        <v>82.141261</v>
      </c>
      <c r="F1008">
        <f>IF(COUNTIF($C$5:C1008,C1008)=1,1,0)</f>
        <v>1</v>
      </c>
      <c r="G1008" s="2">
        <f t="shared" si="30"/>
        <v>1565.8442546584331</v>
      </c>
      <c r="H1008" s="2">
        <f>MAX(0, MyBattery - (EVCleanedDataset[[#This Row],[Distance(km)]]/VehicleRangeKm)*100)</f>
        <v>0</v>
      </c>
      <c r="I1008" s="2">
        <f>6371*ACOS(SIN(RADIANS(MyLat))*SIN(RADIANS(EVCleanedDataset[[#This Row],[Latitude]]))+COS(RADIANS(MyLat))*COS(RADIANS(EVCleanedDataset[[#This Row],[Latitude]]))*COS(RADIANS(EVCleanedDataset[[#This Row],[Longitude]]-MyLong)))</f>
        <v>1565.8442546584331</v>
      </c>
      <c r="J1008">
        <f t="shared" si="31"/>
        <v>6</v>
      </c>
      <c r="K1008" s="5">
        <f>((1-(EVCleanedDataset[[#This Row],[Distance(km)]]/MAX($I$5:$I$1121)))*0.4 + (1-(EVCleanedDataset[[#This Row],[QueueLength]]/MAX($J$5:$J$1121)))*0.3 + (EVCleanedDataset[[#This Row],[EstimatedBatteryOnArrival]]/100)*0.3 + (ROW()/10000000))*100</f>
        <v>22.583990566196196</v>
      </c>
      <c r="L1008" t="str">
        <f>IF(EVCleanedDataset[[#This Row],[Score]]&gt;50,"Yes","No")</f>
        <v>No</v>
      </c>
    </row>
    <row r="1009" spans="1:12" x14ac:dyDescent="0.3">
      <c r="A1009" t="s">
        <v>243</v>
      </c>
      <c r="B1009" t="s">
        <v>8</v>
      </c>
      <c r="C1009" t="s">
        <v>9</v>
      </c>
      <c r="D1009">
        <v>28.366399999999999</v>
      </c>
      <c r="E1009">
        <v>76.943600000000004</v>
      </c>
      <c r="F1009">
        <f>IF(COUNTIF($C$5:C1009,C1009)=1,1,0)</f>
        <v>0</v>
      </c>
      <c r="G1009" s="2" t="str">
        <f t="shared" si="30"/>
        <v/>
      </c>
      <c r="H1009" s="2">
        <f>MAX(0, MyBattery - (EVCleanedDataset[[#This Row],[Distance(km)]]/VehicleRangeKm)*100)</f>
        <v>0</v>
      </c>
      <c r="I1009" s="2">
        <f>6371*ACOS(SIN(RADIANS(MyLat))*SIN(RADIANS(EVCleanedDataset[[#This Row],[Latitude]]))+COS(RADIANS(MyLat))*COS(RADIANS(EVCleanedDataset[[#This Row],[Latitude]]))*COS(RADIANS(EVCleanedDataset[[#This Row],[Longitude]]-MyLong)))</f>
        <v>1670.9761095365047</v>
      </c>
      <c r="J1009">
        <f t="shared" si="31"/>
        <v>3</v>
      </c>
      <c r="K100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30.742594151956972</v>
      </c>
      <c r="L1009" t="str">
        <f>IF(EVCleanedDataset[[#This Row],[Score]]&gt;50,"Yes","No")</f>
        <v>No</v>
      </c>
    </row>
    <row r="1010" spans="1:12" x14ac:dyDescent="0.3">
      <c r="A1010" t="s">
        <v>2582</v>
      </c>
      <c r="B1010" t="s">
        <v>64</v>
      </c>
      <c r="C1010" t="s">
        <v>65</v>
      </c>
      <c r="D1010">
        <v>30.268387700000002</v>
      </c>
      <c r="E1010">
        <v>77.984897000000004</v>
      </c>
      <c r="F1010">
        <f>IF(COUNTIF($C$5:C1010,C1010)=1,1,0)</f>
        <v>0</v>
      </c>
      <c r="G1010" s="2" t="str">
        <f t="shared" si="30"/>
        <v/>
      </c>
      <c r="H1010" s="2">
        <f>MAX(0, MyBattery - (EVCleanedDataset[[#This Row],[Distance(km)]]/VehicleRangeKm)*100)</f>
        <v>0</v>
      </c>
      <c r="I1010" s="2">
        <f>6371*ACOS(SIN(RADIANS(MyLat))*SIN(RADIANS(EVCleanedDataset[[#This Row],[Latitude]]))+COS(RADIANS(MyLat))*COS(RADIANS(EVCleanedDataset[[#This Row],[Latitude]]))*COS(RADIANS(EVCleanedDataset[[#This Row],[Longitude]]-MyLong)))</f>
        <v>1881.8976830130587</v>
      </c>
      <c r="J1010">
        <f t="shared" si="31"/>
        <v>0</v>
      </c>
      <c r="K1010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37.04826870290016</v>
      </c>
      <c r="L1010" t="str">
        <f>IF(EVCleanedDataset[[#This Row],[Score]]&gt;50,"Yes","No")</f>
        <v>No</v>
      </c>
    </row>
    <row r="1011" spans="1:12" x14ac:dyDescent="0.3">
      <c r="A1011" t="s">
        <v>1661</v>
      </c>
      <c r="B1011" t="s">
        <v>45</v>
      </c>
      <c r="C1011" t="s">
        <v>46</v>
      </c>
      <c r="D1011">
        <v>28.522906630000001</v>
      </c>
      <c r="E1011">
        <v>77.156682140000001</v>
      </c>
      <c r="F1011">
        <f>IF(COUNTIF($C$5:C1011,C1011)=1,1,0)</f>
        <v>0</v>
      </c>
      <c r="G1011" s="2" t="str">
        <f t="shared" si="30"/>
        <v/>
      </c>
      <c r="H1011" s="2">
        <f>MAX(0, MyBattery - (EVCleanedDataset[[#This Row],[Distance(km)]]/VehicleRangeKm)*100)</f>
        <v>0</v>
      </c>
      <c r="I1011" s="2">
        <f>6371*ACOS(SIN(RADIANS(MyLat))*SIN(RADIANS(EVCleanedDataset[[#This Row],[Latitude]]))+COS(RADIANS(MyLat))*COS(RADIANS(EVCleanedDataset[[#This Row],[Latitude]]))*COS(RADIANS(EVCleanedDataset[[#This Row],[Longitude]]-MyLong)))</f>
        <v>1687.7078726047566</v>
      </c>
      <c r="J1011">
        <f t="shared" si="31"/>
        <v>7</v>
      </c>
      <c r="K1011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17.116220490988951</v>
      </c>
      <c r="L1011" t="str">
        <f>IF(EVCleanedDataset[[#This Row],[Score]]&gt;50,"Yes","No")</f>
        <v>No</v>
      </c>
    </row>
    <row r="1012" spans="1:12" x14ac:dyDescent="0.3">
      <c r="A1012" t="s">
        <v>3100</v>
      </c>
      <c r="B1012" t="s">
        <v>45</v>
      </c>
      <c r="C1012" t="s">
        <v>46</v>
      </c>
      <c r="D1012">
        <v>28.53646664</v>
      </c>
      <c r="E1012">
        <v>77.211450619999994</v>
      </c>
      <c r="F1012">
        <f>IF(COUNTIF($C$5:C1012,C1012)=1,1,0)</f>
        <v>0</v>
      </c>
      <c r="G1012" s="2" t="str">
        <f t="shared" si="30"/>
        <v/>
      </c>
      <c r="H1012" s="2">
        <f>MAX(0, MyBattery - (EVCleanedDataset[[#This Row],[Distance(km)]]/VehicleRangeKm)*100)</f>
        <v>0</v>
      </c>
      <c r="I1012" s="2">
        <f>6371*ACOS(SIN(RADIANS(MyLat))*SIN(RADIANS(EVCleanedDataset[[#This Row],[Latitude]]))+COS(RADIANS(MyLat))*COS(RADIANS(EVCleanedDataset[[#This Row],[Latitude]]))*COS(RADIANS(EVCleanedDataset[[#This Row],[Longitude]]-MyLong)))</f>
        <v>1689.0926711587256</v>
      </c>
      <c r="J1012">
        <f t="shared" si="31"/>
        <v>4</v>
      </c>
      <c r="K101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27.091975454847283</v>
      </c>
      <c r="L1012" t="str">
        <f>IF(EVCleanedDataset[[#This Row],[Score]]&gt;50,"Yes","No")</f>
        <v>No</v>
      </c>
    </row>
    <row r="1013" spans="1:12" x14ac:dyDescent="0.3">
      <c r="A1013" t="s">
        <v>3366</v>
      </c>
      <c r="B1013" t="s">
        <v>8</v>
      </c>
      <c r="C1013" t="s">
        <v>9</v>
      </c>
      <c r="D1013">
        <v>28.553000000000001</v>
      </c>
      <c r="E1013">
        <v>77.094399999999993</v>
      </c>
      <c r="F1013">
        <f>IF(COUNTIF($C$5:C1013,C1013)=1,1,0)</f>
        <v>0</v>
      </c>
      <c r="G1013" s="2" t="str">
        <f t="shared" si="30"/>
        <v/>
      </c>
      <c r="H1013" s="2">
        <f>MAX(0, MyBattery - (EVCleanedDataset[[#This Row],[Distance(km)]]/VehicleRangeKm)*100)</f>
        <v>0</v>
      </c>
      <c r="I1013" s="2">
        <f>6371*ACOS(SIN(RADIANS(MyLat))*SIN(RADIANS(EVCleanedDataset[[#This Row],[Latitude]]))+COS(RADIANS(MyLat))*COS(RADIANS(EVCleanedDataset[[#This Row],[Latitude]]))*COS(RADIANS(EVCleanedDataset[[#This Row],[Longitude]]-MyLong)))</f>
        <v>1691.2153061676995</v>
      </c>
      <c r="J1013">
        <f t="shared" si="31"/>
        <v>1</v>
      </c>
      <c r="K101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37.054807058963881</v>
      </c>
      <c r="L1013" t="str">
        <f>IF(EVCleanedDataset[[#This Row],[Score]]&gt;50,"Yes","No")</f>
        <v>No</v>
      </c>
    </row>
    <row r="1014" spans="1:12" x14ac:dyDescent="0.3">
      <c r="A1014" t="s">
        <v>3104</v>
      </c>
      <c r="B1014" t="s">
        <v>45</v>
      </c>
      <c r="C1014" t="s">
        <v>46</v>
      </c>
      <c r="D1014">
        <v>28.559172490000002</v>
      </c>
      <c r="E1014">
        <v>77.196484620000007</v>
      </c>
      <c r="F1014">
        <f>IF(COUNTIF($C$5:C1014,C1014)=1,1,0)</f>
        <v>0</v>
      </c>
      <c r="G1014" s="2" t="str">
        <f t="shared" si="30"/>
        <v/>
      </c>
      <c r="H1014" s="2">
        <f>MAX(0, MyBattery - (EVCleanedDataset[[#This Row],[Distance(km)]]/VehicleRangeKm)*100)</f>
        <v>0</v>
      </c>
      <c r="I1014" s="2">
        <f>6371*ACOS(SIN(RADIANS(MyLat))*SIN(RADIANS(EVCleanedDataset[[#This Row],[Latitude]]))+COS(RADIANS(MyLat))*COS(RADIANS(EVCleanedDataset[[#This Row],[Latitude]]))*COS(RADIANS(EVCleanedDataset[[#This Row],[Longitude]]-MyLong)))</f>
        <v>1691.6484328803867</v>
      </c>
      <c r="J1014">
        <f t="shared" si="31"/>
        <v>8</v>
      </c>
      <c r="K101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13.713897420719965</v>
      </c>
      <c r="L1014" t="str">
        <f>IF(EVCleanedDataset[[#This Row],[Score]]&gt;50,"Yes","No")</f>
        <v>No</v>
      </c>
    </row>
    <row r="1015" spans="1:12" x14ac:dyDescent="0.3">
      <c r="A1015" t="s">
        <v>3200</v>
      </c>
      <c r="B1015" t="s">
        <v>45</v>
      </c>
      <c r="C1015" t="s">
        <v>46</v>
      </c>
      <c r="D1015">
        <v>28.564862999999999</v>
      </c>
      <c r="E1015">
        <v>77.236743000000004</v>
      </c>
      <c r="F1015">
        <f>IF(COUNTIF($C$5:C1015,C1015)=1,1,0)</f>
        <v>0</v>
      </c>
      <c r="G1015" s="2" t="str">
        <f t="shared" si="30"/>
        <v/>
      </c>
      <c r="H1015" s="2">
        <f>MAX(0, MyBattery - (EVCleanedDataset[[#This Row],[Distance(km)]]/VehicleRangeKm)*100)</f>
        <v>0</v>
      </c>
      <c r="I1015" s="2">
        <f>6371*ACOS(SIN(RADIANS(MyLat))*SIN(RADIANS(EVCleanedDataset[[#This Row],[Latitude]]))+COS(RADIANS(MyLat))*COS(RADIANS(EVCleanedDataset[[#This Row],[Latitude]]))*COS(RADIANS(EVCleanedDataset[[#This Row],[Longitude]]-MyLong)))</f>
        <v>1692.1994180404579</v>
      </c>
      <c r="J1015">
        <f t="shared" si="31"/>
        <v>5</v>
      </c>
      <c r="K101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23.704256800467117</v>
      </c>
      <c r="L1015" t="str">
        <f>IF(EVCleanedDataset[[#This Row],[Score]]&gt;50,"Yes","No")</f>
        <v>No</v>
      </c>
    </row>
    <row r="1016" spans="1:12" x14ac:dyDescent="0.3">
      <c r="A1016" t="s">
        <v>2137</v>
      </c>
      <c r="B1016" t="s">
        <v>45</v>
      </c>
      <c r="C1016" t="s">
        <v>45</v>
      </c>
      <c r="D1016">
        <v>28.568169999999999</v>
      </c>
      <c r="E1016">
        <v>77.241119999999995</v>
      </c>
      <c r="F1016">
        <f>IF(COUNTIF($C$5:C1016,C1016)=1,1,0)</f>
        <v>0</v>
      </c>
      <c r="G1016" s="2" t="str">
        <f t="shared" si="30"/>
        <v/>
      </c>
      <c r="H1016" s="2">
        <f>MAX(0, MyBattery - (EVCleanedDataset[[#This Row],[Distance(km)]]/VehicleRangeKm)*100)</f>
        <v>0</v>
      </c>
      <c r="I1016" s="2">
        <f>6371*ACOS(SIN(RADIANS(MyLat))*SIN(RADIANS(EVCleanedDataset[[#This Row],[Latitude]]))+COS(RADIANS(MyLat))*COS(RADIANS(EVCleanedDataset[[#This Row],[Latitude]]))*COS(RADIANS(EVCleanedDataset[[#This Row],[Longitude]]-MyLong)))</f>
        <v>1692.5588154162037</v>
      </c>
      <c r="J1016">
        <f t="shared" si="31"/>
        <v>2</v>
      </c>
      <c r="K101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33.697971880304941</v>
      </c>
      <c r="L1016" t="str">
        <f>IF(EVCleanedDataset[[#This Row],[Score]]&gt;50,"Yes","No")</f>
        <v>No</v>
      </c>
    </row>
    <row r="1017" spans="1:12" x14ac:dyDescent="0.3">
      <c r="A1017" t="s">
        <v>2797</v>
      </c>
      <c r="B1017" t="s">
        <v>45</v>
      </c>
      <c r="C1017" t="s">
        <v>46</v>
      </c>
      <c r="D1017">
        <v>28.587399999999999</v>
      </c>
      <c r="E1017">
        <v>77.171300000000002</v>
      </c>
      <c r="F1017">
        <f>IF(COUNTIF($C$5:C1017,C1017)=1,1,0)</f>
        <v>0</v>
      </c>
      <c r="G1017" s="2" t="str">
        <f t="shared" si="30"/>
        <v/>
      </c>
      <c r="H1017" s="2">
        <f>MAX(0, MyBattery - (EVCleanedDataset[[#This Row],[Distance(km)]]/VehicleRangeKm)*100)</f>
        <v>0</v>
      </c>
      <c r="I1017" s="2">
        <f>6371*ACOS(SIN(RADIANS(MyLat))*SIN(RADIANS(EVCleanedDataset[[#This Row],[Latitude]]))+COS(RADIANS(MyLat))*COS(RADIANS(EVCleanedDataset[[#This Row],[Latitude]]))*COS(RADIANS(EVCleanedDataset[[#This Row],[Longitude]]-MyLong)))</f>
        <v>1694.8425937958614</v>
      </c>
      <c r="J1017">
        <f t="shared" si="31"/>
        <v>9</v>
      </c>
      <c r="K101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10.324647691266362</v>
      </c>
      <c r="L1017" t="str">
        <f>IF(EVCleanedDataset[[#This Row],[Score]]&gt;50,"Yes","No")</f>
        <v>No</v>
      </c>
    </row>
    <row r="1018" spans="1:12" x14ac:dyDescent="0.3">
      <c r="A1018" t="s">
        <v>754</v>
      </c>
      <c r="B1018" t="s">
        <v>45</v>
      </c>
      <c r="C1018" t="s">
        <v>45</v>
      </c>
      <c r="D1018">
        <v>28.625590899999999</v>
      </c>
      <c r="E1018">
        <v>77.1009332</v>
      </c>
      <c r="F1018">
        <f>IF(COUNTIF($C$5:C1018,C1018)=1,1,0)</f>
        <v>0</v>
      </c>
      <c r="G1018" s="2" t="str">
        <f t="shared" si="30"/>
        <v/>
      </c>
      <c r="H1018" s="2">
        <f>MAX(0, MyBattery - (EVCleanedDataset[[#This Row],[Distance(km)]]/VehicleRangeKm)*100)</f>
        <v>0</v>
      </c>
      <c r="I1018" s="2">
        <f>6371*ACOS(SIN(RADIANS(MyLat))*SIN(RADIANS(EVCleanedDataset[[#This Row],[Latitude]]))+COS(RADIANS(MyLat))*COS(RADIANS(EVCleanedDataset[[#This Row],[Latitude]]))*COS(RADIANS(EVCleanedDataset[[#This Row],[Longitude]]-MyLong)))</f>
        <v>1699.2656700339951</v>
      </c>
      <c r="J1018">
        <f t="shared" si="31"/>
        <v>6</v>
      </c>
      <c r="K101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20.247186586385599</v>
      </c>
      <c r="L1018" t="str">
        <f>IF(EVCleanedDataset[[#This Row],[Score]]&gt;50,"Yes","No")</f>
        <v>No</v>
      </c>
    </row>
    <row r="1019" spans="1:12" x14ac:dyDescent="0.3">
      <c r="A1019" t="s">
        <v>2159</v>
      </c>
      <c r="B1019" t="s">
        <v>45</v>
      </c>
      <c r="C1019" t="s">
        <v>45</v>
      </c>
      <c r="D1019">
        <v>28.633300999999999</v>
      </c>
      <c r="E1019">
        <v>77.126960999999994</v>
      </c>
      <c r="F1019">
        <f>IF(COUNTIF($C$5:C1019,C1019)=1,1,0)</f>
        <v>0</v>
      </c>
      <c r="G1019" s="2" t="str">
        <f t="shared" si="30"/>
        <v/>
      </c>
      <c r="H1019" s="2">
        <f>MAX(0, MyBattery - (EVCleanedDataset[[#This Row],[Distance(km)]]/VehicleRangeKm)*100)</f>
        <v>0</v>
      </c>
      <c r="I1019" s="2">
        <f>6371*ACOS(SIN(RADIANS(MyLat))*SIN(RADIANS(EVCleanedDataset[[#This Row],[Latitude]]))+COS(RADIANS(MyLat))*COS(RADIANS(EVCleanedDataset[[#This Row],[Latitude]]))*COS(RADIANS(EVCleanedDataset[[#This Row],[Longitude]]-MyLong)))</f>
        <v>1700.0533654558835</v>
      </c>
      <c r="J1019">
        <f t="shared" si="31"/>
        <v>3</v>
      </c>
      <c r="K101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30.233399936416717</v>
      </c>
      <c r="L1019" t="str">
        <f>IF(EVCleanedDataset[[#This Row],[Score]]&gt;50,"Yes","No")</f>
        <v>No</v>
      </c>
    </row>
    <row r="1020" spans="1:12" x14ac:dyDescent="0.3">
      <c r="A1020" t="s">
        <v>3128</v>
      </c>
      <c r="B1020" t="s">
        <v>45</v>
      </c>
      <c r="C1020" t="s">
        <v>46</v>
      </c>
      <c r="D1020">
        <v>28.624338890000001</v>
      </c>
      <c r="E1020">
        <v>77.219837119999994</v>
      </c>
      <c r="F1020">
        <f>IF(COUNTIF($C$5:C1020,C1020)=1,1,0)</f>
        <v>0</v>
      </c>
      <c r="G1020" s="2" t="str">
        <f t="shared" si="30"/>
        <v/>
      </c>
      <c r="H1020" s="2">
        <f>MAX(0, MyBattery - (EVCleanedDataset[[#This Row],[Distance(km)]]/VehicleRangeKm)*100)</f>
        <v>0</v>
      </c>
      <c r="I1020" s="2">
        <f>6371*ACOS(SIN(RADIANS(MyLat))*SIN(RADIANS(EVCleanedDataset[[#This Row],[Latitude]]))+COS(RADIANS(MyLat))*COS(RADIANS(EVCleanedDataset[[#This Row],[Latitude]]))*COS(RADIANS(EVCleanedDataset[[#This Row],[Longitude]]-MyLong)))</f>
        <v>1698.8444709295929</v>
      </c>
      <c r="J1020">
        <f t="shared" si="31"/>
        <v>0</v>
      </c>
      <c r="K102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40.254583976743803</v>
      </c>
      <c r="L1020" t="str">
        <f>IF(EVCleanedDataset[[#This Row],[Score]]&gt;50,"Yes","No")</f>
        <v>No</v>
      </c>
    </row>
    <row r="1021" spans="1:12" x14ac:dyDescent="0.3">
      <c r="A1021" t="s">
        <v>3129</v>
      </c>
      <c r="B1021" t="s">
        <v>45</v>
      </c>
      <c r="C1021" t="s">
        <v>46</v>
      </c>
      <c r="D1021">
        <v>28.627725219999999</v>
      </c>
      <c r="E1021">
        <v>77.219776469999999</v>
      </c>
      <c r="F1021">
        <f>IF(COUNTIF($C$5:C1021,C1021)=1,1,0)</f>
        <v>0</v>
      </c>
      <c r="G1021" s="2" t="str">
        <f t="shared" si="30"/>
        <v/>
      </c>
      <c r="H1021" s="2">
        <f>MAX(0, MyBattery - (EVCleanedDataset[[#This Row],[Distance(km)]]/VehicleRangeKm)*100)</f>
        <v>0</v>
      </c>
      <c r="I1021" s="2">
        <f>6371*ACOS(SIN(RADIANS(MyLat))*SIN(RADIANS(EVCleanedDataset[[#This Row],[Latitude]]))+COS(RADIANS(MyLat))*COS(RADIANS(EVCleanedDataset[[#This Row],[Latitude]]))*COS(RADIANS(EVCleanedDataset[[#This Row],[Longitude]]-MyLong)))</f>
        <v>1699.2210559184084</v>
      </c>
      <c r="J1021">
        <f t="shared" si="31"/>
        <v>7</v>
      </c>
      <c r="K102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16.914664678612596</v>
      </c>
      <c r="L1021" t="str">
        <f>IF(EVCleanedDataset[[#This Row],[Score]]&gt;50,"Yes","No")</f>
        <v>No</v>
      </c>
    </row>
    <row r="1022" spans="1:12" x14ac:dyDescent="0.3">
      <c r="A1022" t="s">
        <v>3132</v>
      </c>
      <c r="B1022" t="s">
        <v>45</v>
      </c>
      <c r="C1022" t="s">
        <v>46</v>
      </c>
      <c r="D1022">
        <v>28.634076400000001</v>
      </c>
      <c r="E1022">
        <v>77.207433170000002</v>
      </c>
      <c r="F1022">
        <f>IF(COUNTIF($C$5:C1022,C1022)=1,1,0)</f>
        <v>0</v>
      </c>
      <c r="G1022" s="2" t="str">
        <f t="shared" si="30"/>
        <v/>
      </c>
      <c r="H1022" s="2">
        <f>MAX(0, MyBattery - (EVCleanedDataset[[#This Row],[Distance(km)]]/VehicleRangeKm)*100)</f>
        <v>0</v>
      </c>
      <c r="I1022" s="2">
        <f>6371*ACOS(SIN(RADIANS(MyLat))*SIN(RADIANS(EVCleanedDataset[[#This Row],[Latitude]]))+COS(RADIANS(MyLat))*COS(RADIANS(EVCleanedDataset[[#This Row],[Latitude]]))*COS(RADIANS(EVCleanedDataset[[#This Row],[Longitude]]-MyLong)))</f>
        <v>1699.9522571868406</v>
      </c>
      <c r="J1022">
        <f t="shared" si="31"/>
        <v>4</v>
      </c>
      <c r="K102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26.90186753555065</v>
      </c>
      <c r="L1022" t="str">
        <f>IF(EVCleanedDataset[[#This Row],[Score]]&gt;50,"Yes","No")</f>
        <v>No</v>
      </c>
    </row>
    <row r="1023" spans="1:12" x14ac:dyDescent="0.3">
      <c r="A1023" t="s">
        <v>3136</v>
      </c>
      <c r="B1023" t="s">
        <v>45</v>
      </c>
      <c r="C1023" t="s">
        <v>46</v>
      </c>
      <c r="D1023">
        <v>28.633143579999999</v>
      </c>
      <c r="E1023">
        <v>77.222989979999994</v>
      </c>
      <c r="F1023">
        <f>IF(COUNTIF($C$5:C1023,C1023)=1,1,0)</f>
        <v>0</v>
      </c>
      <c r="G1023" s="2" t="str">
        <f t="shared" si="30"/>
        <v/>
      </c>
      <c r="H1023" s="2">
        <f>MAX(0, MyBattery - (EVCleanedDataset[[#This Row],[Distance(km)]]/VehicleRangeKm)*100)</f>
        <v>0</v>
      </c>
      <c r="I1023" s="2">
        <f>6371*ACOS(SIN(RADIANS(MyLat))*SIN(RADIANS(EVCleanedDataset[[#This Row],[Latitude]]))+COS(RADIANS(MyLat))*COS(RADIANS(EVCleanedDataset[[#This Row],[Latitude]]))*COS(RADIANS(EVCleanedDataset[[#This Row],[Longitude]]-MyLong)))</f>
        <v>1699.8170379443707</v>
      </c>
      <c r="J1023">
        <f t="shared" si="31"/>
        <v>1</v>
      </c>
      <c r="K102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36.904245928847821</v>
      </c>
      <c r="L1023" t="str">
        <f>IF(EVCleanedDataset[[#This Row],[Score]]&gt;50,"Yes","No")</f>
        <v>No</v>
      </c>
    </row>
    <row r="1024" spans="1:12" x14ac:dyDescent="0.3">
      <c r="A1024" t="s">
        <v>3026</v>
      </c>
      <c r="B1024" t="s">
        <v>45</v>
      </c>
      <c r="C1024" t="s">
        <v>45</v>
      </c>
      <c r="D1024">
        <v>28.619702499999999</v>
      </c>
      <c r="E1024">
        <v>77.341183900000004</v>
      </c>
      <c r="F1024">
        <f>IF(COUNTIF($C$5:C1024,C1024)=1,1,0)</f>
        <v>0</v>
      </c>
      <c r="G1024" s="2" t="str">
        <f t="shared" si="30"/>
        <v/>
      </c>
      <c r="H1024" s="2">
        <f>MAX(0, MyBattery - (EVCleanedDataset[[#This Row],[Distance(km)]]/VehicleRangeKm)*100)</f>
        <v>0</v>
      </c>
      <c r="I1024" s="2">
        <f>6371*ACOS(SIN(RADIANS(MyLat))*SIN(RADIANS(EVCleanedDataset[[#This Row],[Latitude]]))+COS(RADIANS(MyLat))*COS(RADIANS(EVCleanedDataset[[#This Row],[Latitude]]))*COS(RADIANS(EVCleanedDataset[[#This Row],[Longitude]]-MyLong)))</f>
        <v>1698.1327932148838</v>
      </c>
      <c r="J1024">
        <f t="shared" si="31"/>
        <v>8</v>
      </c>
      <c r="K102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13.60042249401455</v>
      </c>
      <c r="L1024" t="str">
        <f>IF(EVCleanedDataset[[#This Row],[Score]]&gt;50,"Yes","No")</f>
        <v>No</v>
      </c>
    </row>
    <row r="1025" spans="1:12" x14ac:dyDescent="0.3">
      <c r="A1025" t="s">
        <v>854</v>
      </c>
      <c r="B1025" t="s">
        <v>18</v>
      </c>
      <c r="C1025" t="s">
        <v>1259</v>
      </c>
      <c r="D1025">
        <v>28.6635603</v>
      </c>
      <c r="E1025">
        <v>77.374005699999998</v>
      </c>
      <c r="F1025">
        <f>IF(COUNTIF($C$5:C1025,C1025)=1,1,0)</f>
        <v>0</v>
      </c>
      <c r="G1025" s="2" t="str">
        <f t="shared" si="30"/>
        <v/>
      </c>
      <c r="H1025" s="2">
        <f>MAX(0, MyBattery - (EVCleanedDataset[[#This Row],[Distance(km)]]/VehicleRangeKm)*100)</f>
        <v>0</v>
      </c>
      <c r="I1025" s="2">
        <f>6371*ACOS(SIN(RADIANS(MyLat))*SIN(RADIANS(EVCleanedDataset[[#This Row],[Latitude]]))+COS(RADIANS(MyLat))*COS(RADIANS(EVCleanedDataset[[#This Row],[Latitude]]))*COS(RADIANS(EVCleanedDataset[[#This Row],[Longitude]]-MyLong)))</f>
        <v>1702.972126452622</v>
      </c>
      <c r="J1025">
        <f t="shared" si="31"/>
        <v>5</v>
      </c>
      <c r="K102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23.515670560774172</v>
      </c>
      <c r="L1025" t="str">
        <f>IF(EVCleanedDataset[[#This Row],[Score]]&gt;50,"Yes","No")</f>
        <v>No</v>
      </c>
    </row>
    <row r="1026" spans="1:12" x14ac:dyDescent="0.3">
      <c r="A1026" t="s">
        <v>3370</v>
      </c>
      <c r="B1026" t="s">
        <v>14</v>
      </c>
      <c r="C1026" t="s">
        <v>214</v>
      </c>
      <c r="D1026">
        <v>26.915900000000001</v>
      </c>
      <c r="E1026">
        <v>75.722999999999999</v>
      </c>
      <c r="F1026">
        <f>IF(COUNTIF($C$5:C1026,C1026)=1,1,0)</f>
        <v>0</v>
      </c>
      <c r="G1026" s="2" t="str">
        <f t="shared" si="30"/>
        <v/>
      </c>
      <c r="H1026" s="2">
        <f>MAX(0, MyBattery - (EVCleanedDataset[[#This Row],[Distance(km)]]/VehicleRangeKm)*100)</f>
        <v>0</v>
      </c>
      <c r="I1026" s="2">
        <f>6371*ACOS(SIN(RADIANS(MyLat))*SIN(RADIANS(EVCleanedDataset[[#This Row],[Latitude]]))+COS(RADIANS(MyLat))*COS(RADIANS(EVCleanedDataset[[#This Row],[Latitude]]))*COS(RADIANS(EVCleanedDataset[[#This Row],[Longitude]]-MyLong)))</f>
        <v>1520.3273110165119</v>
      </c>
      <c r="J1026">
        <f t="shared" si="31"/>
        <v>2</v>
      </c>
      <c r="K1026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36.714742681970918</v>
      </c>
      <c r="L1026" t="str">
        <f>IF(EVCleanedDataset[[#This Row],[Score]]&gt;50,"Yes","No")</f>
        <v>No</v>
      </c>
    </row>
    <row r="1027" spans="1:12" x14ac:dyDescent="0.3">
      <c r="A1027" t="s">
        <v>2845</v>
      </c>
      <c r="B1027" t="s">
        <v>14</v>
      </c>
      <c r="C1027" t="s">
        <v>214</v>
      </c>
      <c r="D1027">
        <v>26.912099999999999</v>
      </c>
      <c r="E1027">
        <v>75.743300000000005</v>
      </c>
      <c r="F1027">
        <f>IF(COUNTIF($C$5:C1027,C1027)=1,1,0)</f>
        <v>0</v>
      </c>
      <c r="G1027" s="2" t="str">
        <f t="shared" si="30"/>
        <v/>
      </c>
      <c r="H1027" s="2">
        <f>MAX(0, MyBattery - (EVCleanedDataset[[#This Row],[Distance(km)]]/VehicleRangeKm)*100)</f>
        <v>0</v>
      </c>
      <c r="I1027" s="2">
        <f>6371*ACOS(SIN(RADIANS(MyLat))*SIN(RADIANS(EVCleanedDataset[[#This Row],[Latitude]]))+COS(RADIANS(MyLat))*COS(RADIANS(EVCleanedDataset[[#This Row],[Latitude]]))*COS(RADIANS(EVCleanedDataset[[#This Row],[Longitude]]-MyLong)))</f>
        <v>1519.647407349087</v>
      </c>
      <c r="J1027">
        <f t="shared" si="31"/>
        <v>9</v>
      </c>
      <c r="K102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13.393328003494984</v>
      </c>
      <c r="L1027" t="str">
        <f>IF(EVCleanedDataset[[#This Row],[Score]]&gt;50,"Yes","No")</f>
        <v>No</v>
      </c>
    </row>
    <row r="1028" spans="1:12" x14ac:dyDescent="0.3">
      <c r="A1028" t="s">
        <v>779</v>
      </c>
      <c r="B1028" t="s">
        <v>18</v>
      </c>
      <c r="C1028" t="s">
        <v>1259</v>
      </c>
      <c r="D1028">
        <v>28.674931600000001</v>
      </c>
      <c r="E1028">
        <v>77.398238199999994</v>
      </c>
      <c r="F1028">
        <f>IF(COUNTIF($C$5:C1028,C1028)=1,1,0)</f>
        <v>0</v>
      </c>
      <c r="G1028" s="2" t="str">
        <f t="shared" si="30"/>
        <v/>
      </c>
      <c r="H1028" s="2">
        <f>MAX(0, MyBattery - (EVCleanedDataset[[#This Row],[Distance(km)]]/VehicleRangeKm)*100)</f>
        <v>0</v>
      </c>
      <c r="I1028" s="2">
        <f>6371*ACOS(SIN(RADIANS(MyLat))*SIN(RADIANS(EVCleanedDataset[[#This Row],[Latitude]]))+COS(RADIANS(MyLat))*COS(RADIANS(EVCleanedDataset[[#This Row],[Latitude]]))*COS(RADIANS(EVCleanedDataset[[#This Row],[Longitude]]-MyLong)))</f>
        <v>1704.2134942977025</v>
      </c>
      <c r="J1028">
        <f t="shared" si="31"/>
        <v>6</v>
      </c>
      <c r="K102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20.16062441014714</v>
      </c>
      <c r="L1028" t="str">
        <f>IF(EVCleanedDataset[[#This Row],[Score]]&gt;50,"Yes","No")</f>
        <v>No</v>
      </c>
    </row>
    <row r="1029" spans="1:12" x14ac:dyDescent="0.3">
      <c r="A1029" t="s">
        <v>3106</v>
      </c>
      <c r="B1029" t="s">
        <v>45</v>
      </c>
      <c r="C1029" t="s">
        <v>46</v>
      </c>
      <c r="D1029">
        <v>28.86883053</v>
      </c>
      <c r="E1029">
        <v>77.143762260000003</v>
      </c>
      <c r="F1029">
        <f>IF(COUNTIF($C$5:C1029,C1029)=1,1,0)</f>
        <v>0</v>
      </c>
      <c r="G1029" s="2" t="str">
        <f t="shared" ref="G1029:G1092" si="32">IF(F1029=1, IF(C1029=MyCity, "", _xlfn.MINIFS($I$5:$I$1121,$C$5:$C$1121,C1029)), "")</f>
        <v/>
      </c>
      <c r="H1029" s="2">
        <f>MAX(0, MyBattery - (EVCleanedDataset[[#This Row],[Distance(km)]]/VehicleRangeKm)*100)</f>
        <v>0</v>
      </c>
      <c r="I1029" s="2">
        <f>6371*ACOS(SIN(RADIANS(MyLat))*SIN(RADIANS(EVCleanedDataset[[#This Row],[Latitude]]))+COS(RADIANS(MyLat))*COS(RADIANS(EVCleanedDataset[[#This Row],[Latitude]]))*COS(RADIANS(EVCleanedDataset[[#This Row],[Longitude]]-MyLong)))</f>
        <v>1726.1922899106614</v>
      </c>
      <c r="J1029">
        <f t="shared" ref="J1029:J1092" si="33">MOD(ROW()*7,10)</f>
        <v>3</v>
      </c>
      <c r="K1029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29.775671210687822</v>
      </c>
      <c r="L1029" t="str">
        <f>IF(EVCleanedDataset[[#This Row],[Score]]&gt;50,"Yes","No")</f>
        <v>No</v>
      </c>
    </row>
    <row r="1030" spans="1:12" x14ac:dyDescent="0.3">
      <c r="A1030" t="s">
        <v>1282</v>
      </c>
      <c r="B1030" t="s">
        <v>14</v>
      </c>
      <c r="C1030" t="s">
        <v>1283</v>
      </c>
      <c r="D1030">
        <v>27.159085099999999</v>
      </c>
      <c r="E1030">
        <v>75.960384399999995</v>
      </c>
      <c r="F1030">
        <f>IF(COUNTIF($C$5:C1030,C1030)=1,1,0)</f>
        <v>1</v>
      </c>
      <c r="G1030" s="2">
        <f t="shared" si="32"/>
        <v>1544.3267779556295</v>
      </c>
      <c r="H1030" s="2">
        <f>MAX(0, MyBattery - (EVCleanedDataset[[#This Row],[Distance(km)]]/VehicleRangeKm)*100)</f>
        <v>0</v>
      </c>
      <c r="I1030" s="2">
        <f>6371*ACOS(SIN(RADIANS(MyLat))*SIN(RADIANS(EVCleanedDataset[[#This Row],[Latitude]]))+COS(RADIANS(MyLat))*COS(RADIANS(EVCleanedDataset[[#This Row],[Latitude]]))*COS(RADIANS(EVCleanedDataset[[#This Row],[Longitude]]-MyLong)))</f>
        <v>1544.3267779556295</v>
      </c>
      <c r="J1030">
        <f t="shared" si="33"/>
        <v>0</v>
      </c>
      <c r="K1030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42.961093668513165</v>
      </c>
      <c r="L1030" t="str">
        <f>IF(EVCleanedDataset[[#This Row],[Score]]&gt;50,"Yes","No")</f>
        <v>No</v>
      </c>
    </row>
    <row r="1031" spans="1:12" x14ac:dyDescent="0.3">
      <c r="A1031" t="s">
        <v>3002</v>
      </c>
      <c r="B1031" t="s">
        <v>8</v>
      </c>
      <c r="C1031" t="s">
        <v>1309</v>
      </c>
      <c r="D1031">
        <v>29.125961700000001</v>
      </c>
      <c r="E1031">
        <v>75.802781699999997</v>
      </c>
      <c r="F1031">
        <f>IF(COUNTIF($C$5:C1031,C1031)=1,1,0)</f>
        <v>1</v>
      </c>
      <c r="G1031" s="2">
        <f t="shared" si="32"/>
        <v>1763.4095941303301</v>
      </c>
      <c r="H1031" s="2">
        <f>MAX(0, MyBattery - (EVCleanedDataset[[#This Row],[Distance(km)]]/VehicleRangeKm)*100)</f>
        <v>0</v>
      </c>
      <c r="I1031" s="2">
        <f>6371*ACOS(SIN(RADIANS(MyLat))*SIN(RADIANS(EVCleanedDataset[[#This Row],[Latitude]]))+COS(RADIANS(MyLat))*COS(RADIANS(EVCleanedDataset[[#This Row],[Latitude]]))*COS(RADIANS(EVCleanedDataset[[#This Row],[Longitude]]-MyLong)))</f>
        <v>1763.4095941303301</v>
      </c>
      <c r="J1031">
        <f t="shared" si="33"/>
        <v>7</v>
      </c>
      <c r="K1031" s="5">
        <f>((1-(EVCleanedDataset[[#This Row],[Distance(km)]]/MAX($I$5:$I$1121)))*0.4 + (1-(EVCleanedDataset[[#This Row],[QueueLength]]/MAX($J$5:$J$1121)))*0.3 + (EVCleanedDataset[[#This Row],[EstimatedBatteryOnArrival]]/100)*0.3 + (ROW()/10000000))*100</f>
        <v>15.79048901429417</v>
      </c>
      <c r="L1031" t="str">
        <f>IF(EVCleanedDataset[[#This Row],[Score]]&gt;50,"Yes","No")</f>
        <v>No</v>
      </c>
    </row>
    <row r="1032" spans="1:12" x14ac:dyDescent="0.3">
      <c r="A1032" t="s">
        <v>1390</v>
      </c>
      <c r="B1032" t="s">
        <v>14</v>
      </c>
      <c r="C1032" t="s">
        <v>214</v>
      </c>
      <c r="D1032">
        <v>27.2377252</v>
      </c>
      <c r="E1032">
        <v>75.948597500000005</v>
      </c>
      <c r="F1032">
        <f>IF(COUNTIF($C$5:C1032,C1032)=1,1,0)</f>
        <v>0</v>
      </c>
      <c r="G1032" s="2" t="str">
        <f t="shared" si="32"/>
        <v/>
      </c>
      <c r="H1032" s="2">
        <f>MAX(0, MyBattery - (EVCleanedDataset[[#This Row],[Distance(km)]]/VehicleRangeKm)*100)</f>
        <v>0</v>
      </c>
      <c r="I1032" s="2">
        <f>6371*ACOS(SIN(RADIANS(MyLat))*SIN(RADIANS(EVCleanedDataset[[#This Row],[Latitude]]))+COS(RADIANS(MyLat))*COS(RADIANS(EVCleanedDataset[[#This Row],[Latitude]]))*COS(RADIANS(EVCleanedDataset[[#This Row],[Longitude]]-MyLong)))</f>
        <v>1553.1466410224743</v>
      </c>
      <c r="J1032">
        <f t="shared" si="33"/>
        <v>4</v>
      </c>
      <c r="K1032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29.4732985899197</v>
      </c>
      <c r="L1032" t="str">
        <f>IF(EVCleanedDataset[[#This Row],[Score]]&gt;50,"Yes","No")</f>
        <v>No</v>
      </c>
    </row>
    <row r="1033" spans="1:12" x14ac:dyDescent="0.3">
      <c r="A1033" t="s">
        <v>1311</v>
      </c>
      <c r="B1033" t="s">
        <v>18</v>
      </c>
      <c r="C1033" t="s">
        <v>1312</v>
      </c>
      <c r="D1033">
        <v>28.828917000000001</v>
      </c>
      <c r="E1033">
        <v>78.732842899999994</v>
      </c>
      <c r="F1033">
        <f>IF(COUNTIF($C$5:C1033,C1033)=1,1,0)</f>
        <v>1</v>
      </c>
      <c r="G1033" s="2">
        <f t="shared" si="32"/>
        <v>1725.6973743254555</v>
      </c>
      <c r="H1033" s="2">
        <f>MAX(0, MyBattery - (EVCleanedDataset[[#This Row],[Distance(km)]]/VehicleRangeKm)*100)</f>
        <v>0</v>
      </c>
      <c r="I1033" s="2">
        <f>6371*ACOS(SIN(RADIANS(MyLat))*SIN(RADIANS(EVCleanedDataset[[#This Row],[Latitude]]))+COS(RADIANS(MyLat))*COS(RADIANS(EVCleanedDataset[[#This Row],[Latitude]]))*COS(RADIANS(EVCleanedDataset[[#This Row],[Longitude]]-MyLong)))</f>
        <v>1725.6973743254555</v>
      </c>
      <c r="J1033">
        <f t="shared" si="33"/>
        <v>1</v>
      </c>
      <c r="K103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36.45104642728316</v>
      </c>
      <c r="L1033" t="str">
        <f>IF(EVCleanedDataset[[#This Row],[Score]]&gt;50,"Yes","No")</f>
        <v>No</v>
      </c>
    </row>
    <row r="1034" spans="1:12" x14ac:dyDescent="0.3">
      <c r="A1034" t="s">
        <v>3353</v>
      </c>
      <c r="B1034" t="s">
        <v>405</v>
      </c>
      <c r="C1034" t="s">
        <v>1045</v>
      </c>
      <c r="D1034">
        <v>23.371302</v>
      </c>
      <c r="E1034">
        <v>85.350736999999995</v>
      </c>
      <c r="F1034">
        <f>IF(COUNTIF($C$5:C1034,C1034)=1,1,0)</f>
        <v>0</v>
      </c>
      <c r="G1034" s="2" t="str">
        <f t="shared" si="32"/>
        <v/>
      </c>
      <c r="H1034" s="2">
        <f>MAX(0, MyBattery - (EVCleanedDataset[[#This Row],[Distance(km)]]/VehicleRangeKm)*100)</f>
        <v>0</v>
      </c>
      <c r="I1034" s="2">
        <f>6371*ACOS(SIN(RADIANS(MyLat))*SIN(RADIANS(EVCleanedDataset[[#This Row],[Latitude]]))+COS(RADIANS(MyLat))*COS(RADIANS(EVCleanedDataset[[#This Row],[Latitude]]))*COS(RADIANS(EVCleanedDataset[[#This Row],[Longitude]]-MyLong)))</f>
        <v>1385.4302387442019</v>
      </c>
      <c r="J1034">
        <f t="shared" si="33"/>
        <v>8</v>
      </c>
      <c r="K1034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19.077573100789362</v>
      </c>
      <c r="L1034" t="str">
        <f>IF(EVCleanedDataset[[#This Row],[Score]]&gt;50,"Yes","No")</f>
        <v>No</v>
      </c>
    </row>
    <row r="1035" spans="1:12" x14ac:dyDescent="0.3">
      <c r="A1035" t="s">
        <v>3084</v>
      </c>
      <c r="B1035" t="s">
        <v>405</v>
      </c>
      <c r="C1035" t="s">
        <v>1064</v>
      </c>
      <c r="D1035">
        <v>22.822752770000001</v>
      </c>
      <c r="E1035">
        <v>86.181773789999994</v>
      </c>
      <c r="F1035">
        <f>IF(COUNTIF($C$5:C1035,C1035)=1,1,0)</f>
        <v>0</v>
      </c>
      <c r="G1035" s="2" t="str">
        <f t="shared" si="32"/>
        <v/>
      </c>
      <c r="H1035" s="2">
        <f>MAX(0, MyBattery - (EVCleanedDataset[[#This Row],[Distance(km)]]/VehicleRangeKm)*100)</f>
        <v>0</v>
      </c>
      <c r="I1035" s="2">
        <f>6371*ACOS(SIN(RADIANS(MyLat))*SIN(RADIANS(EVCleanedDataset[[#This Row],[Latitude]]))+COS(RADIANS(MyLat))*COS(RADIANS(EVCleanedDataset[[#This Row],[Latitude]]))*COS(RADIANS(EVCleanedDataset[[#This Row],[Longitude]]-MyLong)))</f>
        <v>1393.5165431912258</v>
      </c>
      <c r="J1035">
        <f t="shared" si="33"/>
        <v>5</v>
      </c>
      <c r="K1035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28.935949788093513</v>
      </c>
      <c r="L1035" t="str">
        <f>IF(EVCleanedDataset[[#This Row],[Score]]&gt;50,"Yes","No")</f>
        <v>No</v>
      </c>
    </row>
    <row r="1036" spans="1:12" x14ac:dyDescent="0.3">
      <c r="A1036" t="s">
        <v>2434</v>
      </c>
      <c r="B1036" t="s">
        <v>313</v>
      </c>
      <c r="C1036" t="s">
        <v>1110</v>
      </c>
      <c r="D1036">
        <v>20.227001000000001</v>
      </c>
      <c r="E1036">
        <v>85.840965999999995</v>
      </c>
      <c r="F1036">
        <f>IF(COUNTIF($C$5:C1036,C1036)=1,1,0)</f>
        <v>0</v>
      </c>
      <c r="G1036" s="2" t="str">
        <f t="shared" si="32"/>
        <v/>
      </c>
      <c r="H1036" s="2">
        <f>MAX(0, MyBattery - (EVCleanedDataset[[#This Row],[Distance(km)]]/VehicleRangeKm)*100)</f>
        <v>0</v>
      </c>
      <c r="I1036" s="2">
        <f>6371*ACOS(SIN(RADIANS(MyLat))*SIN(RADIANS(EVCleanedDataset[[#This Row],[Latitude]]))+COS(RADIANS(MyLat))*COS(RADIANS(EVCleanedDataset[[#This Row],[Latitude]]))*COS(RADIANS(EVCleanedDataset[[#This Row],[Longitude]]-MyLong)))</f>
        <v>1168.31355555798</v>
      </c>
      <c r="J1036">
        <f t="shared" si="33"/>
        <v>2</v>
      </c>
      <c r="K1036" s="5">
        <f>((1-(EVCleanedDataset[[#This Row],[Distance(km)]]/MAX($I$5:$I$1121)))*0.4 + (1-(EVCleanedDataset[[#This Row],[QueueLength]]/MAX($J$5:$J$1121)))*0.3 + (EVCleanedDataset[[#This Row],[EstimatedBatteryOnArrival]]/100)*0.3 + (ROW()/10000000))*100</f>
        <v>42.880437191394719</v>
      </c>
      <c r="L1036" t="str">
        <f>IF(EVCleanedDataset[[#This Row],[Score]]&gt;50,"Yes","No")</f>
        <v>No</v>
      </c>
    </row>
    <row r="1037" spans="1:12" x14ac:dyDescent="0.3">
      <c r="A1037" t="s">
        <v>3014</v>
      </c>
      <c r="B1037" t="s">
        <v>313</v>
      </c>
      <c r="C1037" t="s">
        <v>1110</v>
      </c>
      <c r="D1037">
        <v>20.296188999999998</v>
      </c>
      <c r="E1037">
        <v>85.804044500000003</v>
      </c>
      <c r="F1037">
        <f>IF(COUNTIF($C$5:C1037,C1037)=1,1,0)</f>
        <v>0</v>
      </c>
      <c r="G1037" s="2" t="str">
        <f t="shared" si="32"/>
        <v/>
      </c>
      <c r="H1037" s="2">
        <f>MAX(0, MyBattery - (EVCleanedDataset[[#This Row],[Distance(km)]]/VehicleRangeKm)*100)</f>
        <v>0</v>
      </c>
      <c r="I1037" s="2">
        <f>6371*ACOS(SIN(RADIANS(MyLat))*SIN(RADIANS(EVCleanedDataset[[#This Row],[Latitude]]))+COS(RADIANS(MyLat))*COS(RADIANS(EVCleanedDataset[[#This Row],[Latitude]]))*COS(RADIANS(EVCleanedDataset[[#This Row],[Longitude]]-MyLong)))</f>
        <v>1170.2799479563951</v>
      </c>
      <c r="J1037">
        <f t="shared" si="33"/>
        <v>9</v>
      </c>
      <c r="K1037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19.512672084161817</v>
      </c>
      <c r="L1037" t="str">
        <f>IF(EVCleanedDataset[[#This Row],[Score]]&gt;50,"Yes","No")</f>
        <v>No</v>
      </c>
    </row>
    <row r="1038" spans="1:12" x14ac:dyDescent="0.3">
      <c r="A1038" t="s">
        <v>2775</v>
      </c>
      <c r="B1038" t="s">
        <v>24</v>
      </c>
      <c r="C1038" t="s">
        <v>25</v>
      </c>
      <c r="D1038">
        <v>31.466799999999999</v>
      </c>
      <c r="E1038">
        <v>76.256799999999998</v>
      </c>
      <c r="F1038">
        <f>IF(COUNTIF($C$5:C1038,C1038)=1,1,0)</f>
        <v>1</v>
      </c>
      <c r="G1038" s="2">
        <f t="shared" si="32"/>
        <v>2018.8373695763491</v>
      </c>
      <c r="H1038" s="2">
        <f>MAX(0, MyBattery - (EVCleanedDataset[[#This Row],[Distance(km)]]/VehicleRangeKm)*100)</f>
        <v>0</v>
      </c>
      <c r="I1038" s="2">
        <f>6371*ACOS(SIN(RADIANS(MyLat))*SIN(RADIANS(EVCleanedDataset[[#This Row],[Latitude]]))+COS(RADIANS(MyLat))*COS(RADIANS(EVCleanedDataset[[#This Row],[Latitude]]))*COS(RADIANS(EVCleanedDataset[[#This Row],[Longitude]]-MyLong)))</f>
        <v>2018.8373695763491</v>
      </c>
      <c r="J1038">
        <f t="shared" si="33"/>
        <v>6</v>
      </c>
      <c r="K1038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14.650021467800956</v>
      </c>
      <c r="L1038" t="str">
        <f>IF(EVCleanedDataset[[#This Row],[Score]]&gt;50,"Yes","No")</f>
        <v>No</v>
      </c>
    </row>
    <row r="1039" spans="1:12" x14ac:dyDescent="0.3">
      <c r="A1039" t="s">
        <v>2940</v>
      </c>
      <c r="B1039" t="s">
        <v>313</v>
      </c>
      <c r="C1039" t="s">
        <v>981</v>
      </c>
      <c r="D1039">
        <v>20.405169999999998</v>
      </c>
      <c r="E1039">
        <v>85.879782000000006</v>
      </c>
      <c r="F1039">
        <f>IF(COUNTIF($C$5:C1039,C1039)=1,1,0)</f>
        <v>0</v>
      </c>
      <c r="G1039" s="2" t="str">
        <f t="shared" si="32"/>
        <v/>
      </c>
      <c r="H1039" s="2">
        <f>MAX(0, MyBattery - (EVCleanedDataset[[#This Row],[Distance(km)]]/VehicleRangeKm)*100)</f>
        <v>0</v>
      </c>
      <c r="I1039" s="2">
        <f>6371*ACOS(SIN(RADIANS(MyLat))*SIN(RADIANS(EVCleanedDataset[[#This Row],[Latitude]]))+COS(RADIANS(MyLat))*COS(RADIANS(EVCleanedDataset[[#This Row],[Latitude]]))*COS(RADIANS(EVCleanedDataset[[#This Row],[Longitude]]-MyLong)))</f>
        <v>1184.1254933820946</v>
      </c>
      <c r="J1039">
        <f t="shared" si="33"/>
        <v>3</v>
      </c>
      <c r="K1039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39.270184461851791</v>
      </c>
      <c r="L1039" t="str">
        <f>IF(EVCleanedDataset[[#This Row],[Score]]&gt;50,"Yes","No")</f>
        <v>No</v>
      </c>
    </row>
    <row r="1040" spans="1:12" x14ac:dyDescent="0.3">
      <c r="A1040" t="s">
        <v>2815</v>
      </c>
      <c r="B1040" t="s">
        <v>150</v>
      </c>
      <c r="C1040" t="s">
        <v>1341</v>
      </c>
      <c r="D1040">
        <v>31.5153</v>
      </c>
      <c r="E1040">
        <v>76.876499999999993</v>
      </c>
      <c r="F1040">
        <f>IF(COUNTIF($C$5:C1040,C1040)=1,1,0)</f>
        <v>0</v>
      </c>
      <c r="G1040" s="2" t="str">
        <f t="shared" si="32"/>
        <v/>
      </c>
      <c r="H1040" s="2">
        <f>MAX(0, MyBattery - (EVCleanedDataset[[#This Row],[Distance(km)]]/VehicleRangeKm)*100)</f>
        <v>0</v>
      </c>
      <c r="I1040" s="2">
        <f>6371*ACOS(SIN(RADIANS(MyLat))*SIN(RADIANS(EVCleanedDataset[[#This Row],[Latitude]]))+COS(RADIANS(MyLat))*COS(RADIANS(EVCleanedDataset[[#This Row],[Latitude]]))*COS(RADIANS(EVCleanedDataset[[#This Row],[Longitude]]-MyLong)))</f>
        <v>2021.1149364733324</v>
      </c>
      <c r="J1040">
        <f t="shared" si="33"/>
        <v>0</v>
      </c>
      <c r="K1040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34.610149407513155</v>
      </c>
      <c r="L1040" t="str">
        <f>IF(EVCleanedDataset[[#This Row],[Score]]&gt;50,"Yes","No")</f>
        <v>No</v>
      </c>
    </row>
    <row r="1041" spans="1:12" x14ac:dyDescent="0.3">
      <c r="A1041" t="s">
        <v>1050</v>
      </c>
      <c r="B1041" t="s">
        <v>1051</v>
      </c>
      <c r="C1041" t="s">
        <v>1052</v>
      </c>
      <c r="D1041">
        <v>26.164406</v>
      </c>
      <c r="E1041">
        <v>91.715515999999994</v>
      </c>
      <c r="F1041">
        <f>IF(COUNTIF($C$5:C1041,C1041)=1,1,0)</f>
        <v>0</v>
      </c>
      <c r="G1041" s="2" t="str">
        <f t="shared" si="32"/>
        <v/>
      </c>
      <c r="H1041" s="2">
        <f>MAX(0, MyBattery - (EVCleanedDataset[[#This Row],[Distance(km)]]/VehicleRangeKm)*100)</f>
        <v>0</v>
      </c>
      <c r="I1041" s="2">
        <f>6371*ACOS(SIN(RADIANS(MyLat))*SIN(RADIANS(EVCleanedDataset[[#This Row],[Latitude]]))+COS(RADIANS(MyLat))*COS(RADIANS(EVCleanedDataset[[#This Row],[Latitude]]))*COS(RADIANS(EVCleanedDataset[[#This Row],[Longitude]]-MyLong)))</f>
        <v>2053.7729399813998</v>
      </c>
      <c r="J1041">
        <f t="shared" si="33"/>
        <v>7</v>
      </c>
      <c r="K1041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10.704814316128502</v>
      </c>
      <c r="L1041" t="str">
        <f>IF(EVCleanedDataset[[#This Row],[Score]]&gt;50,"Yes","No")</f>
        <v>No</v>
      </c>
    </row>
    <row r="1042" spans="1:12" x14ac:dyDescent="0.3">
      <c r="A1042" t="s">
        <v>2792</v>
      </c>
      <c r="B1042" t="s">
        <v>14</v>
      </c>
      <c r="C1042" t="s">
        <v>80</v>
      </c>
      <c r="D1042">
        <v>26.454699999999999</v>
      </c>
      <c r="E1042">
        <v>74.504599999999996</v>
      </c>
      <c r="F1042">
        <f>IF(COUNTIF($C$5:C1042,C1042)=1,1,0)</f>
        <v>1</v>
      </c>
      <c r="G1042" s="2">
        <f t="shared" si="32"/>
        <v>1491.1698697213853</v>
      </c>
      <c r="H1042" s="2">
        <f>MAX(0, MyBattery - (EVCleanedDataset[[#This Row],[Distance(km)]]/VehicleRangeKm)*100)</f>
        <v>0</v>
      </c>
      <c r="I1042" s="2">
        <f>6371*ACOS(SIN(RADIANS(MyLat))*SIN(RADIANS(EVCleanedDataset[[#This Row],[Latitude]]))+COS(RADIANS(MyLat))*COS(RADIANS(EVCleanedDataset[[#This Row],[Latitude]]))*COS(RADIANS(EVCleanedDataset[[#This Row],[Longitude]]-MyLong)))</f>
        <v>1491.1698697213853</v>
      </c>
      <c r="J1042">
        <f t="shared" si="33"/>
        <v>4</v>
      </c>
      <c r="K1042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30.558934694462138</v>
      </c>
      <c r="L1042" t="str">
        <f>IF(EVCleanedDataset[[#This Row],[Score]]&gt;50,"Yes","No")</f>
        <v>No</v>
      </c>
    </row>
    <row r="1043" spans="1:12" x14ac:dyDescent="0.3">
      <c r="A1043" t="s">
        <v>2778</v>
      </c>
      <c r="B1043" t="s">
        <v>8</v>
      </c>
      <c r="C1043" t="s">
        <v>38</v>
      </c>
      <c r="D1043">
        <v>28.386099999999999</v>
      </c>
      <c r="E1043">
        <v>77.006299999999996</v>
      </c>
      <c r="F1043">
        <f>IF(COUNTIF($C$5:C1043,C1043)=1,1,0)</f>
        <v>1</v>
      </c>
      <c r="G1043" s="2">
        <f t="shared" si="32"/>
        <v>1672.9392779541172</v>
      </c>
      <c r="H1043" s="2">
        <f>MAX(0, MyBattery - (EVCleanedDataset[[#This Row],[Distance(km)]]/VehicleRangeKm)*100)</f>
        <v>0</v>
      </c>
      <c r="I1043" s="2">
        <f>6371*ACOS(SIN(RADIANS(MyLat))*SIN(RADIANS(EVCleanedDataset[[#This Row],[Latitude]]))+COS(RADIANS(MyLat))*COS(RADIANS(EVCleanedDataset[[#This Row],[Latitude]]))*COS(RADIANS(EVCleanedDataset[[#This Row],[Longitude]]-MyLong)))</f>
        <v>1672.9392779541172</v>
      </c>
      <c r="J1043">
        <f t="shared" si="33"/>
        <v>1</v>
      </c>
      <c r="K104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37.375215513421743</v>
      </c>
      <c r="L1043" t="str">
        <f>IF(EVCleanedDataset[[#This Row],[Score]]&gt;50,"Yes","No")</f>
        <v>No</v>
      </c>
    </row>
    <row r="1044" spans="1:12" x14ac:dyDescent="0.3">
      <c r="A1044" t="s">
        <v>3247</v>
      </c>
      <c r="B1044" t="s">
        <v>8</v>
      </c>
      <c r="C1044" t="s">
        <v>9</v>
      </c>
      <c r="D1044">
        <v>28.391085</v>
      </c>
      <c r="E1044">
        <v>76.972660000000005</v>
      </c>
      <c r="F1044">
        <f>IF(COUNTIF($C$5:C1044,C1044)=1,1,0)</f>
        <v>0</v>
      </c>
      <c r="G1044" s="2" t="str">
        <f t="shared" si="32"/>
        <v/>
      </c>
      <c r="H1044" s="2">
        <f>MAX(0, MyBattery - (EVCleanedDataset[[#This Row],[Distance(km)]]/VehicleRangeKm)*100)</f>
        <v>0</v>
      </c>
      <c r="I1044" s="2">
        <f>6371*ACOS(SIN(RADIANS(MyLat))*SIN(RADIANS(EVCleanedDataset[[#This Row],[Latitude]]))+COS(RADIANS(MyLat))*COS(RADIANS(EVCleanedDataset[[#This Row],[Latitude]]))*COS(RADIANS(EVCleanedDataset[[#This Row],[Longitude]]-MyLong)))</f>
        <v>1673.6111840512028</v>
      </c>
      <c r="J1044">
        <f t="shared" si="33"/>
        <v>8</v>
      </c>
      <c r="K1044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14.030123604347263</v>
      </c>
      <c r="L1044" t="str">
        <f>IF(EVCleanedDataset[[#This Row],[Score]]&gt;50,"Yes","No")</f>
        <v>No</v>
      </c>
    </row>
    <row r="1045" spans="1:12" x14ac:dyDescent="0.3">
      <c r="A1045" t="s">
        <v>2181</v>
      </c>
      <c r="B1045" t="s">
        <v>8</v>
      </c>
      <c r="C1045" t="s">
        <v>9</v>
      </c>
      <c r="D1045">
        <v>28.397718099999999</v>
      </c>
      <c r="E1045">
        <v>77.071521300000001</v>
      </c>
      <c r="F1045">
        <f>IF(COUNTIF($C$5:C1045,C1045)=1,1,0)</f>
        <v>0</v>
      </c>
      <c r="G1045" s="2" t="str">
        <f t="shared" si="32"/>
        <v/>
      </c>
      <c r="H1045" s="2">
        <f>MAX(0, MyBattery - (EVCleanedDataset[[#This Row],[Distance(km)]]/VehicleRangeKm)*100)</f>
        <v>0</v>
      </c>
      <c r="I1045" s="2">
        <f>6371*ACOS(SIN(RADIANS(MyLat))*SIN(RADIANS(EVCleanedDataset[[#This Row],[Latitude]]))+COS(RADIANS(MyLat))*COS(RADIANS(EVCleanedDataset[[#This Row],[Latitude]]))*COS(RADIANS(EVCleanedDataset[[#This Row],[Longitude]]-MyLong)))</f>
        <v>1674.022427031216</v>
      </c>
      <c r="J1045">
        <f t="shared" si="33"/>
        <v>5</v>
      </c>
      <c r="K1045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24.022930597588893</v>
      </c>
      <c r="L1045" t="str">
        <f>IF(EVCleanedDataset[[#This Row],[Score]]&gt;50,"Yes","No")</f>
        <v>No</v>
      </c>
    </row>
    <row r="1046" spans="1:12" x14ac:dyDescent="0.3">
      <c r="A1046" t="s">
        <v>2770</v>
      </c>
      <c r="B1046" t="s">
        <v>8</v>
      </c>
      <c r="C1046" t="s">
        <v>9</v>
      </c>
      <c r="D1046">
        <v>28.411072000000001</v>
      </c>
      <c r="E1046">
        <v>77.040546000000006</v>
      </c>
      <c r="F1046">
        <f>IF(COUNTIF($C$5:C1046,C1046)=1,1,0)</f>
        <v>0</v>
      </c>
      <c r="G1046" s="2" t="str">
        <f t="shared" si="32"/>
        <v/>
      </c>
      <c r="H1046" s="2">
        <f>MAX(0, MyBattery - (EVCleanedDataset[[#This Row],[Distance(km)]]/VehicleRangeKm)*100)</f>
        <v>0</v>
      </c>
      <c r="I1046" s="2">
        <f>6371*ACOS(SIN(RADIANS(MyLat))*SIN(RADIANS(EVCleanedDataset[[#This Row],[Latitude]]))+COS(RADIANS(MyLat))*COS(RADIANS(EVCleanedDataset[[#This Row],[Latitude]]))*COS(RADIANS(EVCleanedDataset[[#This Row],[Longitude]]-MyLong)))</f>
        <v>1675.6018999093239</v>
      </c>
      <c r="J1046">
        <f t="shared" si="33"/>
        <v>2</v>
      </c>
      <c r="K104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33.995275799966535</v>
      </c>
      <c r="L1046" t="str">
        <f>IF(EVCleanedDataset[[#This Row],[Score]]&gt;50,"Yes","No")</f>
        <v>No</v>
      </c>
    </row>
    <row r="1047" spans="1:12" x14ac:dyDescent="0.3">
      <c r="A1047" t="s">
        <v>196</v>
      </c>
      <c r="B1047" t="s">
        <v>8</v>
      </c>
      <c r="C1047" t="s">
        <v>9</v>
      </c>
      <c r="D1047">
        <v>28.427299999999999</v>
      </c>
      <c r="E1047">
        <v>77.038899999999998</v>
      </c>
      <c r="F1047">
        <f>IF(COUNTIF($C$5:C1047,C1047)=1,1,0)</f>
        <v>0</v>
      </c>
      <c r="G1047" s="2" t="str">
        <f t="shared" si="32"/>
        <v/>
      </c>
      <c r="H1047" s="2">
        <f>MAX(0, MyBattery - (EVCleanedDataset[[#This Row],[Distance(km)]]/VehicleRangeKm)*100)</f>
        <v>0</v>
      </c>
      <c r="I1047" s="2">
        <f>6371*ACOS(SIN(RADIANS(MyLat))*SIN(RADIANS(EVCleanedDataset[[#This Row],[Latitude]]))+COS(RADIANS(MyLat))*COS(RADIANS(EVCleanedDataset[[#This Row],[Latitude]]))*COS(RADIANS(EVCleanedDataset[[#This Row],[Longitude]]-MyLong)))</f>
        <v>1677.4106491734351</v>
      </c>
      <c r="J1047">
        <f t="shared" si="33"/>
        <v>9</v>
      </c>
      <c r="K104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10.630271845183618</v>
      </c>
      <c r="L1047" t="str">
        <f>IF(EVCleanedDataset[[#This Row],[Score]]&gt;50,"Yes","No")</f>
        <v>No</v>
      </c>
    </row>
    <row r="1048" spans="1:12" x14ac:dyDescent="0.3">
      <c r="A1048" t="s">
        <v>2793</v>
      </c>
      <c r="B1048" t="s">
        <v>8</v>
      </c>
      <c r="C1048" t="s">
        <v>9</v>
      </c>
      <c r="D1048">
        <v>28.463200000000001</v>
      </c>
      <c r="E1048">
        <v>77.049000000000007</v>
      </c>
      <c r="F1048">
        <f>IF(COUNTIF($C$5:C1048,C1048)=1,1,0)</f>
        <v>0</v>
      </c>
      <c r="G1048" s="2" t="str">
        <f t="shared" si="32"/>
        <v/>
      </c>
      <c r="H1048" s="2">
        <f>MAX(0, MyBattery - (EVCleanedDataset[[#This Row],[Distance(km)]]/VehicleRangeKm)*100)</f>
        <v>0</v>
      </c>
      <c r="I1048" s="2">
        <f>6371*ACOS(SIN(RADIANS(MyLat))*SIN(RADIANS(EVCleanedDataset[[#This Row],[Latitude]]))+COS(RADIANS(MyLat))*COS(RADIANS(EVCleanedDataset[[#This Row],[Latitude]]))*COS(RADIANS(EVCleanedDataset[[#This Row],[Longitude]]-MyLong)))</f>
        <v>1681.3687164721498</v>
      </c>
      <c r="J1048">
        <f t="shared" si="33"/>
        <v>6</v>
      </c>
      <c r="K104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20.560955469079087</v>
      </c>
      <c r="L1048" t="str">
        <f>IF(EVCleanedDataset[[#This Row],[Score]]&gt;50,"Yes","No")</f>
        <v>No</v>
      </c>
    </row>
    <row r="1049" spans="1:12" x14ac:dyDescent="0.3">
      <c r="A1049" t="s">
        <v>2790</v>
      </c>
      <c r="B1049" t="s">
        <v>8</v>
      </c>
      <c r="C1049" t="s">
        <v>9</v>
      </c>
      <c r="D1049">
        <v>28.482299999999999</v>
      </c>
      <c r="E1049">
        <v>77.076599999999999</v>
      </c>
      <c r="F1049">
        <f>IF(COUNTIF($C$5:C1049,C1049)=1,1,0)</f>
        <v>0</v>
      </c>
      <c r="G1049" s="2" t="str">
        <f t="shared" si="32"/>
        <v/>
      </c>
      <c r="H1049" s="2">
        <f>MAX(0, MyBattery - (EVCleanedDataset[[#This Row],[Distance(km)]]/VehicleRangeKm)*100)</f>
        <v>0</v>
      </c>
      <c r="I1049" s="2">
        <f>6371*ACOS(SIN(RADIANS(MyLat))*SIN(RADIANS(EVCleanedDataset[[#This Row],[Latitude]]))+COS(RADIANS(MyLat))*COS(RADIANS(EVCleanedDataset[[#This Row],[Latitude]]))*COS(RADIANS(EVCleanedDataset[[#This Row],[Longitude]]-MyLong)))</f>
        <v>1683.4082055821959</v>
      </c>
      <c r="J1049">
        <f t="shared" si="33"/>
        <v>3</v>
      </c>
      <c r="K104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30.525243390995666</v>
      </c>
      <c r="L1049" t="str">
        <f>IF(EVCleanedDataset[[#This Row],[Score]]&gt;50,"Yes","No")</f>
        <v>No</v>
      </c>
    </row>
    <row r="1050" spans="1:12" x14ac:dyDescent="0.3">
      <c r="A1050" t="s">
        <v>684</v>
      </c>
      <c r="B1050" t="s">
        <v>8</v>
      </c>
      <c r="C1050" t="s">
        <v>9</v>
      </c>
      <c r="D1050">
        <v>28.5184277</v>
      </c>
      <c r="E1050">
        <v>77.071902199999997</v>
      </c>
      <c r="F1050">
        <f>IF(COUNTIF($C$5:C1050,C1050)=1,1,0)</f>
        <v>0</v>
      </c>
      <c r="G1050" s="2" t="str">
        <f t="shared" si="32"/>
        <v/>
      </c>
      <c r="H1050" s="2">
        <f>MAX(0, MyBattery - (EVCleanedDataset[[#This Row],[Distance(km)]]/VehicleRangeKm)*100)</f>
        <v>0</v>
      </c>
      <c r="I1050" s="2">
        <f>6371*ACOS(SIN(RADIANS(MyLat))*SIN(RADIANS(EVCleanedDataset[[#This Row],[Latitude]]))+COS(RADIANS(MyLat))*COS(RADIANS(EVCleanedDataset[[#This Row],[Latitude]]))*COS(RADIANS(EVCleanedDataset[[#This Row],[Longitude]]-MyLong)))</f>
        <v>1687.4374157311534</v>
      </c>
      <c r="J1050">
        <f t="shared" si="33"/>
        <v>0</v>
      </c>
      <c r="K105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40.454680932997917</v>
      </c>
      <c r="L1050" t="str">
        <f>IF(EVCleanedDataset[[#This Row],[Score]]&gt;50,"Yes","No")</f>
        <v>No</v>
      </c>
    </row>
    <row r="1051" spans="1:12" x14ac:dyDescent="0.3">
      <c r="A1051" t="s">
        <v>3101</v>
      </c>
      <c r="B1051" t="s">
        <v>45</v>
      </c>
      <c r="C1051" t="s">
        <v>46</v>
      </c>
      <c r="D1051">
        <v>28.557736909999999</v>
      </c>
      <c r="E1051">
        <v>77.157943900000006</v>
      </c>
      <c r="F1051">
        <f>IF(COUNTIF($C$5:C1051,C1051)=1,1,0)</f>
        <v>0</v>
      </c>
      <c r="G1051" s="2" t="str">
        <f t="shared" si="32"/>
        <v/>
      </c>
      <c r="H1051" s="2">
        <f>MAX(0, MyBattery - (EVCleanedDataset[[#This Row],[Distance(km)]]/VehicleRangeKm)*100)</f>
        <v>0</v>
      </c>
      <c r="I1051" s="2">
        <f>6371*ACOS(SIN(RADIANS(MyLat))*SIN(RADIANS(EVCleanedDataset[[#This Row],[Latitude]]))+COS(RADIANS(MyLat))*COS(RADIANS(EVCleanedDataset[[#This Row],[Latitude]]))*COS(RADIANS(EVCleanedDataset[[#This Row],[Longitude]]-MyLong)))</f>
        <v>1691.5766119544587</v>
      </c>
      <c r="J1051">
        <f t="shared" si="33"/>
        <v>7</v>
      </c>
      <c r="K1051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17.04885871258389</v>
      </c>
      <c r="L1051" t="str">
        <f>IF(EVCleanedDataset[[#This Row],[Score]]&gt;50,"Yes","No")</f>
        <v>No</v>
      </c>
    </row>
    <row r="1052" spans="1:12" x14ac:dyDescent="0.3">
      <c r="A1052" t="s">
        <v>218</v>
      </c>
      <c r="B1052" t="s">
        <v>14</v>
      </c>
      <c r="C1052" t="s">
        <v>214</v>
      </c>
      <c r="D1052">
        <v>26.779699999999998</v>
      </c>
      <c r="E1052">
        <v>75.828199999999995</v>
      </c>
      <c r="F1052">
        <f>IF(COUNTIF($C$5:C1052,C1052)=1,1,0)</f>
        <v>0</v>
      </c>
      <c r="G1052" s="2" t="str">
        <f t="shared" si="32"/>
        <v/>
      </c>
      <c r="H1052" s="2">
        <f>MAX(0, MyBattery - (EVCleanedDataset[[#This Row],[Distance(km)]]/VehicleRangeKm)*100)</f>
        <v>0</v>
      </c>
      <c r="I1052" s="2">
        <f>6371*ACOS(SIN(RADIANS(MyLat))*SIN(RADIANS(EVCleanedDataset[[#This Row],[Latitude]]))+COS(RADIANS(MyLat))*COS(RADIANS(EVCleanedDataset[[#This Row],[Latitude]]))*COS(RADIANS(EVCleanedDataset[[#This Row],[Longitude]]-MyLong)))</f>
        <v>1503.9778298759729</v>
      </c>
      <c r="J1052">
        <f t="shared" si="33"/>
        <v>4</v>
      </c>
      <c r="K1052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30.334700595065421</v>
      </c>
      <c r="L1052" t="str">
        <f>IF(EVCleanedDataset[[#This Row],[Score]]&gt;50,"Yes","No")</f>
        <v>No</v>
      </c>
    </row>
    <row r="1053" spans="1:12" x14ac:dyDescent="0.3">
      <c r="A1053" t="s">
        <v>3151</v>
      </c>
      <c r="B1053" t="s">
        <v>18</v>
      </c>
      <c r="C1053" t="s">
        <v>259</v>
      </c>
      <c r="D1053">
        <v>28.544703999999999</v>
      </c>
      <c r="E1053">
        <v>77.327263000000002</v>
      </c>
      <c r="F1053">
        <f>IF(COUNTIF($C$5:C1053,C1053)=1,1,0)</f>
        <v>0</v>
      </c>
      <c r="G1053" s="2" t="str">
        <f t="shared" si="32"/>
        <v/>
      </c>
      <c r="H1053" s="2">
        <f>MAX(0, MyBattery - (EVCleanedDataset[[#This Row],[Distance(km)]]/VehicleRangeKm)*100)</f>
        <v>0</v>
      </c>
      <c r="I1053" s="2">
        <f>6371*ACOS(SIN(RADIANS(MyLat))*SIN(RADIANS(EVCleanedDataset[[#This Row],[Latitude]]))+COS(RADIANS(MyLat))*COS(RADIANS(EVCleanedDataset[[#This Row],[Latitude]]))*COS(RADIANS(EVCleanedDataset[[#This Row],[Longitude]]-MyLong)))</f>
        <v>1689.8119190086788</v>
      </c>
      <c r="J1053">
        <f t="shared" si="33"/>
        <v>1</v>
      </c>
      <c r="K1053" s="5">
        <f>((1-(EVCleanedDataset[[#This Row],[Distance(km)]]/MAX($I$5:$I$1121)))*0.4 + (1-(EVCleanedDataset[[#This Row],[QueueLength]]/MAX($J$5:$J$1121)))*0.3 + (EVCleanedDataset[[#This Row],[EstimatedBatteryOnArrival]]/100)*0.3 + (ROW()/10000000))*100</f>
        <v>37.079787678408657</v>
      </c>
      <c r="L1053" t="str">
        <f>IF(EVCleanedDataset[[#This Row],[Score]]&gt;50,"Yes","No")</f>
        <v>No</v>
      </c>
    </row>
    <row r="1054" spans="1:12" x14ac:dyDescent="0.3">
      <c r="A1054" t="s">
        <v>1261</v>
      </c>
      <c r="B1054" t="s">
        <v>64</v>
      </c>
      <c r="C1054" t="s">
        <v>65</v>
      </c>
      <c r="D1054">
        <v>30.366259500000002</v>
      </c>
      <c r="E1054">
        <v>78.070527999999996</v>
      </c>
      <c r="F1054">
        <f>IF(COUNTIF($C$5:C1054,C1054)=1,1,0)</f>
        <v>0</v>
      </c>
      <c r="G1054" s="2" t="str">
        <f t="shared" si="32"/>
        <v/>
      </c>
      <c r="H1054" s="2">
        <f>MAX(0, MyBattery - (EVCleanedDataset[[#This Row],[Distance(km)]]/VehicleRangeKm)*100)</f>
        <v>0</v>
      </c>
      <c r="I1054" s="2">
        <f>6371*ACOS(SIN(RADIANS(MyLat))*SIN(RADIANS(EVCleanedDataset[[#This Row],[Latitude]]))+COS(RADIANS(MyLat))*COS(RADIANS(EVCleanedDataset[[#This Row],[Latitude]]))*COS(RADIANS(EVCleanedDataset[[#This Row],[Longitude]]-MyLong)))</f>
        <v>1893.0104458242793</v>
      </c>
      <c r="J1054">
        <f t="shared" si="33"/>
        <v>8</v>
      </c>
      <c r="K1054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10.18739967265841</v>
      </c>
      <c r="L1054" t="str">
        <f>IF(EVCleanedDataset[[#This Row],[Score]]&gt;50,"Yes","No")</f>
        <v>No</v>
      </c>
    </row>
    <row r="1055" spans="1:12" x14ac:dyDescent="0.3">
      <c r="A1055" t="s">
        <v>2783</v>
      </c>
      <c r="B1055" t="s">
        <v>45</v>
      </c>
      <c r="C1055" t="s">
        <v>46</v>
      </c>
      <c r="D1055">
        <v>28.568200000000001</v>
      </c>
      <c r="E1055">
        <v>77.253100000000003</v>
      </c>
      <c r="F1055">
        <f>IF(COUNTIF($C$5:C1055,C1055)=1,1,0)</f>
        <v>0</v>
      </c>
      <c r="G1055" s="2" t="str">
        <f t="shared" si="32"/>
        <v/>
      </c>
      <c r="H1055" s="2">
        <f>MAX(0, MyBattery - (EVCleanedDataset[[#This Row],[Distance(km)]]/VehicleRangeKm)*100)</f>
        <v>0</v>
      </c>
      <c r="I1055" s="2">
        <f>6371*ACOS(SIN(RADIANS(MyLat))*SIN(RADIANS(EVCleanedDataset[[#This Row],[Latitude]]))+COS(RADIANS(MyLat))*COS(RADIANS(EVCleanedDataset[[#This Row],[Latitude]]))*COS(RADIANS(EVCleanedDataset[[#This Row],[Longitude]]-MyLong)))</f>
        <v>1692.540176112665</v>
      </c>
      <c r="J1055">
        <f t="shared" si="33"/>
        <v>5</v>
      </c>
      <c r="K105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23.698688351602655</v>
      </c>
      <c r="L1055" t="str">
        <f>IF(EVCleanedDataset[[#This Row],[Score]]&gt;50,"Yes","No")</f>
        <v>No</v>
      </c>
    </row>
    <row r="1056" spans="1:12" x14ac:dyDescent="0.3">
      <c r="A1056" t="s">
        <v>3114</v>
      </c>
      <c r="B1056" t="s">
        <v>45</v>
      </c>
      <c r="C1056" t="s">
        <v>46</v>
      </c>
      <c r="D1056">
        <v>28.581050999999999</v>
      </c>
      <c r="E1056">
        <v>77.227074999999999</v>
      </c>
      <c r="F1056">
        <f>IF(COUNTIF($C$5:C1056,C1056)=1,1,0)</f>
        <v>0</v>
      </c>
      <c r="G1056" s="2" t="str">
        <f t="shared" si="32"/>
        <v/>
      </c>
      <c r="H1056" s="2">
        <f>MAX(0, MyBattery - (EVCleanedDataset[[#This Row],[Distance(km)]]/VehicleRangeKm)*100)</f>
        <v>0</v>
      </c>
      <c r="I1056" s="2">
        <f>6371*ACOS(SIN(RADIANS(MyLat))*SIN(RADIANS(EVCleanedDataset[[#This Row],[Latitude]]))+COS(RADIANS(MyLat))*COS(RADIANS(EVCleanedDataset[[#This Row],[Latitude]]))*COS(RADIANS(EVCleanedDataset[[#This Row],[Longitude]]-MyLong)))</f>
        <v>1694.0177451284503</v>
      </c>
      <c r="J1056">
        <f t="shared" si="33"/>
        <v>2</v>
      </c>
      <c r="K105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33.672818421430165</v>
      </c>
      <c r="L1056" t="str">
        <f>IF(EVCleanedDataset[[#This Row],[Score]]&gt;50,"Yes","No")</f>
        <v>No</v>
      </c>
    </row>
    <row r="1057" spans="1:12" x14ac:dyDescent="0.3">
      <c r="A1057" t="s">
        <v>3110</v>
      </c>
      <c r="B1057" t="s">
        <v>45</v>
      </c>
      <c r="C1057" t="s">
        <v>46</v>
      </c>
      <c r="D1057">
        <v>28.587042929999999</v>
      </c>
      <c r="E1057">
        <v>77.17767714</v>
      </c>
      <c r="F1057">
        <f>IF(COUNTIF($C$5:C1057,C1057)=1,1,0)</f>
        <v>0</v>
      </c>
      <c r="G1057" s="2" t="str">
        <f t="shared" si="32"/>
        <v/>
      </c>
      <c r="H1057" s="2">
        <f>MAX(0, MyBattery - (EVCleanedDataset[[#This Row],[Distance(km)]]/VehicleRangeKm)*100)</f>
        <v>0</v>
      </c>
      <c r="I1057" s="2">
        <f>6371*ACOS(SIN(RADIANS(MyLat))*SIN(RADIANS(EVCleanedDataset[[#This Row],[Latitude]]))+COS(RADIANS(MyLat))*COS(RADIANS(EVCleanedDataset[[#This Row],[Latitude]]))*COS(RADIANS(EVCleanedDataset[[#This Row],[Longitude]]-MyLong)))</f>
        <v>1694.7882994761844</v>
      </c>
      <c r="J1057">
        <f t="shared" si="33"/>
        <v>9</v>
      </c>
      <c r="K105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10.325998667624818</v>
      </c>
      <c r="L1057" t="str">
        <f>IF(EVCleanedDataset[[#This Row],[Score]]&gt;50,"Yes","No")</f>
        <v>No</v>
      </c>
    </row>
    <row r="1058" spans="1:12" x14ac:dyDescent="0.3">
      <c r="A1058" t="s">
        <v>3116</v>
      </c>
      <c r="B1058" t="s">
        <v>45</v>
      </c>
      <c r="C1058" t="s">
        <v>46</v>
      </c>
      <c r="D1058">
        <v>28.590402000000001</v>
      </c>
      <c r="E1058">
        <v>77.220191999999997</v>
      </c>
      <c r="F1058">
        <f>IF(COUNTIF($C$5:C1058,C1058)=1,1,0)</f>
        <v>0</v>
      </c>
      <c r="G1058" s="2" t="str">
        <f t="shared" si="32"/>
        <v/>
      </c>
      <c r="H1058" s="2">
        <f>MAX(0, MyBattery - (EVCleanedDataset[[#This Row],[Distance(km)]]/VehicleRangeKm)*100)</f>
        <v>0</v>
      </c>
      <c r="I1058" s="2">
        <f>6371*ACOS(SIN(RADIANS(MyLat))*SIN(RADIANS(EVCleanedDataset[[#This Row],[Latitude]]))+COS(RADIANS(MyLat))*COS(RADIANS(EVCleanedDataset[[#This Row],[Latitude]]))*COS(RADIANS(EVCleanedDataset[[#This Row],[Longitude]]-MyLong)))</f>
        <v>1695.0709430412089</v>
      </c>
      <c r="J1058">
        <f t="shared" si="33"/>
        <v>6</v>
      </c>
      <c r="K105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20.321058106501525</v>
      </c>
      <c r="L1058" t="str">
        <f>IF(EVCleanedDataset[[#This Row],[Score]]&gt;50,"Yes","No")</f>
        <v>No</v>
      </c>
    </row>
    <row r="1059" spans="1:12" x14ac:dyDescent="0.3">
      <c r="A1059" t="s">
        <v>899</v>
      </c>
      <c r="B1059" t="s">
        <v>18</v>
      </c>
      <c r="C1059" t="s">
        <v>259</v>
      </c>
      <c r="D1059">
        <v>28.580660000000002</v>
      </c>
      <c r="E1059">
        <v>77.374970000000005</v>
      </c>
      <c r="F1059">
        <f>IF(COUNTIF($C$5:C1059,C1059)=1,1,0)</f>
        <v>0</v>
      </c>
      <c r="G1059" s="2" t="str">
        <f t="shared" si="32"/>
        <v/>
      </c>
      <c r="H1059" s="2">
        <f>MAX(0, MyBattery - (EVCleanedDataset[[#This Row],[Distance(km)]]/VehicleRangeKm)*100)</f>
        <v>0</v>
      </c>
      <c r="I1059" s="2">
        <f>6371*ACOS(SIN(RADIANS(MyLat))*SIN(RADIANS(EVCleanedDataset[[#This Row],[Latitude]]))+COS(RADIANS(MyLat))*COS(RADIANS(EVCleanedDataset[[#This Row],[Latitude]]))*COS(RADIANS(EVCleanedDataset[[#This Row],[Longitude]]-MyLong)))</f>
        <v>1693.7535535783948</v>
      </c>
      <c r="J1059">
        <f t="shared" si="33"/>
        <v>3</v>
      </c>
      <c r="K105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30.344142458320871</v>
      </c>
      <c r="L1059" t="str">
        <f>IF(EVCleanedDataset[[#This Row],[Score]]&gt;50,"Yes","No")</f>
        <v>No</v>
      </c>
    </row>
    <row r="1060" spans="1:12" x14ac:dyDescent="0.3">
      <c r="A1060" t="s">
        <v>3294</v>
      </c>
      <c r="B1060" t="s">
        <v>14</v>
      </c>
      <c r="C1060" t="s">
        <v>214</v>
      </c>
      <c r="D1060">
        <v>26.833144000000001</v>
      </c>
      <c r="E1060">
        <v>75.795100000000005</v>
      </c>
      <c r="F1060">
        <f>IF(COUNTIF($C$5:C1060,C1060)=1,1,0)</f>
        <v>0</v>
      </c>
      <c r="G1060" s="2" t="str">
        <f t="shared" si="32"/>
        <v/>
      </c>
      <c r="H1060" s="2">
        <f>MAX(0, MyBattery - (EVCleanedDataset[[#This Row],[Distance(km)]]/VehicleRangeKm)*100)</f>
        <v>0</v>
      </c>
      <c r="I1060" s="2">
        <f>6371*ACOS(SIN(RADIANS(MyLat))*SIN(RADIANS(EVCleanedDataset[[#This Row],[Latitude]]))+COS(RADIANS(MyLat))*COS(RADIANS(EVCleanedDataset[[#This Row],[Latitude]]))*COS(RADIANS(EVCleanedDataset[[#This Row],[Longitude]]-MyLong)))</f>
        <v>1510.284638519111</v>
      </c>
      <c r="J1060">
        <f t="shared" si="33"/>
        <v>0</v>
      </c>
      <c r="K1060" s="5">
        <f>((1-(EVCleanedDataset[[#This Row],[Distance(km)]]/MAX($I$5:$I$1121)))*0.4 + (1-(EVCleanedDataset[[#This Row],[QueueLength]]/MAX($J$5:$J$1121)))*0.3 + (EVCleanedDataset[[#This Row],[EstimatedBatteryOnArrival]]/100)*0.3 + (ROW()/10000000))*100</f>
        <v>43.557648856681695</v>
      </c>
      <c r="L1060" t="str">
        <f>IF(EVCleanedDataset[[#This Row],[Score]]&gt;50,"Yes","No")</f>
        <v>No</v>
      </c>
    </row>
    <row r="1061" spans="1:12" x14ac:dyDescent="0.3">
      <c r="A1061" t="s">
        <v>3137</v>
      </c>
      <c r="B1061" t="s">
        <v>45</v>
      </c>
      <c r="C1061" t="s">
        <v>46</v>
      </c>
      <c r="D1061">
        <v>28.633826670000001</v>
      </c>
      <c r="E1061">
        <v>77.223527439999998</v>
      </c>
      <c r="F1061">
        <f>IF(COUNTIF($C$5:C1061,C1061)=1,1,0)</f>
        <v>0</v>
      </c>
      <c r="G1061" s="2" t="str">
        <f t="shared" si="32"/>
        <v/>
      </c>
      <c r="H1061" s="2">
        <f>MAX(0, MyBattery - (EVCleanedDataset[[#This Row],[Distance(km)]]/VehicleRangeKm)*100)</f>
        <v>0</v>
      </c>
      <c r="I1061" s="2">
        <f>6371*ACOS(SIN(RADIANS(MyLat))*SIN(RADIANS(EVCleanedDataset[[#This Row],[Latitude]]))+COS(RADIANS(MyLat))*COS(RADIANS(EVCleanedDataset[[#This Row],[Latitude]]))*COS(RADIANS(EVCleanedDataset[[#This Row],[Longitude]]-MyLong)))</f>
        <v>1699.8919168458112</v>
      </c>
      <c r="J1061">
        <f t="shared" si="33"/>
        <v>7</v>
      </c>
      <c r="K106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16.903314409236913</v>
      </c>
      <c r="L1061" t="str">
        <f>IF(EVCleanedDataset[[#This Row],[Score]]&gt;50,"Yes","No")</f>
        <v>No</v>
      </c>
    </row>
    <row r="1062" spans="1:12" x14ac:dyDescent="0.3">
      <c r="A1062" t="s">
        <v>3141</v>
      </c>
      <c r="B1062" t="s">
        <v>45</v>
      </c>
      <c r="C1062" t="s">
        <v>46</v>
      </c>
      <c r="D1062">
        <v>28.634181229999999</v>
      </c>
      <c r="E1062">
        <v>77.221319769999994</v>
      </c>
      <c r="F1062">
        <f>IF(COUNTIF($C$5:C1062,C1062)=1,1,0)</f>
        <v>0</v>
      </c>
      <c r="G1062" s="2" t="str">
        <f t="shared" si="32"/>
        <v/>
      </c>
      <c r="H1062" s="2">
        <f>MAX(0, MyBattery - (EVCleanedDataset[[#This Row],[Distance(km)]]/VehicleRangeKm)*100)</f>
        <v>0</v>
      </c>
      <c r="I1062" s="2">
        <f>6371*ACOS(SIN(RADIANS(MyLat))*SIN(RADIANS(EVCleanedDataset[[#This Row],[Latitude]]))+COS(RADIANS(MyLat))*COS(RADIANS(EVCleanedDataset[[#This Row],[Latitude]]))*COS(RADIANS(EVCleanedDataset[[#This Row],[Longitude]]-MyLong)))</f>
        <v>1699.9357063780737</v>
      </c>
      <c r="J1062">
        <f t="shared" si="33"/>
        <v>4</v>
      </c>
      <c r="K106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26.902557426425872</v>
      </c>
      <c r="L1062" t="str">
        <f>IF(EVCleanedDataset[[#This Row],[Score]]&gt;50,"Yes","No")</f>
        <v>No</v>
      </c>
    </row>
    <row r="1063" spans="1:12" x14ac:dyDescent="0.3">
      <c r="A1063" t="s">
        <v>3051</v>
      </c>
      <c r="B1063" t="s">
        <v>45</v>
      </c>
      <c r="C1063" t="s">
        <v>45</v>
      </c>
      <c r="D1063">
        <v>28.630531099999999</v>
      </c>
      <c r="E1063">
        <v>77.292697799999999</v>
      </c>
      <c r="F1063">
        <f>IF(COUNTIF($C$5:C1063,C1063)=1,1,0)</f>
        <v>0</v>
      </c>
      <c r="G1063" s="2" t="str">
        <f t="shared" si="32"/>
        <v/>
      </c>
      <c r="H1063" s="2">
        <f>MAX(0, MyBattery - (EVCleanedDataset[[#This Row],[Distance(km)]]/VehicleRangeKm)*100)</f>
        <v>0</v>
      </c>
      <c r="I1063" s="2">
        <f>6371*ACOS(SIN(RADIANS(MyLat))*SIN(RADIANS(EVCleanedDataset[[#This Row],[Latitude]]))+COS(RADIANS(MyLat))*COS(RADIANS(EVCleanedDataset[[#This Row],[Latitude]]))*COS(RADIANS(EVCleanedDataset[[#This Row],[Longitude]]-MyLong)))</f>
        <v>1699.4040281258654</v>
      </c>
      <c r="J1063">
        <f t="shared" si="33"/>
        <v>1</v>
      </c>
      <c r="K106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36.911879882151716</v>
      </c>
      <c r="L1063" t="str">
        <f>IF(EVCleanedDataset[[#This Row],[Score]]&gt;50,"Yes","No")</f>
        <v>No</v>
      </c>
    </row>
    <row r="1064" spans="1:12" x14ac:dyDescent="0.3">
      <c r="A1064" t="s">
        <v>2172</v>
      </c>
      <c r="B1064" t="s">
        <v>18</v>
      </c>
      <c r="C1064" t="s">
        <v>259</v>
      </c>
      <c r="D1064">
        <v>28.6257406</v>
      </c>
      <c r="E1064">
        <v>77.375318800000002</v>
      </c>
      <c r="F1064">
        <f>IF(COUNTIF($C$5:C1064,C1064)=1,1,0)</f>
        <v>0</v>
      </c>
      <c r="G1064" s="2" t="str">
        <f t="shared" si="32"/>
        <v/>
      </c>
      <c r="H1064" s="2">
        <f>MAX(0, MyBattery - (EVCleanedDataset[[#This Row],[Distance(km)]]/VehicleRangeKm)*100)</f>
        <v>0</v>
      </c>
      <c r="I1064" s="2">
        <f>6371*ACOS(SIN(RADIANS(MyLat))*SIN(RADIANS(EVCleanedDataset[[#This Row],[Latitude]]))+COS(RADIANS(MyLat))*COS(RADIANS(EVCleanedDataset[[#This Row],[Latitude]]))*COS(RADIANS(EVCleanedDataset[[#This Row],[Longitude]]-MyLong)))</f>
        <v>1698.7656555127128</v>
      </c>
      <c r="J1064">
        <f t="shared" si="33"/>
        <v>8</v>
      </c>
      <c r="K106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13.589737778578833</v>
      </c>
      <c r="L1064" t="str">
        <f>IF(EVCleanedDataset[[#This Row],[Score]]&gt;50,"Yes","No")</f>
        <v>No</v>
      </c>
    </row>
    <row r="1065" spans="1:12" x14ac:dyDescent="0.3">
      <c r="A1065" t="s">
        <v>3164</v>
      </c>
      <c r="B1065" t="s">
        <v>18</v>
      </c>
      <c r="C1065" t="s">
        <v>259</v>
      </c>
      <c r="D1065">
        <v>28.6281915</v>
      </c>
      <c r="E1065">
        <v>77.375303000000002</v>
      </c>
      <c r="F1065">
        <f>IF(COUNTIF($C$5:C1065,C1065)=1,1,0)</f>
        <v>0</v>
      </c>
      <c r="G1065" s="2" t="str">
        <f t="shared" si="32"/>
        <v/>
      </c>
      <c r="H1065" s="2">
        <f>MAX(0, MyBattery - (EVCleanedDataset[[#This Row],[Distance(km)]]/VehicleRangeKm)*100)</f>
        <v>0</v>
      </c>
      <c r="I1065" s="2">
        <f>6371*ACOS(SIN(RADIANS(MyLat))*SIN(RADIANS(EVCleanedDataset[[#This Row],[Latitude]]))+COS(RADIANS(MyLat))*COS(RADIANS(EVCleanedDataset[[#This Row],[Latitude]]))*COS(RADIANS(EVCleanedDataset[[#This Row],[Longitude]]-MyLong)))</f>
        <v>1699.0381843893874</v>
      </c>
      <c r="J1065">
        <f t="shared" si="33"/>
        <v>5</v>
      </c>
      <c r="K106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23.584974378336291</v>
      </c>
      <c r="L1065" t="str">
        <f>IF(EVCleanedDataset[[#This Row],[Score]]&gt;50,"Yes","No")</f>
        <v>No</v>
      </c>
    </row>
    <row r="1066" spans="1:12" x14ac:dyDescent="0.3">
      <c r="A1066" t="s">
        <v>2833</v>
      </c>
      <c r="B1066" t="s">
        <v>45</v>
      </c>
      <c r="C1066" t="s">
        <v>46</v>
      </c>
      <c r="D1066">
        <v>28.6539</v>
      </c>
      <c r="E1066">
        <v>77.1905</v>
      </c>
      <c r="F1066">
        <f>IF(COUNTIF($C$5:C1066,C1066)=1,1,0)</f>
        <v>0</v>
      </c>
      <c r="G1066" s="2" t="str">
        <f t="shared" si="32"/>
        <v/>
      </c>
      <c r="H1066" s="2">
        <f>MAX(0, MyBattery - (EVCleanedDataset[[#This Row],[Distance(km)]]/VehicleRangeKm)*100)</f>
        <v>0</v>
      </c>
      <c r="I1066" s="2">
        <f>6371*ACOS(SIN(RADIANS(MyLat))*SIN(RADIANS(EVCleanedDataset[[#This Row],[Latitude]]))+COS(RADIANS(MyLat))*COS(RADIANS(EVCleanedDataset[[#This Row],[Latitude]]))*COS(RADIANS(EVCleanedDataset[[#This Row],[Longitude]]-MyLong)))</f>
        <v>1702.1920233949411</v>
      </c>
      <c r="J1066">
        <f t="shared" si="33"/>
        <v>2</v>
      </c>
      <c r="K106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33.529744228896909</v>
      </c>
      <c r="L1066" t="str">
        <f>IF(EVCleanedDataset[[#This Row],[Score]]&gt;50,"Yes","No")</f>
        <v>No</v>
      </c>
    </row>
    <row r="1067" spans="1:12" x14ac:dyDescent="0.3">
      <c r="A1067" t="s">
        <v>2770</v>
      </c>
      <c r="B1067" t="s">
        <v>14</v>
      </c>
      <c r="C1067" t="s">
        <v>214</v>
      </c>
      <c r="D1067">
        <v>26.914271899999999</v>
      </c>
      <c r="E1067">
        <v>75.753320099999996</v>
      </c>
      <c r="F1067">
        <f>IF(COUNTIF($C$5:C1067,C1067)=1,1,0)</f>
        <v>0</v>
      </c>
      <c r="G1067" s="2" t="str">
        <f t="shared" si="32"/>
        <v/>
      </c>
      <c r="H1067" s="2">
        <f>MAX(0, MyBattery - (EVCleanedDataset[[#This Row],[Distance(km)]]/VehicleRangeKm)*100)</f>
        <v>0</v>
      </c>
      <c r="I1067" s="2">
        <f>6371*ACOS(SIN(RADIANS(MyLat))*SIN(RADIANS(EVCleanedDataset[[#This Row],[Latitude]]))+COS(RADIANS(MyLat))*COS(RADIANS(EVCleanedDataset[[#This Row],[Latitude]]))*COS(RADIANS(EVCleanedDataset[[#This Row],[Longitude]]-MyLong)))</f>
        <v>1519.7591699575273</v>
      </c>
      <c r="J1067">
        <f t="shared" si="33"/>
        <v>9</v>
      </c>
      <c r="K1067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13.391770458046054</v>
      </c>
      <c r="L1067" t="str">
        <f>IF(EVCleanedDataset[[#This Row],[Score]]&gt;50,"Yes","No")</f>
        <v>No</v>
      </c>
    </row>
    <row r="1068" spans="1:12" x14ac:dyDescent="0.3">
      <c r="A1068" t="s">
        <v>654</v>
      </c>
      <c r="B1068" t="s">
        <v>45</v>
      </c>
      <c r="C1068" t="s">
        <v>45</v>
      </c>
      <c r="D1068">
        <v>28.716914500000001</v>
      </c>
      <c r="E1068">
        <v>77.168537999999998</v>
      </c>
      <c r="F1068">
        <f>IF(COUNTIF($C$5:C1068,C1068)=1,1,0)</f>
        <v>0</v>
      </c>
      <c r="G1068" s="2" t="str">
        <f t="shared" si="32"/>
        <v/>
      </c>
      <c r="H1068" s="2">
        <f>MAX(0, MyBattery - (EVCleanedDataset[[#This Row],[Distance(km)]]/VehicleRangeKm)*100)</f>
        <v>0</v>
      </c>
      <c r="I1068" s="2">
        <f>6371*ACOS(SIN(RADIANS(MyLat))*SIN(RADIANS(EVCleanedDataset[[#This Row],[Latitude]]))+COS(RADIANS(MyLat))*COS(RADIANS(EVCleanedDataset[[#This Row],[Latitude]]))*COS(RADIANS(EVCleanedDataset[[#This Row],[Longitude]]-MyLong)))</f>
        <v>1709.2462953152133</v>
      </c>
      <c r="J1068">
        <f t="shared" si="33"/>
        <v>6</v>
      </c>
      <c r="K106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20.072873848302851</v>
      </c>
      <c r="L1068" t="str">
        <f>IF(EVCleanedDataset[[#This Row],[Score]]&gt;50,"Yes","No")</f>
        <v>No</v>
      </c>
    </row>
    <row r="1069" spans="1:12" x14ac:dyDescent="0.3">
      <c r="A1069" t="s">
        <v>1174</v>
      </c>
      <c r="B1069" t="s">
        <v>418</v>
      </c>
      <c r="C1069" t="s">
        <v>1175</v>
      </c>
      <c r="D1069">
        <v>25.634198999999999</v>
      </c>
      <c r="E1069">
        <v>85.105513999999999</v>
      </c>
      <c r="F1069">
        <f>IF(COUNTIF($C$5:C1069,C1069)=1,1,0)</f>
        <v>1</v>
      </c>
      <c r="G1069" s="2">
        <f t="shared" si="32"/>
        <v>1578.5926160888648</v>
      </c>
      <c r="H1069" s="2">
        <f>MAX(0, MyBattery - (EVCleanedDataset[[#This Row],[Distance(km)]]/VehicleRangeKm)*100)</f>
        <v>0</v>
      </c>
      <c r="I1069" s="2">
        <f>6371*ACOS(SIN(RADIANS(MyLat))*SIN(RADIANS(EVCleanedDataset[[#This Row],[Latitude]]))+COS(RADIANS(MyLat))*COS(RADIANS(EVCleanedDataset[[#This Row],[Latitude]]))*COS(RADIANS(EVCleanedDataset[[#This Row],[Longitude]]-MyLong)))</f>
        <v>1578.5926160888648</v>
      </c>
      <c r="J1069">
        <f t="shared" si="33"/>
        <v>3</v>
      </c>
      <c r="K1069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32.361310350911189</v>
      </c>
      <c r="L1069" t="str">
        <f>IF(EVCleanedDataset[[#This Row],[Score]]&gt;50,"Yes","No")</f>
        <v>No</v>
      </c>
    </row>
    <row r="1070" spans="1:12" x14ac:dyDescent="0.3">
      <c r="A1070" t="s">
        <v>3007</v>
      </c>
      <c r="B1070" t="s">
        <v>45</v>
      </c>
      <c r="C1070" t="s">
        <v>45</v>
      </c>
      <c r="D1070">
        <v>28.732426499999999</v>
      </c>
      <c r="E1070">
        <v>77.198624800000005</v>
      </c>
      <c r="F1070">
        <f>IF(COUNTIF($C$5:C1070,C1070)=1,1,0)</f>
        <v>0</v>
      </c>
      <c r="G1070" s="2" t="str">
        <f t="shared" si="32"/>
        <v/>
      </c>
      <c r="H1070" s="2">
        <f>MAX(0, MyBattery - (EVCleanedDataset[[#This Row],[Distance(km)]]/VehicleRangeKm)*100)</f>
        <v>0</v>
      </c>
      <c r="I1070" s="2">
        <f>6371*ACOS(SIN(RADIANS(MyLat))*SIN(RADIANS(EVCleanedDataset[[#This Row],[Latitude]]))+COS(RADIANS(MyLat))*COS(RADIANS(EVCleanedDataset[[#This Row],[Latitude]]))*COS(RADIANS(EVCleanedDataset[[#This Row],[Longitude]]-MyLong)))</f>
        <v>1710.9042192292125</v>
      </c>
      <c r="J1070">
        <f t="shared" si="33"/>
        <v>0</v>
      </c>
      <c r="K107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40.04385496438799</v>
      </c>
      <c r="L1070" t="str">
        <f>IF(EVCleanedDataset[[#This Row],[Score]]&gt;50,"Yes","No")</f>
        <v>No</v>
      </c>
    </row>
    <row r="1071" spans="1:12" x14ac:dyDescent="0.3">
      <c r="A1071" t="s">
        <v>457</v>
      </c>
      <c r="B1071" t="s">
        <v>463</v>
      </c>
      <c r="C1071" t="s">
        <v>1160</v>
      </c>
      <c r="D1071">
        <v>22.466843699999998</v>
      </c>
      <c r="E1071">
        <v>88.311155099999993</v>
      </c>
      <c r="F1071">
        <f>IF(COUNTIF($C$5:C1071,C1071)=1,1,0)</f>
        <v>0</v>
      </c>
      <c r="G1071" s="2" t="str">
        <f t="shared" si="32"/>
        <v/>
      </c>
      <c r="H1071" s="2">
        <f>MAX(0, MyBattery - (EVCleanedDataset[[#This Row],[Distance(km)]]/VehicleRangeKm)*100)</f>
        <v>0</v>
      </c>
      <c r="I1071" s="2">
        <f>6371*ACOS(SIN(RADIANS(MyLat))*SIN(RADIANS(EVCleanedDataset[[#This Row],[Latitude]]))+COS(RADIANS(MyLat))*COS(RADIANS(EVCleanedDataset[[#This Row],[Latitude]]))*COS(RADIANS(EVCleanedDataset[[#This Row],[Longitude]]-MyLong)))</f>
        <v>1524.2580810021834</v>
      </c>
      <c r="J1071">
        <f t="shared" si="33"/>
        <v>7</v>
      </c>
      <c r="K1071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19.979677757343719</v>
      </c>
      <c r="L1071" t="str">
        <f>IF(EVCleanedDataset[[#This Row],[Score]]&gt;50,"Yes","No")</f>
        <v>No</v>
      </c>
    </row>
    <row r="1072" spans="1:12" x14ac:dyDescent="0.3">
      <c r="A1072" t="s">
        <v>2759</v>
      </c>
      <c r="B1072" t="s">
        <v>14</v>
      </c>
      <c r="C1072" t="s">
        <v>1388</v>
      </c>
      <c r="D1072">
        <v>26.912863999999999</v>
      </c>
      <c r="E1072">
        <v>76.466964000000004</v>
      </c>
      <c r="F1072">
        <f>IF(COUNTIF($C$5:C1072,C1072)=1,1,0)</f>
        <v>1</v>
      </c>
      <c r="G1072" s="2">
        <f t="shared" si="32"/>
        <v>1512.3281732083806</v>
      </c>
      <c r="H1072" s="2">
        <f>MAX(0, MyBattery - (EVCleanedDataset[[#This Row],[Distance(km)]]/VehicleRangeKm)*100)</f>
        <v>0</v>
      </c>
      <c r="I1072" s="2">
        <f>6371*ACOS(SIN(RADIANS(MyLat))*SIN(RADIANS(EVCleanedDataset[[#This Row],[Latitude]]))+COS(RADIANS(MyLat))*COS(RADIANS(EVCleanedDataset[[#This Row],[Latitude]]))*COS(RADIANS(EVCleanedDataset[[#This Row],[Longitude]]-MyLong)))</f>
        <v>1512.3281732083806</v>
      </c>
      <c r="J1072">
        <f t="shared" si="33"/>
        <v>4</v>
      </c>
      <c r="K1072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30.188642586099174</v>
      </c>
      <c r="L1072" t="str">
        <f>IF(EVCleanedDataset[[#This Row],[Score]]&gt;50,"Yes","No")</f>
        <v>No</v>
      </c>
    </row>
    <row r="1073" spans="1:12" x14ac:dyDescent="0.3">
      <c r="A1073" t="s">
        <v>2217</v>
      </c>
      <c r="B1073" t="s">
        <v>2745</v>
      </c>
      <c r="C1073" t="s">
        <v>490</v>
      </c>
      <c r="D1073">
        <v>32.706609999999998</v>
      </c>
      <c r="E1073">
        <v>74.895679999999999</v>
      </c>
      <c r="F1073">
        <f>IF(COUNTIF($C$5:C1073,C1073)=1,1,0)</f>
        <v>0</v>
      </c>
      <c r="G1073" s="2" t="str">
        <f t="shared" si="32"/>
        <v/>
      </c>
      <c r="H1073" s="2">
        <f>MAX(0, MyBattery - (EVCleanedDataset[[#This Row],[Distance(km)]]/VehicleRangeKm)*100)</f>
        <v>0</v>
      </c>
      <c r="I1073" s="2">
        <f>6371*ACOS(SIN(RADIANS(MyLat))*SIN(RADIANS(EVCleanedDataset[[#This Row],[Latitude]]))+COS(RADIANS(MyLat))*COS(RADIANS(EVCleanedDataset[[#This Row],[Latitude]]))*COS(RADIANS(EVCleanedDataset[[#This Row],[Longitude]]-MyLong)))</f>
        <v>2169.117797262189</v>
      </c>
      <c r="J1073">
        <f t="shared" si="33"/>
        <v>1</v>
      </c>
      <c r="K1073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28.684845029948931</v>
      </c>
      <c r="L1073" t="str">
        <f>IF(EVCleanedDataset[[#This Row],[Score]]&gt;50,"Yes","No")</f>
        <v>No</v>
      </c>
    </row>
    <row r="1074" spans="1:12" x14ac:dyDescent="0.3">
      <c r="A1074" t="s">
        <v>2219</v>
      </c>
      <c r="B1074" t="s">
        <v>2745</v>
      </c>
      <c r="C1074" t="s">
        <v>490</v>
      </c>
      <c r="D1074">
        <v>32.713042999999999</v>
      </c>
      <c r="E1074">
        <v>74.859840599999998</v>
      </c>
      <c r="F1074">
        <f>IF(COUNTIF($C$5:C1074,C1074)=1,1,0)</f>
        <v>0</v>
      </c>
      <c r="G1074" s="2" t="str">
        <f t="shared" si="32"/>
        <v/>
      </c>
      <c r="H1074" s="2">
        <f>MAX(0, MyBattery - (EVCleanedDataset[[#This Row],[Distance(km)]]/VehicleRangeKm)*100)</f>
        <v>0</v>
      </c>
      <c r="I1074" s="2">
        <f>6371*ACOS(SIN(RADIANS(MyLat))*SIN(RADIANS(EVCleanedDataset[[#This Row],[Latitude]]))+COS(RADIANS(MyLat))*COS(RADIANS(EVCleanedDataset[[#This Row],[Latitude]]))*COS(RADIANS(EVCleanedDataset[[#This Row],[Longitude]]-MyLong)))</f>
        <v>2170.2798212361422</v>
      </c>
      <c r="J1074">
        <f t="shared" si="33"/>
        <v>8</v>
      </c>
      <c r="K1074" s="5">
        <f>((1-(EVCleanedDataset[[#This Row],[Distance(km)]]/MAX($I$5:$I$1121)))*0.4 + (1-(EVCleanedDataset[[#This Row],[QueueLength]]/MAX($J$5:$J$1121)))*0.3 + (EVCleanedDataset[[#This Row],[EstimatedBatteryOnArrival]]/100)*0.3 + (ROW()/10000000))*100</f>
        <v>5.3311686038102035</v>
      </c>
      <c r="L1074" t="str">
        <f>IF(EVCleanedDataset[[#This Row],[Score]]&gt;50,"Yes","No")</f>
        <v>No</v>
      </c>
    </row>
    <row r="1075" spans="1:12" x14ac:dyDescent="0.3">
      <c r="A1075" t="s">
        <v>3292</v>
      </c>
      <c r="B1075" t="s">
        <v>361</v>
      </c>
      <c r="C1075" t="s">
        <v>361</v>
      </c>
      <c r="D1075">
        <v>30.731142999999999</v>
      </c>
      <c r="E1075">
        <v>76.836681999999996</v>
      </c>
      <c r="F1075">
        <f>IF(COUNTIF($C$5:C1075,C1075)=1,1,0)</f>
        <v>0</v>
      </c>
      <c r="G1075" s="2" t="str">
        <f t="shared" si="32"/>
        <v/>
      </c>
      <c r="H1075" s="2">
        <f>MAX(0, MyBattery - (EVCleanedDataset[[#This Row],[Distance(km)]]/VehicleRangeKm)*100)</f>
        <v>0</v>
      </c>
      <c r="I1075" s="2">
        <f>6371*ACOS(SIN(RADIANS(MyLat))*SIN(RADIANS(EVCleanedDataset[[#This Row],[Latitude]]))+COS(RADIANS(MyLat))*COS(RADIANS(EVCleanedDataset[[#This Row],[Latitude]]))*COS(RADIANS(EVCleanedDataset[[#This Row],[Longitude]]-MyLong)))</f>
        <v>1934.1267967390477</v>
      </c>
      <c r="J1075">
        <f t="shared" si="33"/>
        <v>5</v>
      </c>
      <c r="K1075" s="5">
        <f>((1-(EVCleanedDataset[[#This Row],[Distance(km)]]/MAX($I$5:$I$1121)))*0.4 + (1-(EVCleanedDataset[[#This Row],[QueueLength]]/MAX($J$5:$J$1121)))*0.3 + (EVCleanedDataset[[#This Row],[EstimatedBatteryOnArrival]]/100)*0.3 + (ROW()/10000000))*100</f>
        <v>19.467448191703149</v>
      </c>
      <c r="L1075" t="str">
        <f>IF(EVCleanedDataset[[#This Row],[Score]]&gt;50,"Yes","No")</f>
        <v>No</v>
      </c>
    </row>
    <row r="1076" spans="1:12" x14ac:dyDescent="0.3">
      <c r="A1076" t="s">
        <v>2822</v>
      </c>
      <c r="B1076" t="s">
        <v>181</v>
      </c>
      <c r="C1076" t="s">
        <v>182</v>
      </c>
      <c r="D1076">
        <v>30.821899999999999</v>
      </c>
      <c r="E1076">
        <v>75.866799999999998</v>
      </c>
      <c r="F1076">
        <f>IF(COUNTIF($C$5:C1076,C1076)=1,1,0)</f>
        <v>1</v>
      </c>
      <c r="G1076" s="2">
        <f t="shared" si="32"/>
        <v>1950.4075195248802</v>
      </c>
      <c r="H1076" s="2">
        <f>MAX(0, MyBattery - (EVCleanedDataset[[#This Row],[Distance(km)]]/VehicleRangeKm)*100)</f>
        <v>0</v>
      </c>
      <c r="I1076" s="2">
        <f>6371*ACOS(SIN(RADIANS(MyLat))*SIN(RADIANS(EVCleanedDataset[[#This Row],[Latitude]]))+COS(RADIANS(MyLat))*COS(RADIANS(EVCleanedDataset[[#This Row],[Latitude]]))*COS(RADIANS(EVCleanedDataset[[#This Row],[Longitude]]-MyLong)))</f>
        <v>1950.4075195248802</v>
      </c>
      <c r="J1076">
        <f t="shared" si="33"/>
        <v>2</v>
      </c>
      <c r="K1076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29.182297928897437</v>
      </c>
      <c r="L1076" t="str">
        <f>IF(EVCleanedDataset[[#This Row],[Score]]&gt;50,"Yes","No")</f>
        <v>No</v>
      </c>
    </row>
    <row r="1077" spans="1:12" x14ac:dyDescent="0.3">
      <c r="A1077" t="s">
        <v>2464</v>
      </c>
      <c r="B1077" t="s">
        <v>181</v>
      </c>
      <c r="C1077" t="s">
        <v>2456</v>
      </c>
      <c r="D1077">
        <v>30.9491373</v>
      </c>
      <c r="E1077">
        <v>75.826643000000004</v>
      </c>
      <c r="F1077">
        <f>IF(COUNTIF($C$5:C1077,C1077)=1,1,0)</f>
        <v>0</v>
      </c>
      <c r="G1077" s="2" t="str">
        <f t="shared" si="32"/>
        <v/>
      </c>
      <c r="H1077" s="2">
        <f>MAX(0, MyBattery - (EVCleanedDataset[[#This Row],[Distance(km)]]/VehicleRangeKm)*100)</f>
        <v>0</v>
      </c>
      <c r="I1077" s="2">
        <f>6371*ACOS(SIN(RADIANS(MyLat))*SIN(RADIANS(EVCleanedDataset[[#This Row],[Latitude]]))+COS(RADIANS(MyLat))*COS(RADIANS(EVCleanedDataset[[#This Row],[Latitude]]))*COS(RADIANS(EVCleanedDataset[[#This Row],[Longitude]]-MyLong)))</f>
        <v>1964.8555063923352</v>
      </c>
      <c r="J1077">
        <f t="shared" si="33"/>
        <v>9</v>
      </c>
      <c r="K1077" s="5">
        <f>((1-(EVCleanedDataset[[#This Row],[Distance(km)]]/MAX($I$5:$I$1121)))*0.4 + (1-(EVCleanedDataset[[#This Row],[QueueLength]]/MAX($J$5:$J$1121)))*0.3 + (EVCleanedDataset[[#This Row],[EstimatedBatteryOnArrival]]/100)*0.3 + (ROW()/10000000))*100</f>
        <v>5.5959150854714599</v>
      </c>
      <c r="L1077" t="str">
        <f>IF(EVCleanedDataset[[#This Row],[Score]]&gt;50,"Yes","No")</f>
        <v>No</v>
      </c>
    </row>
    <row r="1078" spans="1:12" x14ac:dyDescent="0.3">
      <c r="A1078" t="s">
        <v>3311</v>
      </c>
      <c r="B1078" t="s">
        <v>18</v>
      </c>
      <c r="C1078" t="s">
        <v>2554</v>
      </c>
      <c r="D1078">
        <v>26.482346</v>
      </c>
      <c r="E1078">
        <v>80.329393999999994</v>
      </c>
      <c r="F1078">
        <f>IF(COUNTIF($C$5:C1078,C1078)=1,1,0)</f>
        <v>1</v>
      </c>
      <c r="G1078" s="2">
        <f t="shared" si="32"/>
        <v>1489.0556469753824</v>
      </c>
      <c r="H1078" s="2">
        <f>MAX(0, MyBattery - (EVCleanedDataset[[#This Row],[Distance(km)]]/VehicleRangeKm)*100)</f>
        <v>0</v>
      </c>
      <c r="I1078" s="2">
        <f>6371*ACOS(SIN(RADIANS(MyLat))*SIN(RADIANS(EVCleanedDataset[[#This Row],[Latitude]]))+COS(RADIANS(MyLat))*COS(RADIANS(EVCleanedDataset[[#This Row],[Latitude]]))*COS(RADIANS(EVCleanedDataset[[#This Row],[Longitude]]-MyLong)))</f>
        <v>1489.0556469753824</v>
      </c>
      <c r="J1078">
        <f t="shared" si="33"/>
        <v>6</v>
      </c>
      <c r="K1078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23.929659081134496</v>
      </c>
      <c r="L1078" t="str">
        <f>IF(EVCleanedDataset[[#This Row],[Score]]&gt;50,"Yes","No")</f>
        <v>No</v>
      </c>
    </row>
    <row r="1079" spans="1:12" x14ac:dyDescent="0.3">
      <c r="A1079" t="s">
        <v>1483</v>
      </c>
      <c r="B1079" t="s">
        <v>18</v>
      </c>
      <c r="C1079" t="s">
        <v>1040</v>
      </c>
      <c r="D1079">
        <v>29.3313177</v>
      </c>
      <c r="E1079">
        <v>77.721273999999994</v>
      </c>
      <c r="F1079">
        <f>IF(COUNTIF($C$5:C1079,C1079)=1,1,0)</f>
        <v>0</v>
      </c>
      <c r="G1079" s="2" t="str">
        <f t="shared" si="32"/>
        <v/>
      </c>
      <c r="H1079" s="2">
        <f>MAX(0, MyBattery - (EVCleanedDataset[[#This Row],[Distance(km)]]/VehicleRangeKm)*100)</f>
        <v>0</v>
      </c>
      <c r="I1079" s="2">
        <f>6371*ACOS(SIN(RADIANS(MyLat))*SIN(RADIANS(EVCleanedDataset[[#This Row],[Latitude]]))+COS(RADIANS(MyLat))*COS(RADIANS(EVCleanedDataset[[#This Row],[Latitude]]))*COS(RADIANS(EVCleanedDataset[[#This Row],[Longitude]]-MyLong)))</f>
        <v>1777.2404608792833</v>
      </c>
      <c r="J1079">
        <f t="shared" si="33"/>
        <v>3</v>
      </c>
      <c r="K1079" s="5">
        <f>((1-(EVCleanedDataset[[#This Row],[Distance(km)]]/MAX($I$5:$I$1121)))*0.4 + (1-(EVCleanedDataset[[#This Row],[QueueLength]]/MAX($J$5:$J$1121)))*0.3 + (EVCleanedDataset[[#This Row],[EstimatedBatteryOnArrival]]/100)*0.3 + (ROW()/10000000))*100</f>
        <v>28.882051825409022</v>
      </c>
      <c r="L1079" t="str">
        <f>IF(EVCleanedDataset[[#This Row],[Score]]&gt;50,"Yes","No")</f>
        <v>No</v>
      </c>
    </row>
    <row r="1080" spans="1:12" x14ac:dyDescent="0.3">
      <c r="A1080" t="s">
        <v>2770</v>
      </c>
      <c r="B1080" t="s">
        <v>64</v>
      </c>
      <c r="C1080" t="s">
        <v>2674</v>
      </c>
      <c r="D1080">
        <v>29.006961</v>
      </c>
      <c r="E1080">
        <v>79.401351000000005</v>
      </c>
      <c r="F1080">
        <f>IF(COUNTIF($C$5:C1080,C1080)=1,1,0)</f>
        <v>1</v>
      </c>
      <c r="G1080" s="2">
        <f t="shared" si="32"/>
        <v>1751.6684162244587</v>
      </c>
      <c r="H1080" s="2">
        <f>MAX(0, MyBattery - (EVCleanedDataset[[#This Row],[Distance(km)]]/VehicleRangeKm)*100)</f>
        <v>0</v>
      </c>
      <c r="I1080" s="2">
        <f>6371*ACOS(SIN(RADIANS(MyLat))*SIN(RADIANS(EVCleanedDataset[[#This Row],[Latitude]]))+COS(RADIANS(MyLat))*COS(RADIANS(EVCleanedDataset[[#This Row],[Latitude]]))*COS(RADIANS(EVCleanedDataset[[#This Row],[Longitude]]-MyLong)))</f>
        <v>1751.6684162244587</v>
      </c>
      <c r="J1080">
        <f t="shared" si="33"/>
        <v>0</v>
      </c>
      <c r="K1080" s="5">
        <f>((1-(EVCleanedDataset[[#This Row],[Distance(km)]]/MAX($I$5:$I$1121)))*0.4 + (1-(EVCleanedDataset[[#This Row],[QueueLength]]/MAX($J$5:$J$1121)))*0.3 + (EVCleanedDataset[[#This Row],[EstimatedBatteryOnArrival]]/100)*0.3 + (ROW()/10000000))*100</f>
        <v>39.329961532945021</v>
      </c>
      <c r="L1080" t="str">
        <f>IF(EVCleanedDataset[[#This Row],[Score]]&gt;50,"Yes","No")</f>
        <v>No</v>
      </c>
    </row>
    <row r="1081" spans="1:12" x14ac:dyDescent="0.3">
      <c r="A1081" t="s">
        <v>3299</v>
      </c>
      <c r="B1081" t="s">
        <v>14</v>
      </c>
      <c r="C1081" t="s">
        <v>2493</v>
      </c>
      <c r="D1081">
        <v>27.736300700000001</v>
      </c>
      <c r="E1081">
        <v>74.742638600000006</v>
      </c>
      <c r="F1081">
        <f>IF(COUNTIF($C$5:C1081,C1081)=1,1,0)</f>
        <v>1</v>
      </c>
      <c r="G1081" s="2">
        <f t="shared" si="32"/>
        <v>1625.8395718608965</v>
      </c>
      <c r="H1081" s="2">
        <f>MAX(0, MyBattery - (EVCleanedDataset[[#This Row],[Distance(km)]]/VehicleRangeKm)*100)</f>
        <v>0</v>
      </c>
      <c r="I1081" s="2">
        <f>6371*ACOS(SIN(RADIANS(MyLat))*SIN(RADIANS(EVCleanedDataset[[#This Row],[Latitude]]))+COS(RADIANS(MyLat))*COS(RADIANS(EVCleanedDataset[[#This Row],[Latitude]]))*COS(RADIANS(EVCleanedDataset[[#This Row],[Longitude]]-MyLong)))</f>
        <v>1625.8395718608965</v>
      </c>
      <c r="J1081">
        <f t="shared" si="33"/>
        <v>7</v>
      </c>
      <c r="K1081" s="5">
        <f>((1-(EVCleanedDataset[[#This Row],[Distance(km)]]/MAX($I$5:$I$1121)))*0.4 + (1-(EVCleanedDataset[[#This Row],[QueueLength]]/MAX($J$5:$J$1121)))*0.3 + (EVCleanedDataset[[#This Row],[EstimatedBatteryOnArrival]]/100)*0.3 + (ROW()/10000000))*100</f>
        <v>18.200556711047572</v>
      </c>
      <c r="L1081" t="str">
        <f>IF(EVCleanedDataset[[#This Row],[Score]]&gt;50,"Yes","No")</f>
        <v>No</v>
      </c>
    </row>
    <row r="1082" spans="1:12" x14ac:dyDescent="0.3">
      <c r="A1082" t="s">
        <v>2777</v>
      </c>
      <c r="B1082" t="s">
        <v>8</v>
      </c>
      <c r="C1082" t="s">
        <v>32</v>
      </c>
      <c r="D1082">
        <v>29.601900000000001</v>
      </c>
      <c r="E1082">
        <v>76.9803</v>
      </c>
      <c r="F1082">
        <f>IF(COUNTIF($C$5:C1082,C1082)=1,1,0)</f>
        <v>0</v>
      </c>
      <c r="G1082" s="2" t="str">
        <f t="shared" si="32"/>
        <v/>
      </c>
      <c r="H1082" s="2">
        <f>MAX(0, MyBattery - (EVCleanedDataset[[#This Row],[Distance(km)]]/VehicleRangeKm)*100)</f>
        <v>0</v>
      </c>
      <c r="I1082" s="2">
        <f>6371*ACOS(SIN(RADIANS(MyLat))*SIN(RADIANS(EVCleanedDataset[[#This Row],[Latitude]]))+COS(RADIANS(MyLat))*COS(RADIANS(EVCleanedDataset[[#This Row],[Latitude]]))*COS(RADIANS(EVCleanedDataset[[#This Row],[Longitude]]-MyLong)))</f>
        <v>1808.1373401268397</v>
      </c>
      <c r="J1082">
        <f t="shared" si="33"/>
        <v>4</v>
      </c>
      <c r="K1082" s="5">
        <f>((1-(EVCleanedDataset[[#This Row],[Distance(km)]]/MAX($I$5:$I$1121)))*0.4 + (1-(EVCleanedDataset[[#This Row],[QueueLength]]/MAX($J$5:$J$1121)))*0.3 + (EVCleanedDataset[[#This Row],[EstimatedBatteryOnArrival]]/100)*0.3 + (ROW()/10000000))*100</f>
        <v>25.007583193580686</v>
      </c>
      <c r="L1082" t="str">
        <f>IF(EVCleanedDataset[[#This Row],[Score]]&gt;50,"Yes","No")</f>
        <v>No</v>
      </c>
    </row>
    <row r="1083" spans="1:12" x14ac:dyDescent="0.3">
      <c r="A1083" t="s">
        <v>3356</v>
      </c>
      <c r="B1083" t="s">
        <v>18</v>
      </c>
      <c r="C1083" t="s">
        <v>1040</v>
      </c>
      <c r="D1083">
        <v>29.524814800000001</v>
      </c>
      <c r="E1083">
        <v>77.719578200000001</v>
      </c>
      <c r="F1083">
        <f>IF(COUNTIF($C$5:C1083,C1083)=1,1,0)</f>
        <v>0</v>
      </c>
      <c r="G1083" s="2" t="str">
        <f t="shared" si="32"/>
        <v/>
      </c>
      <c r="H1083" s="2">
        <f>MAX(0, MyBattery - (EVCleanedDataset[[#This Row],[Distance(km)]]/VehicleRangeKm)*100)</f>
        <v>0</v>
      </c>
      <c r="I1083" s="2">
        <f>6371*ACOS(SIN(RADIANS(MyLat))*SIN(RADIANS(EVCleanedDataset[[#This Row],[Latitude]]))+COS(RADIANS(MyLat))*COS(RADIANS(EVCleanedDataset[[#This Row],[Latitude]]))*COS(RADIANS(EVCleanedDataset[[#This Row],[Longitude]]-MyLong)))</f>
        <v>1798.7531615981018</v>
      </c>
      <c r="J1083">
        <f t="shared" si="33"/>
        <v>1</v>
      </c>
      <c r="K1083" s="5">
        <f>((1-(EVCleanedDataset[[#This Row],[Distance(km)]]/MAX($I$5:$I$1121)))*0.4 + (1-(EVCleanedDataset[[#This Row],[QueueLength]]/MAX($J$5:$J$1121)))*0.3 + (EVCleanedDataset[[#This Row],[EstimatedBatteryOnArrival]]/100)*0.3 + (ROW()/10000000))*100</f>
        <v>35.171959042116555</v>
      </c>
      <c r="L1083" t="str">
        <f>IF(EVCleanedDataset[[#This Row],[Score]]&gt;50,"Yes","No")</f>
        <v>No</v>
      </c>
    </row>
    <row r="1084" spans="1:12" x14ac:dyDescent="0.3">
      <c r="A1084" t="s">
        <v>748</v>
      </c>
      <c r="B1084" t="s">
        <v>463</v>
      </c>
      <c r="C1084" t="s">
        <v>1157</v>
      </c>
      <c r="D1084">
        <v>26.755578499999999</v>
      </c>
      <c r="E1084">
        <v>88.441823200000002</v>
      </c>
      <c r="F1084">
        <f>IF(COUNTIF($C$5:C1084,C1084)=1,1,0)</f>
        <v>0</v>
      </c>
      <c r="G1084" s="2" t="str">
        <f t="shared" si="32"/>
        <v/>
      </c>
      <c r="H1084" s="2">
        <f>MAX(0, MyBattery - (EVCleanedDataset[[#This Row],[Distance(km)]]/VehicleRangeKm)*100)</f>
        <v>0</v>
      </c>
      <c r="I1084" s="2">
        <f>6371*ACOS(SIN(RADIANS(MyLat))*SIN(RADIANS(EVCleanedDataset[[#This Row],[Latitude]]))+COS(RADIANS(MyLat))*COS(RADIANS(EVCleanedDataset[[#This Row],[Latitude]]))*COS(RADIANS(EVCleanedDataset[[#This Row],[Longitude]]-MyLong)))</f>
        <v>1873.7218700771512</v>
      </c>
      <c r="J1084">
        <f t="shared" si="33"/>
        <v>8</v>
      </c>
      <c r="K1084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10.525543108822387</v>
      </c>
      <c r="L1084" t="str">
        <f>IF(EVCleanedDataset[[#This Row],[Score]]&gt;50,"Yes","No")</f>
        <v>No</v>
      </c>
    </row>
    <row r="1085" spans="1:12" x14ac:dyDescent="0.3">
      <c r="A1085" t="s">
        <v>2770</v>
      </c>
      <c r="B1085" t="s">
        <v>64</v>
      </c>
      <c r="C1085" t="s">
        <v>2676</v>
      </c>
      <c r="D1085">
        <v>29.458587000000001</v>
      </c>
      <c r="E1085">
        <v>79.145011999999994</v>
      </c>
      <c r="F1085">
        <f>IF(COUNTIF($C$5:C1085,C1085)=1,1,0)</f>
        <v>1</v>
      </c>
      <c r="G1085" s="2">
        <f t="shared" si="32"/>
        <v>1798.9307062935277</v>
      </c>
      <c r="H1085" s="2">
        <f>MAX(0, MyBattery - (EVCleanedDataset[[#This Row],[Distance(km)]]/VehicleRangeKm)*100)</f>
        <v>0</v>
      </c>
      <c r="I1085" s="2">
        <f>6371*ACOS(SIN(RADIANS(MyLat))*SIN(RADIANS(EVCleanedDataset[[#This Row],[Latitude]]))+COS(RADIANS(MyLat))*COS(RADIANS(EVCleanedDataset[[#This Row],[Latitude]]))*COS(RADIANS(EVCleanedDataset[[#This Row],[Longitude]]-MyLong)))</f>
        <v>1798.9307062935277</v>
      </c>
      <c r="J1085">
        <f t="shared" si="33"/>
        <v>5</v>
      </c>
      <c r="K1085" s="5">
        <f>((1-(EVCleanedDataset[[#This Row],[Distance(km)]]/MAX($I$5:$I$1121)))*0.4 + (1-(EVCleanedDataset[[#This Row],[QueueLength]]/MAX($J$5:$J$1121)))*0.3 + (EVCleanedDataset[[#This Row],[EstimatedBatteryOnArrival]]/100)*0.3 + (ROW()/10000000))*100</f>
        <v>21.835535976330096</v>
      </c>
      <c r="L1085" t="str">
        <f>IF(EVCleanedDataset[[#This Row],[Score]]&gt;50,"Yes","No")</f>
        <v>No</v>
      </c>
    </row>
    <row r="1086" spans="1:12" x14ac:dyDescent="0.3">
      <c r="A1086" t="s">
        <v>2953</v>
      </c>
      <c r="B1086" t="s">
        <v>64</v>
      </c>
      <c r="C1086" t="s">
        <v>159</v>
      </c>
      <c r="D1086">
        <v>29.942456</v>
      </c>
      <c r="E1086">
        <v>78.144233999999997</v>
      </c>
      <c r="F1086">
        <f>IF(COUNTIF($C$5:C1086,C1086)=1,1,0)</f>
        <v>0</v>
      </c>
      <c r="G1086" s="2" t="str">
        <f t="shared" si="32"/>
        <v/>
      </c>
      <c r="H1086" s="2">
        <f>MAX(0, MyBattery - (EVCleanedDataset[[#This Row],[Distance(km)]]/VehicleRangeKm)*100)</f>
        <v>0</v>
      </c>
      <c r="I1086" s="2">
        <f>6371*ACOS(SIN(RADIANS(MyLat))*SIN(RADIANS(EVCleanedDataset[[#This Row],[Latitude]]))+COS(RADIANS(MyLat))*COS(RADIANS(EVCleanedDataset[[#This Row],[Latitude]]))*COS(RADIANS(EVCleanedDataset[[#This Row],[Longitude]]-MyLong)))</f>
        <v>1846.1492700498038</v>
      </c>
      <c r="J1086">
        <f t="shared" si="33"/>
        <v>2</v>
      </c>
      <c r="K1086" s="5">
        <f>((1-(EVCleanedDataset[[#This Row],[Distance(km)]]/MAX($I$5:$I$1121)))*0.4 + (1-(EVCleanedDataset[[#This Row],[QueueLength]]/MAX($J$5:$J$1121)))*0.3 + (EVCleanedDataset[[#This Row],[EstimatedBatteryOnArrival]]/100)*0.3 + (ROW()/10000000))*100</f>
        <v>31.008502961890656</v>
      </c>
      <c r="L1086" t="str">
        <f>IF(EVCleanedDataset[[#This Row],[Score]]&gt;50,"Yes","No")</f>
        <v>No</v>
      </c>
    </row>
    <row r="1087" spans="1:12" x14ac:dyDescent="0.3">
      <c r="A1087" t="s">
        <v>2584</v>
      </c>
      <c r="B1087" t="s">
        <v>64</v>
      </c>
      <c r="C1087" t="s">
        <v>159</v>
      </c>
      <c r="D1087">
        <v>29.9787383</v>
      </c>
      <c r="E1087">
        <v>78.181806699999996</v>
      </c>
      <c r="F1087">
        <f>IF(COUNTIF($C$5:C1087,C1087)=1,1,0)</f>
        <v>0</v>
      </c>
      <c r="G1087" s="2" t="str">
        <f t="shared" si="32"/>
        <v/>
      </c>
      <c r="H1087" s="2">
        <f>MAX(0, MyBattery - (EVCleanedDataset[[#This Row],[Distance(km)]]/VehicleRangeKm)*100)</f>
        <v>0</v>
      </c>
      <c r="I1087" s="2">
        <f>6371*ACOS(SIN(RADIANS(MyLat))*SIN(RADIANS(EVCleanedDataset[[#This Row],[Latitude]]))+COS(RADIANS(MyLat))*COS(RADIANS(EVCleanedDataset[[#This Row],[Latitude]]))*COS(RADIANS(EVCleanedDataset[[#This Row],[Longitude]]-MyLong)))</f>
        <v>1850.3153021046573</v>
      </c>
      <c r="J1087">
        <f t="shared" si="33"/>
        <v>9</v>
      </c>
      <c r="K1087" s="5">
        <f>((1-(EVCleanedDataset[[#This Row],[Distance(km)]]/MAX($I$5:$I$1121)))*0.4 + (1-(EVCleanedDataset[[#This Row],[QueueLength]]/MAX($J$5:$J$1121)))*0.3 + (EVCleanedDataset[[#This Row],[EstimatedBatteryOnArrival]]/100)*0.3 + (ROW()/10000000))*100</f>
        <v>7.6022107062774777</v>
      </c>
      <c r="L1087" t="str">
        <f>IF(EVCleanedDataset[[#This Row],[Score]]&gt;50,"Yes","No")</f>
        <v>No</v>
      </c>
    </row>
    <row r="1088" spans="1:12" x14ac:dyDescent="0.3">
      <c r="A1088" t="s">
        <v>2856</v>
      </c>
      <c r="B1088" t="s">
        <v>8</v>
      </c>
      <c r="C1088" t="s">
        <v>9</v>
      </c>
      <c r="D1088">
        <v>28.3687</v>
      </c>
      <c r="E1088">
        <v>76.965999999999994</v>
      </c>
      <c r="F1088">
        <f>IF(COUNTIF($C$5:C1088,C1088)=1,1,0)</f>
        <v>0</v>
      </c>
      <c r="G1088" s="2" t="str">
        <f t="shared" si="32"/>
        <v/>
      </c>
      <c r="H1088" s="2">
        <f>MAX(0, MyBattery - (EVCleanedDataset[[#This Row],[Distance(km)]]/VehicleRangeKm)*100)</f>
        <v>0</v>
      </c>
      <c r="I1088" s="2">
        <f>6371*ACOS(SIN(RADIANS(MyLat))*SIN(RADIANS(EVCleanedDataset[[#This Row],[Latitude]]))+COS(RADIANS(MyLat))*COS(RADIANS(EVCleanedDataset[[#This Row],[Latitude]]))*COS(RADIANS(EVCleanedDataset[[#This Row],[Longitude]]-MyLong)))</f>
        <v>1671.1480328805999</v>
      </c>
      <c r="J1088">
        <f t="shared" si="33"/>
        <v>6</v>
      </c>
      <c r="K108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20.740372878647452</v>
      </c>
      <c r="L1088" t="str">
        <f>IF(EVCleanedDataset[[#This Row],[Score]]&gt;50,"Yes","No")</f>
        <v>No</v>
      </c>
    </row>
    <row r="1089" spans="1:12" x14ac:dyDescent="0.3">
      <c r="A1089" t="s">
        <v>2785</v>
      </c>
      <c r="B1089" t="s">
        <v>8</v>
      </c>
      <c r="C1089" t="s">
        <v>9</v>
      </c>
      <c r="D1089">
        <v>28.456</v>
      </c>
      <c r="E1089">
        <v>77.001000000000005</v>
      </c>
      <c r="F1089">
        <f>IF(COUNTIF($C$5:C1089,C1089)=1,1,0)</f>
        <v>0</v>
      </c>
      <c r="G1089" s="2" t="str">
        <f t="shared" si="32"/>
        <v/>
      </c>
      <c r="H1089" s="2">
        <f>MAX(0, MyBattery - (EVCleanedDataset[[#This Row],[Distance(km)]]/VehicleRangeKm)*100)</f>
        <v>0</v>
      </c>
      <c r="I1089" s="2">
        <f>6371*ACOS(SIN(RADIANS(MyLat))*SIN(RADIANS(EVCleanedDataset[[#This Row],[Latitude]]))+COS(RADIANS(MyLat))*COS(RADIANS(EVCleanedDataset[[#This Row],[Latitude]]))*COS(RADIANS(EVCleanedDataset[[#This Row],[Longitude]]-MyLong)))</f>
        <v>1680.7251436246947</v>
      </c>
      <c r="J1089">
        <f t="shared" si="33"/>
        <v>3</v>
      </c>
      <c r="K108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30.57263778203037</v>
      </c>
      <c r="L1089" t="str">
        <f>IF(EVCleanedDataset[[#This Row],[Score]]&gt;50,"Yes","No")</f>
        <v>No</v>
      </c>
    </row>
    <row r="1090" spans="1:12" x14ac:dyDescent="0.3">
      <c r="A1090" t="s">
        <v>3209</v>
      </c>
      <c r="B1090" t="s">
        <v>8</v>
      </c>
      <c r="C1090" t="s">
        <v>9</v>
      </c>
      <c r="D1090">
        <v>28.498999999999999</v>
      </c>
      <c r="E1090">
        <v>77.083560000000006</v>
      </c>
      <c r="F1090">
        <f>IF(COUNTIF($C$5:C1090,C1090)=1,1,0)</f>
        <v>0</v>
      </c>
      <c r="G1090" s="2" t="str">
        <f t="shared" si="32"/>
        <v/>
      </c>
      <c r="H1090" s="2">
        <f>MAX(0, MyBattery - (EVCleanedDataset[[#This Row],[Distance(km)]]/VehicleRangeKm)*100)</f>
        <v>0</v>
      </c>
      <c r="I1090" s="2">
        <f>6371*ACOS(SIN(RADIANS(MyLat))*SIN(RADIANS(EVCleanedDataset[[#This Row],[Latitude]]))+COS(RADIANS(MyLat))*COS(RADIANS(EVCleanedDataset[[#This Row],[Latitude]]))*COS(RADIANS(EVCleanedDataset[[#This Row],[Longitude]]-MyLong)))</f>
        <v>1685.244120002465</v>
      </c>
      <c r="J1090">
        <f t="shared" si="33"/>
        <v>0</v>
      </c>
      <c r="K109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40.493496966157558</v>
      </c>
      <c r="L1090" t="str">
        <f>IF(EVCleanedDataset[[#This Row],[Score]]&gt;50,"Yes","No")</f>
        <v>No</v>
      </c>
    </row>
    <row r="1091" spans="1:12" x14ac:dyDescent="0.3">
      <c r="A1091" t="s">
        <v>3099</v>
      </c>
      <c r="B1091" t="s">
        <v>45</v>
      </c>
      <c r="C1091" t="s">
        <v>46</v>
      </c>
      <c r="D1091">
        <v>28.525440239999998</v>
      </c>
      <c r="E1091">
        <v>77.155900410000001</v>
      </c>
      <c r="F1091">
        <f>IF(COUNTIF($C$5:C1091,C1091)=1,1,0)</f>
        <v>0</v>
      </c>
      <c r="G1091" s="2" t="str">
        <f t="shared" si="32"/>
        <v/>
      </c>
      <c r="H1091" s="2">
        <f>MAX(0, MyBattery - (EVCleanedDataset[[#This Row],[Distance(km)]]/VehicleRangeKm)*100)</f>
        <v>0</v>
      </c>
      <c r="I1091" s="2">
        <f>6371*ACOS(SIN(RADIANS(MyLat))*SIN(RADIANS(EVCleanedDataset[[#This Row],[Latitude]]))+COS(RADIANS(MyLat))*COS(RADIANS(EVCleanedDataset[[#This Row],[Latitude]]))*COS(RADIANS(EVCleanedDataset[[#This Row],[Longitude]]-MyLong)))</f>
        <v>1687.9913993067919</v>
      </c>
      <c r="J1091">
        <f t="shared" si="33"/>
        <v>7</v>
      </c>
      <c r="K1091" s="5">
        <f>((1-(EVCleanedDataset[[#This Row],[Distance(km)]]/MAX($I$5:$I$1121)))*0.4 + (1-(EVCleanedDataset[[#This Row],[QueueLength]]/MAX($J$5:$J$1121)))*0.3 + (EVCleanedDataset[[#This Row],[EstimatedBatteryOnArrival]]/100)*0.3 + (ROW()/10000000))*100</f>
        <v>17.112054461536299</v>
      </c>
      <c r="L1091" t="str">
        <f>IF(EVCleanedDataset[[#This Row],[Score]]&gt;50,"Yes","No")</f>
        <v>No</v>
      </c>
    </row>
    <row r="1092" spans="1:12" x14ac:dyDescent="0.3">
      <c r="A1092" t="s">
        <v>3243</v>
      </c>
      <c r="B1092" t="s">
        <v>45</v>
      </c>
      <c r="C1092" t="s">
        <v>45</v>
      </c>
      <c r="D1092">
        <v>28.543012000000001</v>
      </c>
      <c r="E1092">
        <v>77.220428999999996</v>
      </c>
      <c r="F1092">
        <f>IF(COUNTIF($C$5:C1092,C1092)=1,1,0)</f>
        <v>0</v>
      </c>
      <c r="G1092" s="2" t="str">
        <f t="shared" si="32"/>
        <v/>
      </c>
      <c r="H1092" s="2">
        <f>MAX(0, MyBattery - (EVCleanedDataset[[#This Row],[Distance(km)]]/VehicleRangeKm)*100)</f>
        <v>0</v>
      </c>
      <c r="I1092" s="2">
        <f>6371*ACOS(SIN(RADIANS(MyLat))*SIN(RADIANS(EVCleanedDataset[[#This Row],[Latitude]]))+COS(RADIANS(MyLat))*COS(RADIANS(EVCleanedDataset[[#This Row],[Latitude]]))*COS(RADIANS(EVCleanedDataset[[#This Row],[Longitude]]-MyLong)))</f>
        <v>1689.8020498615679</v>
      </c>
      <c r="J1092">
        <f t="shared" si="33"/>
        <v>4</v>
      </c>
      <c r="K1092" s="5">
        <f>((1-(EVCleanedDataset[[#This Row],[Distance(km)]]/MAX($I$5:$I$1121)))*0.4 + (1-(EVCleanedDataset[[#This Row],[QueueLength]]/MAX($J$5:$J$1121)))*0.3 + (EVCleanedDataset[[#This Row],[EstimatedBatteryOnArrival]]/100)*0.3 + (ROW()/10000000))*100</f>
        <v>27.080350538583286</v>
      </c>
      <c r="L1092" t="str">
        <f>IF(EVCleanedDataset[[#This Row],[Score]]&gt;50,"Yes","No")</f>
        <v>No</v>
      </c>
    </row>
    <row r="1093" spans="1:12" x14ac:dyDescent="0.3">
      <c r="A1093" t="s">
        <v>2331</v>
      </c>
      <c r="B1093" t="s">
        <v>45</v>
      </c>
      <c r="C1093" t="s">
        <v>45</v>
      </c>
      <c r="D1093">
        <v>28.60585</v>
      </c>
      <c r="E1093">
        <v>77.081329999999994</v>
      </c>
      <c r="F1093">
        <f>IF(COUNTIF($C$5:C1093,C1093)=1,1,0)</f>
        <v>0</v>
      </c>
      <c r="G1093" s="2" t="str">
        <f t="shared" ref="G1093:G1121" si="34">IF(F1093=1, IF(C1093=MyCity, "", _xlfn.MINIFS($I$5:$I$1121,$C$5:$C$1121,C1093)), "")</f>
        <v/>
      </c>
      <c r="H1093" s="2">
        <f>MAX(0, MyBattery - (EVCleanedDataset[[#This Row],[Distance(km)]]/VehicleRangeKm)*100)</f>
        <v>0</v>
      </c>
      <c r="I1093" s="2">
        <f>6371*ACOS(SIN(RADIANS(MyLat))*SIN(RADIANS(EVCleanedDataset[[#This Row],[Latitude]]))+COS(RADIANS(MyLat))*COS(RADIANS(EVCleanedDataset[[#This Row],[Latitude]]))*COS(RADIANS(EVCleanedDataset[[#This Row],[Longitude]]-MyLong)))</f>
        <v>1697.1265580957522</v>
      </c>
      <c r="J1093">
        <f t="shared" ref="J1093:J1121" si="35">MOD(ROW()*7,10)</f>
        <v>1</v>
      </c>
      <c r="K109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36.952070245796037</v>
      </c>
      <c r="L1093" t="str">
        <f>IF(EVCleanedDataset[[#This Row],[Score]]&gt;50,"Yes","No")</f>
        <v>No</v>
      </c>
    </row>
    <row r="1094" spans="1:12" x14ac:dyDescent="0.3">
      <c r="A1094" t="s">
        <v>258</v>
      </c>
      <c r="B1094" t="s">
        <v>18</v>
      </c>
      <c r="C1094" t="s">
        <v>259</v>
      </c>
      <c r="D1094">
        <v>28.580100000000002</v>
      </c>
      <c r="E1094">
        <v>77.315200000000004</v>
      </c>
      <c r="F1094">
        <f>IF(COUNTIF($C$5:C1094,C1094)=1,1,0)</f>
        <v>0</v>
      </c>
      <c r="G1094" s="2" t="str">
        <f t="shared" si="34"/>
        <v/>
      </c>
      <c r="H1094" s="2">
        <f>MAX(0, MyBattery - (EVCleanedDataset[[#This Row],[Distance(km)]]/VehicleRangeKm)*100)</f>
        <v>0</v>
      </c>
      <c r="I1094" s="2">
        <f>6371*ACOS(SIN(RADIANS(MyLat))*SIN(RADIANS(EVCleanedDataset[[#This Row],[Latitude]]))+COS(RADIANS(MyLat))*COS(RADIANS(EVCleanedDataset[[#This Row],[Latitude]]))*COS(RADIANS(EVCleanedDataset[[#This Row],[Longitude]]-MyLong)))</f>
        <v>1693.763876230224</v>
      </c>
      <c r="J1094">
        <f t="shared" si="35"/>
        <v>8</v>
      </c>
      <c r="K1094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13.677644988249638</v>
      </c>
      <c r="L1094" t="str">
        <f>IF(EVCleanedDataset[[#This Row],[Score]]&gt;50,"Yes","No")</f>
        <v>No</v>
      </c>
    </row>
    <row r="1095" spans="1:12" x14ac:dyDescent="0.3">
      <c r="A1095" t="s">
        <v>2938</v>
      </c>
      <c r="B1095" t="s">
        <v>45</v>
      </c>
      <c r="C1095" t="s">
        <v>45</v>
      </c>
      <c r="D1095">
        <v>28.599629</v>
      </c>
      <c r="E1095">
        <v>77.195806000000005</v>
      </c>
      <c r="F1095">
        <f>IF(COUNTIF($C$5:C1095,C1095)=1,1,0)</f>
        <v>0</v>
      </c>
      <c r="G1095" s="2" t="str">
        <f t="shared" si="34"/>
        <v/>
      </c>
      <c r="H1095" s="2">
        <f>MAX(0, MyBattery - (EVCleanedDataset[[#This Row],[Distance(km)]]/VehicleRangeKm)*100)</f>
        <v>0</v>
      </c>
      <c r="I1095" s="2">
        <f>6371*ACOS(SIN(RADIANS(MyLat))*SIN(RADIANS(EVCleanedDataset[[#This Row],[Latitude]]))+COS(RADIANS(MyLat))*COS(RADIANS(EVCleanedDataset[[#This Row],[Latitude]]))*COS(RADIANS(EVCleanedDataset[[#This Row],[Longitude]]-MyLong)))</f>
        <v>1696.1473585465117</v>
      </c>
      <c r="J1095">
        <f t="shared" si="35"/>
        <v>5</v>
      </c>
      <c r="K1095" s="5">
        <f>((1-(EVCleanedDataset[[#This Row],[Distance(km)]]/MAX($I$5:$I$1121)))*0.4 + (1-(EVCleanedDataset[[#This Row],[QueueLength]]/MAX($J$5:$J$1121)))*0.3 + (EVCleanedDataset[[#This Row],[EstimatedBatteryOnArrival]]/100)*0.3 + (ROW()/10000000))*100</f>
        <v>23.635907797252884</v>
      </c>
      <c r="L1095" t="str">
        <f>IF(EVCleanedDataset[[#This Row],[Score]]&gt;50,"Yes","No")</f>
        <v>No</v>
      </c>
    </row>
    <row r="1096" spans="1:12" x14ac:dyDescent="0.3">
      <c r="A1096" t="s">
        <v>3121</v>
      </c>
      <c r="B1096" t="s">
        <v>45</v>
      </c>
      <c r="C1096" t="s">
        <v>46</v>
      </c>
      <c r="D1096">
        <v>28.601201</v>
      </c>
      <c r="E1096">
        <v>77.215975</v>
      </c>
      <c r="F1096">
        <f>IF(COUNTIF($C$5:C1096,C1096)=1,1,0)</f>
        <v>0</v>
      </c>
      <c r="G1096" s="2" t="str">
        <f t="shared" si="34"/>
        <v/>
      </c>
      <c r="H1096" s="2">
        <f>MAX(0, MyBattery - (EVCleanedDataset[[#This Row],[Distance(km)]]/VehicleRangeKm)*100)</f>
        <v>0</v>
      </c>
      <c r="I1096" s="2">
        <f>6371*ACOS(SIN(RADIANS(MyLat))*SIN(RADIANS(EVCleanedDataset[[#This Row],[Latitude]]))+COS(RADIANS(MyLat))*COS(RADIANS(EVCleanedDataset[[#This Row],[Latitude]]))*COS(RADIANS(EVCleanedDataset[[#This Row],[Longitude]]-MyLong)))</f>
        <v>1696.2799723869978</v>
      </c>
      <c r="J1096">
        <f t="shared" si="35"/>
        <v>2</v>
      </c>
      <c r="K1096" s="5">
        <f>((1-(EVCleanedDataset[[#This Row],[Distance(km)]]/MAX($I$5:$I$1121)))*0.4 + (1-(EVCleanedDataset[[#This Row],[QueueLength]]/MAX($J$5:$J$1121)))*0.3 + (EVCleanedDataset[[#This Row],[EstimatedBatteryOnArrival]]/100)*0.3 + (ROW()/10000000))*100</f>
        <v>33.63359503811607</v>
      </c>
      <c r="L1096" t="str">
        <f>IF(EVCleanedDataset[[#This Row],[Score]]&gt;50,"Yes","No")</f>
        <v>No</v>
      </c>
    </row>
    <row r="1097" spans="1:12" x14ac:dyDescent="0.3">
      <c r="A1097" t="s">
        <v>3120</v>
      </c>
      <c r="B1097" t="s">
        <v>45</v>
      </c>
      <c r="C1097" t="s">
        <v>46</v>
      </c>
      <c r="D1097">
        <v>28.600735</v>
      </c>
      <c r="E1097">
        <v>77.226276999999996</v>
      </c>
      <c r="F1097">
        <f>IF(COUNTIF($C$5:C1097,C1097)=1,1,0)</f>
        <v>0</v>
      </c>
      <c r="G1097" s="2" t="str">
        <f t="shared" si="34"/>
        <v/>
      </c>
      <c r="H1097" s="2">
        <f>MAX(0, MyBattery - (EVCleanedDataset[[#This Row],[Distance(km)]]/VehicleRangeKm)*100)</f>
        <v>0</v>
      </c>
      <c r="I1097" s="2">
        <f>6371*ACOS(SIN(RADIANS(MyLat))*SIN(RADIANS(EVCleanedDataset[[#This Row],[Latitude]]))+COS(RADIANS(MyLat))*COS(RADIANS(EVCleanedDataset[[#This Row],[Latitude]]))*COS(RADIANS(EVCleanedDataset[[#This Row],[Longitude]]-MyLong)))</f>
        <v>1696.2076290808989</v>
      </c>
      <c r="J1097">
        <f t="shared" si="35"/>
        <v>9</v>
      </c>
      <c r="K1097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10.301538812911213</v>
      </c>
      <c r="L1097" t="str">
        <f>IF(EVCleanedDataset[[#This Row],[Score]]&gt;50,"Yes","No")</f>
        <v>No</v>
      </c>
    </row>
    <row r="1098" spans="1:12" x14ac:dyDescent="0.3">
      <c r="A1098" t="s">
        <v>2958</v>
      </c>
      <c r="B1098" t="s">
        <v>45</v>
      </c>
      <c r="C1098" t="s">
        <v>45</v>
      </c>
      <c r="D1098">
        <v>28.622485999999999</v>
      </c>
      <c r="E1098">
        <v>77.095470000000006</v>
      </c>
      <c r="F1098">
        <f>IF(COUNTIF($C$5:C1098,C1098)=1,1,0)</f>
        <v>0</v>
      </c>
      <c r="G1098" s="2" t="str">
        <f t="shared" si="34"/>
        <v/>
      </c>
      <c r="H1098" s="2">
        <f>MAX(0, MyBattery - (EVCleanedDataset[[#This Row],[Distance(km)]]/VehicleRangeKm)*100)</f>
        <v>0</v>
      </c>
      <c r="I1098" s="2">
        <f>6371*ACOS(SIN(RADIANS(MyLat))*SIN(RADIANS(EVCleanedDataset[[#This Row],[Latitude]]))+COS(RADIANS(MyLat))*COS(RADIANS(EVCleanedDataset[[#This Row],[Latitude]]))*COS(RADIANS(EVCleanedDataset[[#This Row],[Longitude]]-MyLong)))</f>
        <v>1698.9356535683896</v>
      </c>
      <c r="J1098">
        <f t="shared" si="35"/>
        <v>6</v>
      </c>
      <c r="K1098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20.253766893765075</v>
      </c>
      <c r="L1098" t="str">
        <f>IF(EVCleanedDataset[[#This Row],[Score]]&gt;50,"Yes","No")</f>
        <v>No</v>
      </c>
    </row>
    <row r="1099" spans="1:12" x14ac:dyDescent="0.3">
      <c r="A1099" t="s">
        <v>3159</v>
      </c>
      <c r="B1099" t="s">
        <v>18</v>
      </c>
      <c r="C1099" t="s">
        <v>259</v>
      </c>
      <c r="D1099">
        <v>28.595050749999999</v>
      </c>
      <c r="E1099">
        <v>77.330419050000003</v>
      </c>
      <c r="F1099">
        <f>IF(COUNTIF($C$5:C1099,C1099)=1,1,0)</f>
        <v>0</v>
      </c>
      <c r="G1099" s="2" t="str">
        <f t="shared" si="34"/>
        <v/>
      </c>
      <c r="H1099" s="2">
        <f>MAX(0, MyBattery - (EVCleanedDataset[[#This Row],[Distance(km)]]/VehicleRangeKm)*100)</f>
        <v>0</v>
      </c>
      <c r="I1099" s="2">
        <f>6371*ACOS(SIN(RADIANS(MyLat))*SIN(RADIANS(EVCleanedDataset[[#This Row],[Latitude]]))+COS(RADIANS(MyLat))*COS(RADIANS(EVCleanedDataset[[#This Row],[Latitude]]))*COS(RADIANS(EVCleanedDataset[[#This Row],[Longitude]]-MyLong)))</f>
        <v>1695.4055527143346</v>
      </c>
      <c r="J1099">
        <f t="shared" si="35"/>
        <v>3</v>
      </c>
      <c r="K1099" s="5">
        <f>((1-(EVCleanedDataset[[#This Row],[Distance(km)]]/MAX($I$5:$I$1121)))*0.4 + (1-(EVCleanedDataset[[#This Row],[QueueLength]]/MAX($J$5:$J$1121)))*0.3 + (EVCleanedDataset[[#This Row],[EstimatedBatteryOnArrival]]/100)*0.3 + (ROW()/10000000))*100</f>
        <v>30.31560734813219</v>
      </c>
      <c r="L1099" t="str">
        <f>IF(EVCleanedDataset[[#This Row],[Score]]&gt;50,"Yes","No")</f>
        <v>No</v>
      </c>
    </row>
    <row r="1100" spans="1:12" x14ac:dyDescent="0.3">
      <c r="A1100" t="s">
        <v>3157</v>
      </c>
      <c r="B1100" t="s">
        <v>18</v>
      </c>
      <c r="C1100" t="s">
        <v>259</v>
      </c>
      <c r="D1100">
        <v>28.59717534</v>
      </c>
      <c r="E1100">
        <v>77.364803440000003</v>
      </c>
      <c r="F1100">
        <f>IF(COUNTIF($C$5:C1100,C1100)=1,1,0)</f>
        <v>0</v>
      </c>
      <c r="G1100" s="2" t="str">
        <f t="shared" si="34"/>
        <v/>
      </c>
      <c r="H1100" s="2">
        <f>MAX(0, MyBattery - (EVCleanedDataset[[#This Row],[Distance(km)]]/VehicleRangeKm)*100)</f>
        <v>0</v>
      </c>
      <c r="I1100" s="2">
        <f>6371*ACOS(SIN(RADIANS(MyLat))*SIN(RADIANS(EVCleanedDataset[[#This Row],[Latitude]]))+COS(RADIANS(MyLat))*COS(RADIANS(EVCleanedDataset[[#This Row],[Latitude]]))*COS(RADIANS(EVCleanedDataset[[#This Row],[Longitude]]-MyLong)))</f>
        <v>1695.6006165431656</v>
      </c>
      <c r="J1100">
        <f t="shared" si="35"/>
        <v>0</v>
      </c>
      <c r="K1100" s="5">
        <f>((1-(EVCleanedDataset[[#This Row],[Distance(km)]]/MAX($I$5:$I$1121)))*0.4 + (1-(EVCleanedDataset[[#This Row],[QueueLength]]/MAX($J$5:$J$1121)))*0.3 + (EVCleanedDataset[[#This Row],[EstimatedBatteryOnArrival]]/100)*0.3 + (ROW()/10000000))*100</f>
        <v>40.312200764395392</v>
      </c>
      <c r="L1100" t="str">
        <f>IF(EVCleanedDataset[[#This Row],[Score]]&gt;50,"Yes","No")</f>
        <v>No</v>
      </c>
    </row>
    <row r="1101" spans="1:12" x14ac:dyDescent="0.3">
      <c r="A1101" t="s">
        <v>3144</v>
      </c>
      <c r="B1101" t="s">
        <v>45</v>
      </c>
      <c r="C1101" t="s">
        <v>46</v>
      </c>
      <c r="D1101">
        <v>28.631987899999999</v>
      </c>
      <c r="E1101">
        <v>77.216943880000002</v>
      </c>
      <c r="F1101">
        <f>IF(COUNTIF($C$5:C1101,C1101)=1,1,0)</f>
        <v>0</v>
      </c>
      <c r="G1101" s="2" t="str">
        <f t="shared" si="34"/>
        <v/>
      </c>
      <c r="H1101" s="2">
        <f>MAX(0, MyBattery - (EVCleanedDataset[[#This Row],[Distance(km)]]/VehicleRangeKm)*100)</f>
        <v>0</v>
      </c>
      <c r="I1101" s="2">
        <f>6371*ACOS(SIN(RADIANS(MyLat))*SIN(RADIANS(EVCleanedDataset[[#This Row],[Latitude]]))+COS(RADIANS(MyLat))*COS(RADIANS(EVCleanedDataset[[#This Row],[Latitude]]))*COS(RADIANS(EVCleanedDataset[[#This Row],[Longitude]]-MyLong)))</f>
        <v>1699.7006282198336</v>
      </c>
      <c r="J1101">
        <f t="shared" si="35"/>
        <v>7</v>
      </c>
      <c r="K1101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16.907064869506595</v>
      </c>
      <c r="L1101" t="str">
        <f>IF(EVCleanedDataset[[#This Row],[Score]]&gt;50,"Yes","No")</f>
        <v>No</v>
      </c>
    </row>
    <row r="1102" spans="1:12" x14ac:dyDescent="0.3">
      <c r="A1102" t="s">
        <v>3149</v>
      </c>
      <c r="B1102" t="s">
        <v>45</v>
      </c>
      <c r="C1102" t="s">
        <v>46</v>
      </c>
      <c r="D1102">
        <v>28.657401369999999</v>
      </c>
      <c r="E1102">
        <v>77.302194209999996</v>
      </c>
      <c r="F1102">
        <f>IF(COUNTIF($C$5:C1102,C1102)=1,1,0)</f>
        <v>0</v>
      </c>
      <c r="G1102" s="2" t="str">
        <f t="shared" si="34"/>
        <v/>
      </c>
      <c r="H1102" s="2">
        <f>MAX(0, MyBattery - (EVCleanedDataset[[#This Row],[Distance(km)]]/VehicleRangeKm)*100)</f>
        <v>0</v>
      </c>
      <c r="I1102" s="2">
        <f>6371*ACOS(SIN(RADIANS(MyLat))*SIN(RADIANS(EVCleanedDataset[[#This Row],[Latitude]]))+COS(RADIANS(MyLat))*COS(RADIANS(EVCleanedDataset[[#This Row],[Latitude]]))*COS(RADIANS(EVCleanedDataset[[#This Row],[Longitude]]-MyLong)))</f>
        <v>1702.377188501262</v>
      </c>
      <c r="J1102">
        <f t="shared" si="35"/>
        <v>4</v>
      </c>
      <c r="K1102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26.860194356687366</v>
      </c>
      <c r="L1102" t="str">
        <f>IF(EVCleanedDataset[[#This Row],[Score]]&gt;50,"Yes","No")</f>
        <v>No</v>
      </c>
    </row>
    <row r="1103" spans="1:12" x14ac:dyDescent="0.3">
      <c r="A1103" t="s">
        <v>2750</v>
      </c>
      <c r="B1103" t="s">
        <v>18</v>
      </c>
      <c r="C1103" t="s">
        <v>1259</v>
      </c>
      <c r="D1103">
        <v>28.646366499999999</v>
      </c>
      <c r="E1103">
        <v>77.367840044179999</v>
      </c>
      <c r="F1103">
        <f>IF(COUNTIF($C$5:C1103,C1103)=1,1,0)</f>
        <v>0</v>
      </c>
      <c r="G1103" s="2" t="str">
        <f t="shared" si="34"/>
        <v/>
      </c>
      <c r="H1103" s="2">
        <f>MAX(0, MyBattery - (EVCleanedDataset[[#This Row],[Distance(km)]]/VehicleRangeKm)*100)</f>
        <v>0</v>
      </c>
      <c r="I1103" s="2">
        <f>6371*ACOS(SIN(RADIANS(MyLat))*SIN(RADIANS(EVCleanedDataset[[#This Row],[Latitude]]))+COS(RADIANS(MyLat))*COS(RADIANS(EVCleanedDataset[[#This Row],[Latitude]]))*COS(RADIANS(EVCleanedDataset[[#This Row],[Longitude]]-MyLong)))</f>
        <v>1701.0668200138682</v>
      </c>
      <c r="J1103">
        <f t="shared" si="35"/>
        <v>1</v>
      </c>
      <c r="K1103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36.883155734654615</v>
      </c>
      <c r="L1103" t="str">
        <f>IF(EVCleanedDataset[[#This Row],[Score]]&gt;50,"Yes","No")</f>
        <v>No</v>
      </c>
    </row>
    <row r="1104" spans="1:12" x14ac:dyDescent="0.3">
      <c r="A1104" t="s">
        <v>2974</v>
      </c>
      <c r="B1104" t="s">
        <v>463</v>
      </c>
      <c r="C1104" t="s">
        <v>1147</v>
      </c>
      <c r="D1104">
        <v>22.614383</v>
      </c>
      <c r="E1104">
        <v>88.273186999999993</v>
      </c>
      <c r="F1104">
        <f>IF(COUNTIF($C$5:C1104,C1104)=1,1,0)</f>
        <v>1</v>
      </c>
      <c r="G1104" s="2">
        <f t="shared" si="34"/>
        <v>1531.8567869013566</v>
      </c>
      <c r="H1104" s="2">
        <f>MAX(0, MyBattery - (EVCleanedDataset[[#This Row],[Distance(km)]]/VehicleRangeKm)*100)</f>
        <v>0</v>
      </c>
      <c r="I1104" s="2">
        <f>6371*ACOS(SIN(RADIANS(MyLat))*SIN(RADIANS(EVCleanedDataset[[#This Row],[Latitude]]))+COS(RADIANS(MyLat))*COS(RADIANS(EVCleanedDataset[[#This Row],[Latitude]]))*COS(RADIANS(EVCleanedDataset[[#This Row],[Longitude]]-MyLong)))</f>
        <v>1531.8567869013566</v>
      </c>
      <c r="J1104">
        <f t="shared" si="35"/>
        <v>8</v>
      </c>
      <c r="K1104" s="5">
        <f>((1-(EVCleanedDataset[[#This Row],[Distance(km)]]/MAX($I$5:$I$1121)))*0.4 + (1-(EVCleanedDataset[[#This Row],[QueueLength]]/MAX($J$5:$J$1121)))*0.3 + (EVCleanedDataset[[#This Row],[EstimatedBatteryOnArrival]]/100)*0.3 + (ROW()/10000000))*100</f>
        <v>16.513581501804435</v>
      </c>
      <c r="L1104" t="str">
        <f>IF(EVCleanedDataset[[#This Row],[Score]]&gt;50,"Yes","No")</f>
        <v>No</v>
      </c>
    </row>
    <row r="1105" spans="1:12" x14ac:dyDescent="0.3">
      <c r="A1105" t="s">
        <v>3088</v>
      </c>
      <c r="B1105" t="s">
        <v>463</v>
      </c>
      <c r="C1105" t="s">
        <v>1160</v>
      </c>
      <c r="D1105">
        <v>22.578927950000001</v>
      </c>
      <c r="E1105">
        <v>88.460504839999999</v>
      </c>
      <c r="F1105">
        <f>IF(COUNTIF($C$5:C1105,C1105)=1,1,0)</f>
        <v>0</v>
      </c>
      <c r="G1105" s="2" t="str">
        <f t="shared" si="34"/>
        <v/>
      </c>
      <c r="H1105" s="2">
        <f>MAX(0, MyBattery - (EVCleanedDataset[[#This Row],[Distance(km)]]/VehicleRangeKm)*100)</f>
        <v>0</v>
      </c>
      <c r="I1105" s="2">
        <f>6371*ACOS(SIN(RADIANS(MyLat))*SIN(RADIANS(EVCleanedDataset[[#This Row],[Latitude]]))+COS(RADIANS(MyLat))*COS(RADIANS(EVCleanedDataset[[#This Row],[Latitude]]))*COS(RADIANS(EVCleanedDataset[[#This Row],[Longitude]]-MyLong)))</f>
        <v>1544.021408653113</v>
      </c>
      <c r="J1105">
        <f t="shared" si="35"/>
        <v>5</v>
      </c>
      <c r="K1105" s="5">
        <f>((1-(EVCleanedDataset[[#This Row],[Distance(km)]]/MAX($I$5:$I$1121)))*0.4 + (1-(EVCleanedDataset[[#This Row],[QueueLength]]/MAX($J$5:$J$1121)))*0.3 + (EVCleanedDataset[[#This Row],[EstimatedBatteryOnArrival]]/100)*0.3 + (ROW()/10000000))*100</f>
        <v>26.300525609012404</v>
      </c>
      <c r="L1105" t="str">
        <f>IF(EVCleanedDataset[[#This Row],[Score]]&gt;50,"Yes","No")</f>
        <v>No</v>
      </c>
    </row>
    <row r="1106" spans="1:12" x14ac:dyDescent="0.3">
      <c r="A1106" t="s">
        <v>2939</v>
      </c>
      <c r="B1106" t="s">
        <v>8</v>
      </c>
      <c r="C1106" t="s">
        <v>975</v>
      </c>
      <c r="D1106">
        <v>29.157568999999999</v>
      </c>
      <c r="E1106">
        <v>77.035832999999997</v>
      </c>
      <c r="F1106">
        <f>IF(COUNTIF($C$5:C1106,C1106)=1,1,0)</f>
        <v>1</v>
      </c>
      <c r="G1106" s="2">
        <f t="shared" si="34"/>
        <v>1758.5810911050887</v>
      </c>
      <c r="H1106" s="2">
        <f>MAX(0, MyBattery - (EVCleanedDataset[[#This Row],[Distance(km)]]/VehicleRangeKm)*100)</f>
        <v>0</v>
      </c>
      <c r="I1106" s="2">
        <f>6371*ACOS(SIN(RADIANS(MyLat))*SIN(RADIANS(EVCleanedDataset[[#This Row],[Latitude]]))+COS(RADIANS(MyLat))*COS(RADIANS(EVCleanedDataset[[#This Row],[Latitude]]))*COS(RADIANS(EVCleanedDataset[[#This Row],[Longitude]]-MyLong)))</f>
        <v>1758.5810911050887</v>
      </c>
      <c r="J1106">
        <f t="shared" si="35"/>
        <v>2</v>
      </c>
      <c r="K1106" s="5">
        <f>((1-(EVCleanedDataset[[#This Row],[Distance(km)]]/MAX($I$5:$I$1121)))*0.4 + (1-(EVCleanedDataset[[#This Row],[QueueLength]]/MAX($J$5:$J$1121)))*0.3 + (EVCleanedDataset[[#This Row],[EstimatedBatteryOnArrival]]/100)*0.3 + (ROW()/10000000))*100</f>
        <v>32.542477920765464</v>
      </c>
      <c r="L1106" t="str">
        <f>IF(EVCleanedDataset[[#This Row],[Score]]&gt;50,"Yes","No")</f>
        <v>No</v>
      </c>
    </row>
    <row r="1107" spans="1:12" x14ac:dyDescent="0.3">
      <c r="A1107" t="s">
        <v>3034</v>
      </c>
      <c r="B1107" t="s">
        <v>18</v>
      </c>
      <c r="C1107" t="s">
        <v>1040</v>
      </c>
      <c r="D1107">
        <v>29.411834899999999</v>
      </c>
      <c r="E1107">
        <v>77.700671900000003</v>
      </c>
      <c r="F1107">
        <f>IF(COUNTIF($C$5:C1107,C1107)=1,1,0)</f>
        <v>0</v>
      </c>
      <c r="G1107" s="2" t="str">
        <f t="shared" si="34"/>
        <v/>
      </c>
      <c r="H1107" s="2">
        <f>MAX(0, MyBattery - (EVCleanedDataset[[#This Row],[Distance(km)]]/VehicleRangeKm)*100)</f>
        <v>0</v>
      </c>
      <c r="I1107" s="2">
        <f>6371*ACOS(SIN(RADIANS(MyLat))*SIN(RADIANS(EVCleanedDataset[[#This Row],[Latitude]]))+COS(RADIANS(MyLat))*COS(RADIANS(EVCleanedDataset[[#This Row],[Latitude]]))*COS(RADIANS(EVCleanedDataset[[#This Row],[Longitude]]-MyLong)))</f>
        <v>1786.1717482117519</v>
      </c>
      <c r="J1107">
        <f t="shared" si="35"/>
        <v>9</v>
      </c>
      <c r="K1107" s="5">
        <f>((1-(EVCleanedDataset[[#This Row],[Distance(km)]]/MAX($I$5:$I$1121)))*0.4 + (1-(EVCleanedDataset[[#This Row],[QueueLength]]/MAX($J$5:$J$1121)))*0.3 + (EVCleanedDataset[[#This Row],[EstimatedBatteryOnArrival]]/100)*0.3 + (ROW()/10000000))*100</f>
        <v>8.7258984608451176</v>
      </c>
      <c r="L1107" t="str">
        <f>IF(EVCleanedDataset[[#This Row],[Score]]&gt;50,"Yes","No")</f>
        <v>No</v>
      </c>
    </row>
    <row r="1108" spans="1:12" x14ac:dyDescent="0.3">
      <c r="A1108" t="s">
        <v>2952</v>
      </c>
      <c r="B1108" t="s">
        <v>18</v>
      </c>
      <c r="C1108" t="s">
        <v>1040</v>
      </c>
      <c r="D1108">
        <v>29.458546399999999</v>
      </c>
      <c r="E1108">
        <v>77.739762799999994</v>
      </c>
      <c r="F1108">
        <f>IF(COUNTIF($C$5:C1108,C1108)=1,1,0)</f>
        <v>0</v>
      </c>
      <c r="G1108" s="2" t="str">
        <f t="shared" si="34"/>
        <v/>
      </c>
      <c r="H1108" s="2">
        <f>MAX(0, MyBattery - (EVCleanedDataset[[#This Row],[Distance(km)]]/VehicleRangeKm)*100)</f>
        <v>0</v>
      </c>
      <c r="I1108" s="2">
        <f>6371*ACOS(SIN(RADIANS(MyLat))*SIN(RADIANS(EVCleanedDataset[[#This Row],[Latitude]]))+COS(RADIANS(MyLat))*COS(RADIANS(EVCleanedDataset[[#This Row],[Latitude]]))*COS(RADIANS(EVCleanedDataset[[#This Row],[Longitude]]-MyLong)))</f>
        <v>1791.4078890362584</v>
      </c>
      <c r="J1108">
        <f t="shared" si="35"/>
        <v>6</v>
      </c>
      <c r="K1108" s="5">
        <f>((1-(EVCleanedDataset[[#This Row],[Distance(km)]]/MAX($I$5:$I$1121)))*0.4 + (1-(EVCleanedDataset[[#This Row],[QueueLength]]/MAX($J$5:$J$1121)))*0.3 + (EVCleanedDataset[[#This Row],[EstimatedBatteryOnArrival]]/100)*0.3 + (ROW()/10000000))*100</f>
        <v>18.634196359776524</v>
      </c>
      <c r="L1108" t="str">
        <f>IF(EVCleanedDataset[[#This Row],[Score]]&gt;50,"Yes","No")</f>
        <v>No</v>
      </c>
    </row>
    <row r="1109" spans="1:12" x14ac:dyDescent="0.3">
      <c r="A1109" t="s">
        <v>2119</v>
      </c>
      <c r="B1109" t="s">
        <v>1051</v>
      </c>
      <c r="C1109" t="s">
        <v>1052</v>
      </c>
      <c r="D1109">
        <v>26.111364999999999</v>
      </c>
      <c r="E1109">
        <v>91.746149000000003</v>
      </c>
      <c r="F1109">
        <f>IF(COUNTIF($C$5:C1109,C1109)=1,1,0)</f>
        <v>0</v>
      </c>
      <c r="G1109" s="2" t="str">
        <f t="shared" si="34"/>
        <v/>
      </c>
      <c r="H1109" s="2">
        <f>MAX(0, MyBattery - (EVCleanedDataset[[#This Row],[Distance(km)]]/VehicleRangeKm)*100)</f>
        <v>0</v>
      </c>
      <c r="I1109" s="2">
        <f>6371*ACOS(SIN(RADIANS(MyLat))*SIN(RADIANS(EVCleanedDataset[[#This Row],[Latitude]]))+COS(RADIANS(MyLat))*COS(RADIANS(EVCleanedDataset[[#This Row],[Latitude]]))*COS(RADIANS(EVCleanedDataset[[#This Row],[Longitude]]-MyLong)))</f>
        <v>2052.1977506190565</v>
      </c>
      <c r="J1109">
        <f t="shared" si="35"/>
        <v>3</v>
      </c>
      <c r="K1109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24.066417420410176</v>
      </c>
      <c r="L1109" t="str">
        <f>IF(EVCleanedDataset[[#This Row],[Score]]&gt;50,"Yes","No")</f>
        <v>No</v>
      </c>
    </row>
    <row r="1110" spans="1:12" x14ac:dyDescent="0.3">
      <c r="A1110" t="s">
        <v>1385</v>
      </c>
      <c r="B1110" t="s">
        <v>1051</v>
      </c>
      <c r="C1110" t="s">
        <v>1052</v>
      </c>
      <c r="D1110">
        <v>26.111877</v>
      </c>
      <c r="E1110">
        <v>91.759799000000001</v>
      </c>
      <c r="F1110">
        <f>IF(COUNTIF($C$5:C1110,C1110)=1,1,0)</f>
        <v>0</v>
      </c>
      <c r="G1110" s="2" t="str">
        <f t="shared" si="34"/>
        <v/>
      </c>
      <c r="H1110" s="2">
        <f>MAX(0, MyBattery - (EVCleanedDataset[[#This Row],[Distance(km)]]/VehicleRangeKm)*100)</f>
        <v>0</v>
      </c>
      <c r="I1110" s="2">
        <f>6371*ACOS(SIN(RADIANS(MyLat))*SIN(RADIANS(EVCleanedDataset[[#This Row],[Latitude]]))+COS(RADIANS(MyLat))*COS(RADIANS(EVCleanedDataset[[#This Row],[Latitude]]))*COS(RADIANS(EVCleanedDataset[[#This Row],[Longitude]]-MyLong)))</f>
        <v>2053.2635019973854</v>
      </c>
      <c r="J1110">
        <f t="shared" si="35"/>
        <v>0</v>
      </c>
      <c r="K1110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34.047760562241301</v>
      </c>
      <c r="L1110" t="str">
        <f>IF(EVCleanedDataset[[#This Row],[Score]]&gt;50,"Yes","No")</f>
        <v>No</v>
      </c>
    </row>
    <row r="1111" spans="1:12" x14ac:dyDescent="0.3">
      <c r="A1111" t="s">
        <v>2420</v>
      </c>
      <c r="B1111" t="s">
        <v>463</v>
      </c>
      <c r="C1111" t="s">
        <v>1157</v>
      </c>
      <c r="D1111">
        <v>26.729623</v>
      </c>
      <c r="E1111">
        <v>88.373902999999999</v>
      </c>
      <c r="F1111">
        <f>IF(COUNTIF($C$5:C1111,C1111)=1,1,0)</f>
        <v>0</v>
      </c>
      <c r="G1111" s="2" t="str">
        <f t="shared" si="34"/>
        <v/>
      </c>
      <c r="H1111" s="2">
        <f>MAX(0, MyBattery - (EVCleanedDataset[[#This Row],[Distance(km)]]/VehicleRangeKm)*100)</f>
        <v>0</v>
      </c>
      <c r="I1111" s="2">
        <f>6371*ACOS(SIN(RADIANS(MyLat))*SIN(RADIANS(EVCleanedDataset[[#This Row],[Latitude]]))+COS(RADIANS(MyLat))*COS(RADIANS(EVCleanedDataset[[#This Row],[Latitude]]))*COS(RADIANS(EVCleanedDataset[[#This Row],[Longitude]]-MyLong)))</f>
        <v>1867.213621717857</v>
      </c>
      <c r="J1111">
        <f t="shared" si="35"/>
        <v>7</v>
      </c>
      <c r="K1111" s="5">
        <f>((1-(EVCleanedDataset[[#This Row],[Distance(km)]]/MAX($I$5:$I$1121)))*0.4 + (1-(EVCleanedDataset[[#This Row],[QueueLength]]/MAX($J$5:$J$1121)))*0.3 + (EVCleanedDataset[[#This Row],[EstimatedBatteryOnArrival]]/100)*0.3 + (ROW()/10000000))*100</f>
        <v>13.97313977260885</v>
      </c>
      <c r="L1111" t="str">
        <f>IF(EVCleanedDataset[[#This Row],[Score]]&gt;50,"Yes","No")</f>
        <v>No</v>
      </c>
    </row>
    <row r="1112" spans="1:12" x14ac:dyDescent="0.3">
      <c r="A1112" t="s">
        <v>2970</v>
      </c>
      <c r="B1112" t="s">
        <v>8</v>
      </c>
      <c r="C1112" t="s">
        <v>32</v>
      </c>
      <c r="D1112">
        <v>29.731580999999998</v>
      </c>
      <c r="E1112">
        <v>76.976511000000002</v>
      </c>
      <c r="F1112">
        <f>IF(COUNTIF($C$5:C1112,C1112)=1,1,0)</f>
        <v>0</v>
      </c>
      <c r="G1112" s="2" t="str">
        <f t="shared" si="34"/>
        <v/>
      </c>
      <c r="H1112" s="2">
        <f>MAX(0, MyBattery - (EVCleanedDataset[[#This Row],[Distance(km)]]/VehicleRangeKm)*100)</f>
        <v>0</v>
      </c>
      <c r="I1112" s="2">
        <f>6371*ACOS(SIN(RADIANS(MyLat))*SIN(RADIANS(EVCleanedDataset[[#This Row],[Latitude]]))+COS(RADIANS(MyLat))*COS(RADIANS(EVCleanedDataset[[#This Row],[Latitude]]))*COS(RADIANS(EVCleanedDataset[[#This Row],[Longitude]]-MyLong)))</f>
        <v>1822.5613469296029</v>
      </c>
      <c r="J1112">
        <f t="shared" si="35"/>
        <v>4</v>
      </c>
      <c r="K1112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24.755243699333747</v>
      </c>
      <c r="L1112" t="str">
        <f>IF(EVCleanedDataset[[#This Row],[Score]]&gt;50,"Yes","No")</f>
        <v>No</v>
      </c>
    </row>
    <row r="1113" spans="1:12" x14ac:dyDescent="0.3">
      <c r="A1113" t="s">
        <v>2814</v>
      </c>
      <c r="B1113" t="s">
        <v>64</v>
      </c>
      <c r="C1113" t="s">
        <v>159</v>
      </c>
      <c r="D1113">
        <v>29.932400000000001</v>
      </c>
      <c r="E1113">
        <v>78.142300000000006</v>
      </c>
      <c r="F1113">
        <f>IF(COUNTIF($C$5:C1113,C1113)=1,1,0)</f>
        <v>0</v>
      </c>
      <c r="G1113" s="2" t="str">
        <f t="shared" si="34"/>
        <v/>
      </c>
      <c r="H1113" s="2">
        <f>MAX(0, MyBattery - (EVCleanedDataset[[#This Row],[Distance(km)]]/VehicleRangeKm)*100)</f>
        <v>0</v>
      </c>
      <c r="I1113" s="2">
        <f>6371*ACOS(SIN(RADIANS(MyLat))*SIN(RADIANS(EVCleanedDataset[[#This Row],[Latitude]]))+COS(RADIANS(MyLat))*COS(RADIANS(EVCleanedDataset[[#This Row],[Latitude]]))*COS(RADIANS(EVCleanedDataset[[#This Row],[Longitude]]-MyLong)))</f>
        <v>1845.0251081946062</v>
      </c>
      <c r="J1113">
        <f t="shared" si="35"/>
        <v>1</v>
      </c>
      <c r="K1113" s="5">
        <f>((1-(EVCleanedDataset[[#This Row],[Distance(km)]]/MAX($I$5:$I$1121)))*0.4 + (1-(EVCleanedDataset[[#This Row],[QueueLength]]/MAX($J$5:$J$1121)))*0.3 + (EVCleanedDataset[[#This Row],[EstimatedBatteryOnArrival]]/100)*0.3 + (ROW()/10000000))*100</f>
        <v>34.361796225104939</v>
      </c>
      <c r="L1113" t="str">
        <f>IF(EVCleanedDataset[[#This Row],[Score]]&gt;50,"Yes","No")</f>
        <v>No</v>
      </c>
    </row>
    <row r="1114" spans="1:12" x14ac:dyDescent="0.3">
      <c r="A1114" t="s">
        <v>2787</v>
      </c>
      <c r="B1114" t="s">
        <v>64</v>
      </c>
      <c r="C1114" t="s">
        <v>65</v>
      </c>
      <c r="D1114">
        <v>30.248200000000001</v>
      </c>
      <c r="E1114">
        <v>78.096100000000007</v>
      </c>
      <c r="F1114">
        <f>IF(COUNTIF($C$5:C1114,C1114)=1,1,0)</f>
        <v>0</v>
      </c>
      <c r="G1114" s="2" t="str">
        <f t="shared" si="34"/>
        <v/>
      </c>
      <c r="H1114" s="2">
        <f>MAX(0, MyBattery - (EVCleanedDataset[[#This Row],[Distance(km)]]/VehicleRangeKm)*100)</f>
        <v>0</v>
      </c>
      <c r="I1114" s="2">
        <f>6371*ACOS(SIN(RADIANS(MyLat))*SIN(RADIANS(EVCleanedDataset[[#This Row],[Latitude]]))+COS(RADIANS(MyLat))*COS(RADIANS(EVCleanedDataset[[#This Row],[Latitude]]))*COS(RADIANS(EVCleanedDataset[[#This Row],[Longitude]]-MyLong)))</f>
        <v>1879.9674329542991</v>
      </c>
      <c r="J1114">
        <f t="shared" si="35"/>
        <v>8</v>
      </c>
      <c r="K1114" s="5">
        <f>((1-(EVCleanedDataset[[#This Row],[Distance(km)]]/MAX($I$5:$I$1121)))*0.4 + (1-(EVCleanedDataset[[#This Row],[QueueLength]]/MAX($J$5:$J$1121)))*0.3 + (EVCleanedDataset[[#This Row],[EstimatedBatteryOnArrival]]/100)*0.3 + (ROW()/10000000))*100</f>
        <v>10.416450769499049</v>
      </c>
      <c r="L1114" t="str">
        <f>IF(EVCleanedDataset[[#This Row],[Score]]&gt;50,"Yes","No")</f>
        <v>No</v>
      </c>
    </row>
    <row r="1115" spans="1:12" x14ac:dyDescent="0.3">
      <c r="A1115" t="s">
        <v>2946</v>
      </c>
      <c r="B1115" t="s">
        <v>64</v>
      </c>
      <c r="C1115" t="s">
        <v>65</v>
      </c>
      <c r="D1115">
        <v>30.289739000000001</v>
      </c>
      <c r="E1115">
        <v>77.998788000000005</v>
      </c>
      <c r="F1115">
        <f>IF(COUNTIF($C$5:C1115,C1115)=1,1,0)</f>
        <v>0</v>
      </c>
      <c r="G1115" s="2" t="str">
        <f t="shared" si="34"/>
        <v/>
      </c>
      <c r="H1115" s="2">
        <f>MAX(0, MyBattery - (EVCleanedDataset[[#This Row],[Distance(km)]]/VehicleRangeKm)*100)</f>
        <v>0</v>
      </c>
      <c r="I1115" s="2">
        <f>6371*ACOS(SIN(RADIANS(MyLat))*SIN(RADIANS(EVCleanedDataset[[#This Row],[Latitude]]))+COS(RADIANS(MyLat))*COS(RADIANS(EVCleanedDataset[[#This Row],[Latitude]]))*COS(RADIANS(EVCleanedDataset[[#This Row],[Longitude]]-MyLong)))</f>
        <v>1884.306336619137</v>
      </c>
      <c r="J1115">
        <f t="shared" si="35"/>
        <v>5</v>
      </c>
      <c r="K1115" s="5">
        <f>((1-(EVCleanedDataset[[#This Row],[Distance(km)]]/MAX($I$5:$I$1121)))*0.4 + (1-(EVCleanedDataset[[#This Row],[QueueLength]]/MAX($J$5:$J$1121)))*0.3 + (EVCleanedDataset[[#This Row],[EstimatedBatteryOnArrival]]/100)*0.3 + (ROW()/10000000))*100</f>
        <v>20.340463964834417</v>
      </c>
      <c r="L1115" t="str">
        <f>IF(EVCleanedDataset[[#This Row],[Score]]&gt;50,"Yes","No")</f>
        <v>No</v>
      </c>
    </row>
    <row r="1116" spans="1:12" x14ac:dyDescent="0.3">
      <c r="A1116" t="s">
        <v>3291</v>
      </c>
      <c r="B1116" t="s">
        <v>361</v>
      </c>
      <c r="C1116" t="s">
        <v>361</v>
      </c>
      <c r="D1116">
        <v>30.699051600000001</v>
      </c>
      <c r="E1116">
        <v>76.785531300000002</v>
      </c>
      <c r="F1116">
        <f>IF(COUNTIF($C$5:C1116,C1116)=1,1,0)</f>
        <v>0</v>
      </c>
      <c r="G1116" s="2" t="str">
        <f t="shared" si="34"/>
        <v/>
      </c>
      <c r="H1116" s="2">
        <f>MAX(0, MyBattery - (EVCleanedDataset[[#This Row],[Distance(km)]]/VehicleRangeKm)*100)</f>
        <v>0</v>
      </c>
      <c r="I1116" s="2">
        <f>6371*ACOS(SIN(RADIANS(MyLat))*SIN(RADIANS(EVCleanedDataset[[#This Row],[Latitude]]))+COS(RADIANS(MyLat))*COS(RADIANS(EVCleanedDataset[[#This Row],[Latitude]]))*COS(RADIANS(EVCleanedDataset[[#This Row],[Longitude]]-MyLong)))</f>
        <v>1930.7633829245133</v>
      </c>
      <c r="J1116">
        <f t="shared" si="35"/>
        <v>2</v>
      </c>
      <c r="K1116" s="5">
        <f>((1-(EVCleanedDataset[[#This Row],[Distance(km)]]/MAX($I$5:$I$1121)))*0.4 + (1-(EVCleanedDataset[[#This Row],[QueueLength]]/MAX($J$5:$J$1121)))*0.3 + (EVCleanedDataset[[#This Row],[EstimatedBatteryOnArrival]]/100)*0.3 + (ROW()/10000000))*100</f>
        <v>29.526769087729924</v>
      </c>
      <c r="L1116" t="str">
        <f>IF(EVCleanedDataset[[#This Row],[Score]]&gt;50,"Yes","No")</f>
        <v>No</v>
      </c>
    </row>
    <row r="1117" spans="1:12" x14ac:dyDescent="0.3">
      <c r="A1117" t="s">
        <v>3253</v>
      </c>
      <c r="B1117" t="s">
        <v>24</v>
      </c>
      <c r="C1117" t="s">
        <v>2213</v>
      </c>
      <c r="D1117">
        <v>30.887318799999999</v>
      </c>
      <c r="E1117">
        <v>77.087941099999995</v>
      </c>
      <c r="F1117">
        <f>IF(COUNTIF($C$5:C1117,C1117)=1,1,0)</f>
        <v>1</v>
      </c>
      <c r="G1117" s="2">
        <f t="shared" si="34"/>
        <v>1950.7022948312797</v>
      </c>
      <c r="H1117" s="2">
        <f>MAX(0, MyBattery - (EVCleanedDataset[[#This Row],[Distance(km)]]/VehicleRangeKm)*100)</f>
        <v>0</v>
      </c>
      <c r="I1117" s="2">
        <f>6371*ACOS(SIN(RADIANS(MyLat))*SIN(RADIANS(EVCleanedDataset[[#This Row],[Latitude]]))+COS(RADIANS(MyLat))*COS(RADIANS(EVCleanedDataset[[#This Row],[Latitude]]))*COS(RADIANS(EVCleanedDataset[[#This Row],[Longitude]]-MyLong)))</f>
        <v>1950.7022948312797</v>
      </c>
      <c r="J1117">
        <f t="shared" si="35"/>
        <v>9</v>
      </c>
      <c r="K1117" s="5">
        <f>((1-(EVCleanedDataset[[#This Row],[Distance(km)]]/MAX($I$5:$I$1121)))*0.4 + (1-(EVCleanedDataset[[#This Row],[QueueLength]]/MAX($J$5:$J$1121)))*0.3 + (EVCleanedDataset[[#This Row],[EstimatedBatteryOnArrival]]/100)*0.3 + (ROW()/10000000))*100</f>
        <v>5.8442115444546845</v>
      </c>
      <c r="L1117" t="str">
        <f>IF(EVCleanedDataset[[#This Row],[Score]]&gt;50,"Yes","No")</f>
        <v>No</v>
      </c>
    </row>
    <row r="1118" spans="1:12" x14ac:dyDescent="0.3">
      <c r="A1118" t="s">
        <v>2770</v>
      </c>
      <c r="B1118" t="s">
        <v>181</v>
      </c>
      <c r="C1118" t="s">
        <v>2467</v>
      </c>
      <c r="D1118">
        <v>31.599201000000001</v>
      </c>
      <c r="E1118">
        <v>74.891450000000006</v>
      </c>
      <c r="F1118">
        <f>IF(COUNTIF($C$5:C1118,C1118)=1,1,0)</f>
        <v>0</v>
      </c>
      <c r="G1118" s="2" t="str">
        <f t="shared" si="34"/>
        <v/>
      </c>
      <c r="H1118" s="2">
        <f>MAX(0, MyBattery - (EVCleanedDataset[[#This Row],[Distance(km)]]/VehicleRangeKm)*100)</f>
        <v>0</v>
      </c>
      <c r="I1118" s="2">
        <f>6371*ACOS(SIN(RADIANS(MyLat))*SIN(RADIANS(EVCleanedDataset[[#This Row],[Latitude]]))+COS(RADIANS(MyLat))*COS(RADIANS(EVCleanedDataset[[#This Row],[Latitude]]))*COS(RADIANS(EVCleanedDataset[[#This Row],[Longitude]]-MyLong)))</f>
        <v>2047.2162346977148</v>
      </c>
      <c r="J1118">
        <f t="shared" si="35"/>
        <v>6</v>
      </c>
      <c r="K1118" s="5">
        <f>((1-(EVCleanedDataset[[#This Row],[Distance(km)]]/MAX($I$5:$I$1121)))*0.4 + (1-(EVCleanedDataset[[#This Row],[QueueLength]]/MAX($J$5:$J$1121)))*0.3 + (EVCleanedDataset[[#This Row],[EstimatedBatteryOnArrival]]/100)*0.3 + (ROW()/10000000))*100</f>
        <v>14.153759713074773</v>
      </c>
      <c r="L1118" t="str">
        <f>IF(EVCleanedDataset[[#This Row],[Score]]&gt;50,"Yes","No")</f>
        <v>No</v>
      </c>
    </row>
    <row r="1119" spans="1:12" x14ac:dyDescent="0.3">
      <c r="A1119" t="s">
        <v>856</v>
      </c>
      <c r="B1119" t="s">
        <v>1051</v>
      </c>
      <c r="C1119" t="s">
        <v>1052</v>
      </c>
      <c r="D1119">
        <v>26.112203000000001</v>
      </c>
      <c r="E1119">
        <v>91.724157599999998</v>
      </c>
      <c r="F1119">
        <f>IF(COUNTIF($C$5:C1119,C1119)=1,1,0)</f>
        <v>0</v>
      </c>
      <c r="G1119" s="2" t="str">
        <f t="shared" si="34"/>
        <v/>
      </c>
      <c r="H1119" s="2">
        <f>MAX(0, MyBattery - (EVCleanedDataset[[#This Row],[Distance(km)]]/VehicleRangeKm)*100)</f>
        <v>0</v>
      </c>
      <c r="I1119" s="2">
        <f>6371*ACOS(SIN(RADIANS(MyLat))*SIN(RADIANS(EVCleanedDataset[[#This Row],[Latitude]]))+COS(RADIANS(MyLat))*COS(RADIANS(EVCleanedDataset[[#This Row],[Latitude]]))*COS(RADIANS(EVCleanedDataset[[#This Row],[Longitude]]-MyLong)))</f>
        <v>2050.6031166283638</v>
      </c>
      <c r="J1119">
        <f t="shared" si="35"/>
        <v>3</v>
      </c>
      <c r="K1119" s="5">
        <f>((1-(EVCleanedDataset[[#This Row],[Distance(km)]]/MAX($I$5:$I$1121)))*0.4 + (1-(EVCleanedDataset[[#This Row],[QueueLength]]/MAX($J$5:$J$1121)))*0.3 + (EVCleanedDataset[[#This Row],[EstimatedBatteryOnArrival]]/100)*0.3 + (ROW()/10000000))*100</f>
        <v>24.094447768088632</v>
      </c>
      <c r="L1119" t="str">
        <f>IF(EVCleanedDataset[[#This Row],[Score]]&gt;50,"Yes","No")</f>
        <v>No</v>
      </c>
    </row>
    <row r="1120" spans="1:12" x14ac:dyDescent="0.3">
      <c r="A1120" t="s">
        <v>1152</v>
      </c>
      <c r="B1120" t="s">
        <v>1153</v>
      </c>
      <c r="C1120" t="s">
        <v>1154</v>
      </c>
      <c r="D1120">
        <v>27.305523999999998</v>
      </c>
      <c r="E1120">
        <v>88.585965000000002</v>
      </c>
      <c r="F1120">
        <f>IF(COUNTIF($C$5:C1120,C1120)=1,1,0)</f>
        <v>1</v>
      </c>
      <c r="G1120" s="2">
        <f t="shared" si="34"/>
        <v>1930.2086528541001</v>
      </c>
      <c r="H1120" s="2">
        <f>MAX(0, MyBattery - (EVCleanedDataset[[#This Row],[Distance(km)]]/VehicleRangeKm)*100)</f>
        <v>0</v>
      </c>
      <c r="I1120" s="2">
        <f>6371*ACOS(SIN(RADIANS(MyLat))*SIN(RADIANS(EVCleanedDataset[[#This Row],[Latitude]]))+COS(RADIANS(MyLat))*COS(RADIANS(EVCleanedDataset[[#This Row],[Latitude]]))*COS(RADIANS(EVCleanedDataset[[#This Row],[Longitude]]-MyLong)))</f>
        <v>1930.2086528541001</v>
      </c>
      <c r="J1120">
        <f t="shared" si="35"/>
        <v>0</v>
      </c>
      <c r="K1120" s="5">
        <f>((1-(EVCleanedDataset[[#This Row],[Distance(km)]]/MAX($I$5:$I$1121)))*0.4 + (1-(EVCleanedDataset[[#This Row],[QueueLength]]/MAX($J$5:$J$1121)))*0.3 + (EVCleanedDataset[[#This Row],[EstimatedBatteryOnArrival]]/100)*0.3 + (ROW()/10000000))*100</f>
        <v>36.203191967536888</v>
      </c>
      <c r="L1120" t="str">
        <f>IF(EVCleanedDataset[[#This Row],[Score]]&gt;50,"Yes","No")</f>
        <v>No</v>
      </c>
    </row>
    <row r="1121" spans="1:12" x14ac:dyDescent="0.3">
      <c r="A1121" t="s">
        <v>2995</v>
      </c>
      <c r="B1121" t="s">
        <v>1051</v>
      </c>
      <c r="C1121" t="s">
        <v>1280</v>
      </c>
      <c r="D1121">
        <v>26.747048700000001</v>
      </c>
      <c r="E1121">
        <v>94.168071800000007</v>
      </c>
      <c r="F1121">
        <f>IF(COUNTIF($C$5:C1121,C1121)=1,1,0)</f>
        <v>1</v>
      </c>
      <c r="G1121" s="2">
        <f t="shared" si="34"/>
        <v>2283.7295246743624</v>
      </c>
      <c r="H1121" s="2">
        <f>MAX(0, MyBattery - (EVCleanedDataset[[#This Row],[Distance(km)]]/VehicleRangeKm)*100)</f>
        <v>0</v>
      </c>
      <c r="I1121" s="2">
        <f>6371*ACOS(SIN(RADIANS(MyLat))*SIN(RADIANS(EVCleanedDataset[[#This Row],[Latitude]]))+COS(RADIANS(MyLat))*COS(RADIANS(EVCleanedDataset[[#This Row],[Latitude]]))*COS(RADIANS(EVCleanedDataset[[#This Row],[Longitude]]-MyLong)))</f>
        <v>2283.7295246743624</v>
      </c>
      <c r="J1121">
        <f t="shared" si="35"/>
        <v>7</v>
      </c>
      <c r="K1121" s="5">
        <f>((1-(EVCleanedDataset[[#This Row],[Distance(km)]]/MAX($I$5:$I$1121)))*0.4 + (1-(EVCleanedDataset[[#This Row],[QueueLength]]/MAX($J$5:$J$1121)))*0.3 + (EVCleanedDataset[[#This Row],[EstimatedBatteryOnArrival]]/100)*0.3 + (ROW()/10000000))*100</f>
        <v>6.6778766666666671</v>
      </c>
      <c r="L1121" t="str">
        <f>IF(EVCleanedDataset[[#This Row],[Score]]&gt;50,"Yes","No")</f>
        <v>No</v>
      </c>
    </row>
  </sheetData>
  <pageMargins left="0.7" right="0.7" top="0.75" bottom="0.75" header="0.3" footer="0.3"/>
  <pageSetup paperSize="0" orientation="portrait" horizontalDpi="0" verticalDpi="0" copies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FC74-E5DE-44E1-AD95-6482D9ABC413}">
  <sheetPr codeName="Sheet3"/>
  <dimension ref="A1:V45"/>
  <sheetViews>
    <sheetView showGridLines="0" tabSelected="1" zoomScale="70" zoomScaleNormal="70" workbookViewId="0">
      <selection activeCell="P2" sqref="P2"/>
    </sheetView>
  </sheetViews>
  <sheetFormatPr defaultRowHeight="13.2" x14ac:dyDescent="0.25"/>
  <cols>
    <col min="1" max="4" width="12.5546875" style="1" customWidth="1"/>
    <col min="5" max="5" width="4.21875" style="1" customWidth="1"/>
    <col min="6" max="6" width="20.44140625" style="1" customWidth="1"/>
    <col min="7" max="7" width="18.109375" style="1" customWidth="1"/>
    <col min="8" max="8" width="15.6640625" style="1" customWidth="1"/>
    <col min="9" max="9" width="10.44140625" style="1" customWidth="1"/>
    <col min="10" max="10" width="50.109375" style="1" customWidth="1"/>
    <col min="11" max="11" width="17.33203125" style="1" customWidth="1"/>
    <col min="12" max="12" width="16.44140625" style="1" customWidth="1"/>
    <col min="13" max="13" width="16" style="1" customWidth="1"/>
    <col min="14" max="14" width="9.88671875" style="1" customWidth="1"/>
    <col min="15" max="15" width="14.44140625" style="1" customWidth="1"/>
    <col min="16" max="16" width="8.88671875" style="1"/>
    <col min="17" max="17" width="9.6640625" style="1" customWidth="1"/>
    <col min="18" max="18" width="13.88671875" style="1" bestFit="1" customWidth="1"/>
    <col min="19" max="19" width="17" style="1" customWidth="1"/>
    <col min="20" max="16384" width="8.88671875" style="1"/>
  </cols>
  <sheetData>
    <row r="1" spans="1:20" ht="34.799999999999997" x14ac:dyDescent="0.25">
      <c r="A1" s="9"/>
      <c r="B1" s="9"/>
      <c r="C1" s="9"/>
      <c r="D1" s="9"/>
      <c r="E1" s="13"/>
      <c r="F1" s="13"/>
      <c r="G1" s="13"/>
      <c r="H1" s="13"/>
      <c r="I1" s="13"/>
      <c r="J1" s="13"/>
      <c r="K1" s="13"/>
      <c r="L1" s="13"/>
      <c r="M1" s="13"/>
      <c r="N1" s="13"/>
      <c r="O1" s="11"/>
      <c r="P1" s="11"/>
      <c r="Q1" s="11"/>
      <c r="R1" s="9"/>
      <c r="S1" s="9"/>
      <c r="T1" s="9"/>
    </row>
    <row r="2" spans="1:20" ht="35.4" thickBot="1" x14ac:dyDescent="0.3">
      <c r="A2" s="9"/>
      <c r="B2" s="9"/>
      <c r="C2" s="9"/>
      <c r="D2" s="9"/>
      <c r="E2" s="13"/>
      <c r="F2" s="13"/>
      <c r="G2" s="13"/>
      <c r="H2" s="13"/>
      <c r="I2" s="13"/>
      <c r="J2" s="13"/>
      <c r="K2" s="13"/>
      <c r="L2" s="13"/>
      <c r="M2" s="13"/>
      <c r="N2" s="13"/>
      <c r="O2" s="11"/>
      <c r="P2" s="11"/>
      <c r="Q2" s="11"/>
      <c r="R2" s="9"/>
      <c r="S2" s="9"/>
      <c r="T2" s="9"/>
    </row>
    <row r="3" spans="1:20" s="6" customFormat="1" ht="27.6" x14ac:dyDescent="0.25">
      <c r="A3" s="10"/>
      <c r="B3" s="10"/>
      <c r="C3" s="10"/>
      <c r="D3" s="10"/>
      <c r="E3" s="7"/>
      <c r="F3" s="14" t="s">
        <v>3389</v>
      </c>
      <c r="G3" s="14" t="s">
        <v>3390</v>
      </c>
      <c r="H3" s="15" t="s">
        <v>3391</v>
      </c>
      <c r="I3" s="10"/>
      <c r="J3" s="10"/>
      <c r="K3" s="7"/>
      <c r="L3" s="7"/>
      <c r="M3" s="7"/>
      <c r="N3" s="7"/>
      <c r="O3" s="7"/>
      <c r="P3" s="7"/>
      <c r="Q3" s="7"/>
      <c r="R3" s="10"/>
      <c r="S3" s="10"/>
      <c r="T3" s="10"/>
    </row>
    <row r="4" spans="1:20" ht="35.4" thickBot="1" x14ac:dyDescent="0.3">
      <c r="A4" s="9"/>
      <c r="B4" s="9"/>
      <c r="C4" s="9"/>
      <c r="D4" s="9"/>
      <c r="E4" s="8"/>
      <c r="F4" s="16">
        <f>COUNTA(EVCleanedDataset[Name])</f>
        <v>1117</v>
      </c>
      <c r="G4" s="16">
        <f>COUNTIF(EVCleanedDataset!$B$5:$B$1121,MyState)</f>
        <v>127</v>
      </c>
      <c r="H4" s="16">
        <f>COUNTIF(EVCleanedDataset[Reachable],"Yes")</f>
        <v>308</v>
      </c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9"/>
    </row>
    <row r="5" spans="1:20" ht="15" x14ac:dyDescent="0.25">
      <c r="A5" s="9"/>
      <c r="B5" s="9"/>
      <c r="C5" s="9"/>
      <c r="D5" s="9"/>
      <c r="E5" s="9"/>
      <c r="F5" s="9"/>
      <c r="G5" s="9"/>
      <c r="H5" s="9"/>
      <c r="I5" s="37"/>
      <c r="J5" s="37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13.8" thickBot="1" x14ac:dyDescent="0.3">
      <c r="A6" s="9"/>
      <c r="B6" s="9"/>
      <c r="C6" s="9"/>
      <c r="D6" s="9"/>
      <c r="E6" s="9"/>
      <c r="F6" s="17" t="s">
        <v>3325</v>
      </c>
      <c r="G6" s="18" t="s">
        <v>3326</v>
      </c>
      <c r="H6" s="9"/>
      <c r="I6" s="23" t="s">
        <v>3327</v>
      </c>
      <c r="J6" s="24" t="s">
        <v>3373</v>
      </c>
      <c r="K6" s="24" t="s">
        <v>3330</v>
      </c>
      <c r="L6" s="25" t="s">
        <v>3328</v>
      </c>
      <c r="M6" s="25" t="s">
        <v>3329</v>
      </c>
      <c r="N6" s="26" t="s">
        <v>3323</v>
      </c>
      <c r="O6" s="26" t="s">
        <v>3324</v>
      </c>
      <c r="P6" s="9"/>
      <c r="Q6" s="23" t="s">
        <v>3327</v>
      </c>
      <c r="R6" s="24" t="s">
        <v>3376</v>
      </c>
      <c r="S6" s="34" t="s">
        <v>3329</v>
      </c>
      <c r="T6" s="9"/>
    </row>
    <row r="7" spans="1:20" x14ac:dyDescent="0.25">
      <c r="A7" s="9"/>
      <c r="B7" s="9"/>
      <c r="C7" s="9"/>
      <c r="D7" s="9"/>
      <c r="E7" s="9"/>
      <c r="F7" s="19" t="s">
        <v>2742</v>
      </c>
      <c r="G7" s="20" t="s">
        <v>1341</v>
      </c>
      <c r="H7" s="9"/>
      <c r="I7" s="27">
        <v>1</v>
      </c>
      <c r="J7" s="28" t="str">
        <f>INDEX(EVCleanedDataset!$A$5:$A$1121, MATCH(LARGE(EVCleanedDataset!$K$5:$K$1121,$I7), EVCleanedDataset!$K$5:$K$1121,0))</f>
        <v>Fuel Zone -Indian Oil Petrol Pump</v>
      </c>
      <c r="K7" s="29">
        <f>INDEX(EVCleanedDataset!$H$5:$H$1121, MATCH(LARGE(EVCleanedDataset!$K$5:$K$1121,$I7), EVCleanedDataset!$K$5:$K$1121,0))</f>
        <v>61.746964695352908</v>
      </c>
      <c r="L7" s="28">
        <f>INDEX(EVCleanedDataset!$J$5:$J$1121, MATCH(LARGE(EVCleanedDataset!$K$5:$K$1121,$I7), EVCleanedDataset!$K$5:$K$1121,0))</f>
        <v>0</v>
      </c>
      <c r="M7" s="29">
        <f>INDEX(EVCleanedDataset!$I$5:$I$1121, MATCH(LARGE(EVCleanedDataset!$K$5:$K$1121,$I7), EVCleanedDataset!$K$5:$K$1121,0))</f>
        <v>24.75910591394128</v>
      </c>
      <c r="N7" s="30">
        <f>LARGE(EVCleanedDataset!$K$5:$K$1121,$I7)</f>
        <v>88.090928493047642</v>
      </c>
      <c r="O7" s="30" t="str">
        <f>INDEX(EVCleanedDataset!$L$5:$L$1121, MATCH(LARGE(EVCleanedDataset!$K$5:$K$1121,$I7), EVCleanedDataset!$K$5:$K$1121,0))</f>
        <v>Yes</v>
      </c>
      <c r="P7" s="9"/>
      <c r="Q7" s="27">
        <v>1</v>
      </c>
      <c r="R7" s="28" t="str">
        <f>INDEX(EVCleanedDataset!$C$5:$C$1121, MATCH(SMALL(EVCleanedDataset!$G$5:$G$1121,$Q7), EVCleanedDataset!$G$5:$G$1121,0))</f>
        <v>Tumakuru</v>
      </c>
      <c r="S7" s="35">
        <f>SMALL(EVCleanedDataset!$G$5:$G$1121,$Q7)</f>
        <v>39.012033914071608</v>
      </c>
      <c r="T7" s="9"/>
    </row>
    <row r="8" spans="1:20" x14ac:dyDescent="0.25">
      <c r="A8" s="9"/>
      <c r="B8" s="9"/>
      <c r="C8" s="9"/>
      <c r="D8" s="9"/>
      <c r="E8" s="9"/>
      <c r="F8" s="21" t="s">
        <v>2743</v>
      </c>
      <c r="G8" s="22">
        <f>AVERAGEIF(EVCleanedDataset[City],MyCity,EVCleanedDataset[Latitude])</f>
        <v>13.349118106006708</v>
      </c>
      <c r="H8" s="9"/>
      <c r="I8" s="27">
        <v>2</v>
      </c>
      <c r="J8" s="28" t="str">
        <f>INDEX(EVCleanedDataset!$A$5:$A$1121, MATCH(LARGE(EVCleanedDataset!$K$5:$K$1121,$I8), EVCleanedDataset!$K$5:$K$1121,0))</f>
        <v>Bescom Banaswadi</v>
      </c>
      <c r="K8" s="29">
        <f>INDEX(EVCleanedDataset!$H$5:$H$1121, MATCH(LARGE(EVCleanedDataset!$K$5:$K$1121,$I8), EVCleanedDataset!$K$5:$K$1121,0))</f>
        <v>57.25826615913752</v>
      </c>
      <c r="L8" s="28">
        <f>INDEX(EVCleanedDataset!$J$5:$J$1121, MATCH(LARGE(EVCleanedDataset!$K$5:$K$1121,$I8), EVCleanedDataset!$K$5:$K$1121,0))</f>
        <v>0</v>
      </c>
      <c r="M8" s="29">
        <f>INDEX(EVCleanedDataset!$I$5:$I$1121, MATCH(LARGE(EVCleanedDataset!$K$5:$K$1121,$I8), EVCleanedDataset!$K$5:$K$1121,0))</f>
        <v>38.225201522587433</v>
      </c>
      <c r="N8" s="30">
        <f>LARGE(EVCleanedDataset!$K$5:$K$1121,$I8)</f>
        <v>86.509657452736306</v>
      </c>
      <c r="O8" s="30" t="str">
        <f>INDEX(EVCleanedDataset!$L$5:$L$1121, MATCH(LARGE(EVCleanedDataset!$K$5:$K$1121,$I8), EVCleanedDataset!$K$5:$K$1121,0))</f>
        <v>Yes</v>
      </c>
      <c r="P8" s="9"/>
      <c r="Q8" s="27">
        <v>2</v>
      </c>
      <c r="R8" s="28" t="str">
        <f>INDEX(EVCleanedDataset!$C$5:$C$1121, MATCH(SMALL(EVCleanedDataset!$G$5:$G$1121,$Q8), EVCleanedDataset!$G$5:$G$1121,0))</f>
        <v>Kodikonda</v>
      </c>
      <c r="S8" s="35">
        <f>SMALL(EVCleanedDataset!$G$5:$G$1121,$Q8)</f>
        <v>57.777113298446089</v>
      </c>
      <c r="T8" s="9"/>
    </row>
    <row r="9" spans="1:20" x14ac:dyDescent="0.25">
      <c r="A9" s="9"/>
      <c r="B9" s="9"/>
      <c r="C9" s="9"/>
      <c r="D9" s="9"/>
      <c r="E9" s="9"/>
      <c r="F9" s="21" t="s">
        <v>2744</v>
      </c>
      <c r="G9" s="22">
        <f>AVERAGEIF(EVCleanedDataset[City], MyCity,EVCleanedDataset[Longitude])</f>
        <v>77.537508302915811</v>
      </c>
      <c r="H9" s="9"/>
      <c r="I9" s="27">
        <v>3</v>
      </c>
      <c r="J9" s="28" t="str">
        <f>INDEX(EVCleanedDataset!$A$5:$A$1121, MATCH(LARGE(EVCleanedDataset!$K$5:$K$1121,$I9), EVCleanedDataset!$K$5:$K$1121,0))</f>
        <v>Hotel Sri Nanjundeshwara</v>
      </c>
      <c r="K9" s="29">
        <f>INDEX(EVCleanedDataset!$H$5:$H$1121, MATCH(LARGE(EVCleanedDataset!$K$5:$K$1121,$I9), EVCleanedDataset!$K$5:$K$1121,0))</f>
        <v>56.995988695309464</v>
      </c>
      <c r="L9" s="28">
        <f>INDEX(EVCleanedDataset!$J$5:$J$1121, MATCH(LARGE(EVCleanedDataset!$K$5:$K$1121,$I9), EVCleanedDataset!$K$5:$K$1121,0))</f>
        <v>0</v>
      </c>
      <c r="M9" s="29">
        <f>INDEX(EVCleanedDataset!$I$5:$I$1121, MATCH(LARGE(EVCleanedDataset!$K$5:$K$1121,$I9), EVCleanedDataset!$K$5:$K$1121,0))</f>
        <v>39.012033914071608</v>
      </c>
      <c r="N9" s="30">
        <f>LARGE(EVCleanedDataset!$K$5:$K$1121,$I9)</f>
        <v>86.415692679776924</v>
      </c>
      <c r="O9" s="30" t="str">
        <f>INDEX(EVCleanedDataset!$L$5:$L$1121, MATCH(LARGE(EVCleanedDataset!$K$5:$K$1121,$I9), EVCleanedDataset!$K$5:$K$1121,0))</f>
        <v>Yes</v>
      </c>
      <c r="P9" s="9"/>
      <c r="Q9" s="27">
        <v>3</v>
      </c>
      <c r="R9" s="28" t="str">
        <f>INDEX(EVCleanedDataset!$C$5:$C$1121, MATCH(SMALL(EVCleanedDataset!$G$5:$G$1121,$Q9), EVCleanedDataset!$G$5:$G$1121,0))</f>
        <v>Hosur</v>
      </c>
      <c r="S9" s="35">
        <f>SMALL(EVCleanedDataset!$G$5:$G$1121,$Q9)</f>
        <v>79.27219092469187</v>
      </c>
      <c r="T9" s="9"/>
    </row>
    <row r="10" spans="1:20" x14ac:dyDescent="0.25">
      <c r="A10" s="9"/>
      <c r="B10" s="9"/>
      <c r="C10" s="9"/>
      <c r="D10" s="9"/>
      <c r="E10" s="9"/>
      <c r="F10" s="21" t="s">
        <v>2741</v>
      </c>
      <c r="G10" s="22" t="str">
        <f>IFERROR(INDEX(EVCleanedDataset!$B$5:$B$1121, MATCH($G$7, EVCleanedDataset!$C$5:$C$1121, 0)), "Not Found")</f>
        <v>Karnataka</v>
      </c>
      <c r="H10" s="9"/>
      <c r="I10" s="27">
        <v>4</v>
      </c>
      <c r="J10" s="28" t="str">
        <f>INDEX(EVCleanedDataset!$A$5:$A$1121, MATCH(LARGE(EVCleanedDataset!$K$5:$K$1121,$I10), EVCleanedDataset!$K$5:$K$1121,0))</f>
        <v>Bescom Mahadevpura</v>
      </c>
      <c r="K10" s="29">
        <f>INDEX(EVCleanedDataset!$H$5:$H$1121, MATCH(LARGE(EVCleanedDataset!$K$5:$K$1121,$I10), EVCleanedDataset!$K$5:$K$1121,0))</f>
        <v>55.611026937654316</v>
      </c>
      <c r="L10" s="28">
        <f>INDEX(EVCleanedDataset!$J$5:$J$1121, MATCH(LARGE(EVCleanedDataset!$K$5:$K$1121,$I10), EVCleanedDataset!$K$5:$K$1121,0))</f>
        <v>0</v>
      </c>
      <c r="M10" s="29">
        <f>INDEX(EVCleanedDataset!$I$5:$I$1121, MATCH(LARGE(EVCleanedDataset!$K$5:$K$1121,$I10), EVCleanedDataset!$K$5:$K$1121,0))</f>
        <v>43.166919187037038</v>
      </c>
      <c r="N10" s="30">
        <f>LARGE(EVCleanedDataset!$K$5:$K$1121,$I10)</f>
        <v>85.92753046841537</v>
      </c>
      <c r="O10" s="30" t="str">
        <f>INDEX(EVCleanedDataset!$L$5:$L$1121, MATCH(LARGE(EVCleanedDataset!$K$5:$K$1121,$I10), EVCleanedDataset!$K$5:$K$1121,0))</f>
        <v>Yes</v>
      </c>
      <c r="P10" s="9"/>
      <c r="Q10" s="27">
        <v>4</v>
      </c>
      <c r="R10" s="28" t="str">
        <f>INDEX(EVCleanedDataset!$C$5:$C$1121, MATCH(SMALL(EVCleanedDataset!$G$5:$G$1121,$Q10), EVCleanedDataset!$G$5:$G$1121,0))</f>
        <v>Yediyur</v>
      </c>
      <c r="S10" s="35">
        <f>SMALL(EVCleanedDataset!$G$5:$G$1121,$Q10)</f>
        <v>81.452711128562939</v>
      </c>
      <c r="T10" s="9"/>
    </row>
    <row r="11" spans="1:20" x14ac:dyDescent="0.25">
      <c r="A11" s="9"/>
      <c r="B11" s="9"/>
      <c r="C11" s="9"/>
      <c r="D11" s="9"/>
      <c r="E11" s="9"/>
      <c r="F11" s="21" t="s">
        <v>3330</v>
      </c>
      <c r="G11" s="22">
        <v>70</v>
      </c>
      <c r="H11" s="9"/>
      <c r="I11" s="31">
        <v>5</v>
      </c>
      <c r="J11" s="32" t="str">
        <f>INDEX(EVCleanedDataset!$A$5:$A$1121, MATCH(LARGE(EVCleanedDataset!$K$5:$K$1121,$I11), EVCleanedDataset!$K$5:$K$1121,0))</f>
        <v>Bescom Indiranagar</v>
      </c>
      <c r="K11" s="33">
        <f>INDEX(EVCleanedDataset!$H$5:$H$1121, MATCH(LARGE(EVCleanedDataset!$K$5:$K$1121,$I11), EVCleanedDataset!$K$5:$K$1121,0))</f>
        <v>55.24932841343643</v>
      </c>
      <c r="L11" s="28">
        <f>INDEX(EVCleanedDataset!$J$5:$J$1121, MATCH(LARGE(EVCleanedDataset!$K$5:$K$1121,$I11), EVCleanedDataset!$K$5:$K$1121,0))</f>
        <v>0</v>
      </c>
      <c r="M11" s="33">
        <f>INDEX(EVCleanedDataset!$I$5:$I$1121, MATCH(LARGE(EVCleanedDataset!$K$5:$K$1121,$I11), EVCleanedDataset!$K$5:$K$1121,0))</f>
        <v>44.252014759690702</v>
      </c>
      <c r="N11" s="30">
        <f>LARGE(EVCleanedDataset!$K$5:$K$1121,$I11)</f>
        <v>85.80081523537396</v>
      </c>
      <c r="O11" s="30" t="str">
        <f>INDEX(EVCleanedDataset!$L$5:$L$1121, MATCH(LARGE(EVCleanedDataset!$K$5:$K$1121,$I11), EVCleanedDataset!$K$5:$K$1121,0))</f>
        <v>Yes</v>
      </c>
      <c r="P11" s="9"/>
      <c r="Q11" s="31">
        <v>5</v>
      </c>
      <c r="R11" s="32" t="str">
        <f>INDEX(EVCleanedDataset!$C$5:$C$1121, MATCH(SMALL(EVCleanedDataset!$G$5:$G$1121,$Q11), EVCleanedDataset!$G$5:$G$1121,0))</f>
        <v>Hatna</v>
      </c>
      <c r="S11" s="36">
        <f>SMALL(EVCleanedDataset!$G$5:$G$1121,$Q11)</f>
        <v>86.946626799705882</v>
      </c>
      <c r="T11" s="9"/>
    </row>
    <row r="12" spans="1:20" x14ac:dyDescent="0.25">
      <c r="A12" s="9"/>
      <c r="B12" s="9"/>
      <c r="C12" s="9"/>
      <c r="D12" s="9"/>
      <c r="E12" s="9"/>
      <c r="F12" s="21" t="s">
        <v>2772</v>
      </c>
      <c r="G12" s="22">
        <v>300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4.4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2"/>
    </row>
    <row r="16" spans="1:20" ht="14.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2"/>
    </row>
    <row r="17" spans="1:22" ht="14.4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2"/>
    </row>
    <row r="18" spans="1:22" ht="14.4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 t="s">
        <v>3324</v>
      </c>
      <c r="P18" s="9">
        <f>COUNTIF(EVCleanedDataset[Reachable],"Yes")</f>
        <v>308</v>
      </c>
      <c r="Q18" s="9"/>
      <c r="R18" s="9"/>
      <c r="S18" s="9"/>
      <c r="T18" s="12"/>
    </row>
    <row r="19" spans="1:22" ht="14.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 t="s">
        <v>3392</v>
      </c>
      <c r="P19" s="9">
        <f>COUNTIF(EVCleanedDataset[Reachable],"No")</f>
        <v>809</v>
      </c>
      <c r="Q19" s="9"/>
      <c r="R19" s="12"/>
      <c r="S19" s="12"/>
      <c r="T19" s="12"/>
    </row>
    <row r="20" spans="1:22" ht="14.4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2"/>
      <c r="S20" s="12"/>
      <c r="T20" s="12"/>
    </row>
    <row r="21" spans="1:22" ht="14.4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2"/>
      <c r="S21" s="12"/>
      <c r="T21" s="12"/>
      <c r="U21"/>
      <c r="V21"/>
    </row>
    <row r="22" spans="1:22" ht="14.4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2"/>
      <c r="S22" s="12"/>
      <c r="T22" s="12"/>
      <c r="U22"/>
      <c r="V22"/>
    </row>
    <row r="23" spans="1:22" ht="14.4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2"/>
      <c r="S23" s="12"/>
      <c r="T23" s="12"/>
      <c r="U23"/>
      <c r="V23"/>
    </row>
    <row r="24" spans="1:22" ht="14.4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2"/>
      <c r="S24" s="12"/>
      <c r="T24" s="12"/>
      <c r="U24"/>
      <c r="V24"/>
    </row>
    <row r="25" spans="1:22" ht="14.4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2"/>
      <c r="S25" s="12"/>
      <c r="T25" s="12"/>
    </row>
    <row r="26" spans="1:22" ht="14.4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2"/>
      <c r="S26" s="12"/>
      <c r="T26" s="12"/>
    </row>
    <row r="27" spans="1:22" ht="14.4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2"/>
      <c r="S27" s="12"/>
      <c r="T27" s="12"/>
    </row>
    <row r="28" spans="1:22" ht="14.4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2"/>
      <c r="S28" s="12"/>
      <c r="T28" s="12"/>
    </row>
    <row r="29" spans="1:22" ht="14.4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2"/>
      <c r="S29" s="12"/>
      <c r="T29" s="12"/>
    </row>
    <row r="30" spans="1:22" ht="14.4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2"/>
      <c r="S30" s="12"/>
      <c r="T30" s="12"/>
    </row>
    <row r="31" spans="1:22" ht="14.4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2"/>
      <c r="S31" s="12"/>
      <c r="T31" s="12"/>
    </row>
    <row r="32" spans="1:22" ht="14.4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2"/>
      <c r="S32" s="12"/>
      <c r="T32" s="12"/>
    </row>
    <row r="33" spans="1:2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</sheetData>
  <mergeCells count="1">
    <mergeCell ref="I5:J5"/>
  </mergeCells>
  <dataValidations count="1">
    <dataValidation type="list" allowBlank="1" showInputMessage="1" showErrorMessage="1" sqref="G7" xr:uid="{5687AC12-9D85-4C95-9C3B-0F0991F0C228}">
      <formula1>"Mangalore, Manipal, Tumakuru, Hubballi, Bangalore, Coimbatore, Goa, Kochi, Mysore, Ooty, Trivandram, Kozhikode, Hyderabad, Pune, Kasaragod, Mumbai, Thane, Chikkamagaluru, Shivamogga, Bhopal, Belagavi, Jaipur, Lucknow, Delhi, Kolkata"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83A021-7B4C-4B49-BA70-6732F81EDC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EVRawDataset</vt:lpstr>
      <vt:lpstr>EVCleanedDataset</vt:lpstr>
      <vt:lpstr>Dashboard</vt:lpstr>
      <vt:lpstr>MyBattery</vt:lpstr>
      <vt:lpstr>MyCity</vt:lpstr>
      <vt:lpstr>MyLat</vt:lpstr>
      <vt:lpstr>MyLong</vt:lpstr>
      <vt:lpstr>MyState</vt:lpstr>
      <vt:lpstr>VehicleRangeKm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Jeisa Mathew</dc:creator>
  <cp:lastModifiedBy>JEISA MATHEW</cp:lastModifiedBy>
  <dcterms:created xsi:type="dcterms:W3CDTF">2026-08-28T16:42:27Z</dcterms:created>
  <dcterms:modified xsi:type="dcterms:W3CDTF">2026-09-04T12:47:05Z</dcterms:modified>
</cp:coreProperties>
</file>